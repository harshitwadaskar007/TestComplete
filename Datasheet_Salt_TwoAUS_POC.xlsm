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240" yWindow="1815" windowWidth="15120" windowHeight="6060" activeTab="2"/>
  </bookViews>
  <sheets>
    <sheet name="Master" sheetId="1" r:id="rId1"/>
    <sheet name="Application_Environment" sheetId="2" r:id="rId2"/>
    <sheet name="DataSheet" sheetId="3" r:id="rId3"/>
    <sheet name="Mapping" sheetId="4" r:id="rId4"/>
    <sheet name="TabData" sheetId="5" state="hidden" r:id="rId5"/>
    <sheet name="Version Control" sheetId="6" r:id="rId6"/>
    <sheet name="Sheet1" sheetId="7" r:id="rId7"/>
    <sheet name="Sheet2" sheetId="8" r:id="rId8"/>
  </sheets>
  <functionGroups builtInGroupCount="17"/>
  <externalReferences>
    <externalReference r:id="rId9"/>
  </externalReferences>
  <definedNames>
    <definedName name="_xlnm._FilterDatabase" localSheetId="2" hidden="1">DataSheet!$B$3:$D$3</definedName>
    <definedName name="_xlnm._FilterDatabase" localSheetId="0" hidden="1">Master!$A$1:$F$18</definedName>
    <definedName name="AdminProductType">Sheet1!$E$2:$E$3</definedName>
    <definedName name="Another">Sheet1!$C$2:$C$4</definedName>
    <definedName name="cASH">Sheet1!$F$2:$F$13</definedName>
    <definedName name="CashPassport">Sheet1!$G$2:$G$7</definedName>
    <definedName name="Currencies">Sheet1!$A$2:$A$10</definedName>
    <definedName name="FraudAction">[1]Sheet1!$H$2:$H$3</definedName>
    <definedName name="Passport">Sheet1!$D$2:$D$4</definedName>
    <definedName name="PaymentCountries">Sheet1!$I$2:$I$4</definedName>
    <definedName name="PaymentType">Sheet1!$J$2:$J$4</definedName>
    <definedName name="Product">Sheet1!$B$2:$B$4</definedName>
    <definedName name="Z_038EA038_5A0E_4BA1_B2F5_E3A3B7AA82FA_.wvu.Cols" localSheetId="2" hidden="1">DataSheet!$H:$GR</definedName>
    <definedName name="Z_038EA038_5A0E_4BA1_B2F5_E3A3B7AA82FA_.wvu.FilterData" localSheetId="2" hidden="1">DataSheet!$B$3:$D$3</definedName>
    <definedName name="Z_038EA038_5A0E_4BA1_B2F5_E3A3B7AA82FA_.wvu.FilterData" localSheetId="0" hidden="1">Master!$A$1:$F$18</definedName>
    <definedName name="Z_038EA038_5A0E_4BA1_B2F5_E3A3B7AA82FA_.wvu.Rows" localSheetId="2" hidden="1">DataSheet!$4:$12,DataSheet!$14:$129</definedName>
    <definedName name="Z_A8F9189F_30EC_448E_8FA3_1F1B01D22A46_.wvu.Cols" localSheetId="2" hidden="1">DataSheet!$BT:$BT</definedName>
    <definedName name="Z_A8F9189F_30EC_448E_8FA3_1F1B01D22A46_.wvu.FilterData" localSheetId="2" hidden="1">DataSheet!$D$3:$D$3</definedName>
    <definedName name="Z_A8F9189F_30EC_448E_8FA3_1F1B01D22A46_.wvu.FilterData" localSheetId="0" hidden="1">Master!$A$1:$F$18</definedName>
    <definedName name="Z_A8F9189F_30EC_448E_8FA3_1F1B01D22A46_.wvu.Rows" localSheetId="2" hidden="1">DataSheet!$4:$63</definedName>
    <definedName name="Z_CF42ED2D_1073_4AB2_96F1_563C90B8192E_.wvu.FilterData" localSheetId="2" hidden="1">DataSheet!$B$3:$D$3</definedName>
    <definedName name="Z_CF42ED2D_1073_4AB2_96F1_563C90B8192E_.wvu.FilterData" localSheetId="0" hidden="1">Master!$A$1:$F$18</definedName>
    <definedName name="Z_D354225D_2C82_4417_8BA4_5EFA1D96D332_.wvu.FilterData" localSheetId="2" hidden="1">DataSheet!$B$3:$D$3</definedName>
    <definedName name="Z_D354225D_2C82_4417_8BA4_5EFA1D96D332_.wvu.FilterData" localSheetId="0" hidden="1">Master!$A$1:$F$18</definedName>
  </definedNames>
  <calcPr calcId="145621"/>
  <customWorkbookViews>
    <customWorkbookView name="Ladi, Priya - Personal View" guid="{D354225D-2C82-4417-8BA4-5EFA1D96D332}" mergeInterval="0" personalView="1" maximized="1" windowWidth="1362" windowHeight="543" activeSheetId="3"/>
    <customWorkbookView name="Sabale, Nilesh - Personal View" guid="{A8F9189F-30EC-448E-8FA3-1F1B01D22A46}" mergeInterval="0" personalView="1" maximized="1" windowWidth="1276" windowHeight="805" activeSheetId="5"/>
    <customWorkbookView name="Vyas, Ramdayal - Personal View" guid="{CF42ED2D-1073-4AB2-96F1-563C90B8192E}" mergeInterval="0" personalView="1" maximized="1" windowWidth="1362" windowHeight="553" activeSheetId="3"/>
    <customWorkbookView name="Kapale, Vikram - Personal View" guid="{038EA038-5A0E-4BA1-B2F5-E3A3B7AA82FA}" mergeInterval="0" personalView="1" maximized="1" windowWidth="1362" windowHeight="521" activeSheetId="3"/>
  </customWorkbookViews>
</workbook>
</file>

<file path=xl/calcChain.xml><?xml version="1.0" encoding="utf-8"?>
<calcChain xmlns="http://schemas.openxmlformats.org/spreadsheetml/2006/main">
  <c r="F149" i="3" l="1"/>
  <c r="G149" i="3"/>
  <c r="F145" i="3" l="1"/>
  <c r="G145" i="3"/>
  <c r="F143" i="3"/>
  <c r="G143" i="3"/>
  <c r="F144" i="3"/>
  <c r="G144" i="3"/>
  <c r="F146" i="3"/>
  <c r="G146" i="3"/>
  <c r="F147" i="3"/>
  <c r="G147" i="3"/>
  <c r="F142" i="3"/>
  <c r="G142" i="3"/>
  <c r="F141" i="3"/>
  <c r="G141" i="3"/>
  <c r="F140" i="3"/>
  <c r="G140" i="3"/>
  <c r="F134" i="3" l="1"/>
  <c r="G134" i="3"/>
  <c r="F131" i="3" l="1"/>
  <c r="G131" i="3"/>
  <c r="F139" i="3" l="1"/>
  <c r="G139" i="3"/>
  <c r="F138" i="3"/>
  <c r="G138" i="3"/>
  <c r="F38" i="3" l="1"/>
  <c r="G38" i="3"/>
  <c r="F37" i="3"/>
  <c r="G37" i="3"/>
  <c r="F36" i="3" l="1"/>
  <c r="G36" i="3"/>
  <c r="F35" i="3" l="1"/>
  <c r="G35" i="3"/>
  <c r="F28" i="3" l="1"/>
  <c r="G28" i="3"/>
</calcChain>
</file>

<file path=xl/comments1.xml><?xml version="1.0" encoding="utf-8"?>
<comments xmlns="http://schemas.openxmlformats.org/spreadsheetml/2006/main">
  <authors>
    <author>Kapale, Vikram</author>
  </authors>
  <commentList>
    <comment ref="GT3" authorId="0">
      <text>
        <r>
          <rPr>
            <b/>
            <sz val="9"/>
            <color indexed="81"/>
            <rFont val="Tahoma"/>
            <family val="2"/>
          </rPr>
          <t>Kapale, Vikram:</t>
        </r>
        <r>
          <rPr>
            <sz val="9"/>
            <color indexed="81"/>
            <rFont val="Tahoma"/>
            <family val="2"/>
          </rPr>
          <t xml:space="preserve">
Buy Rate</t>
        </r>
      </text>
    </comment>
    <comment ref="GU3" authorId="0">
      <text>
        <r>
          <rPr>
            <b/>
            <sz val="9"/>
            <color indexed="81"/>
            <rFont val="Tahoma"/>
            <family val="2"/>
          </rPr>
          <t>Kapale, Vikram:</t>
        </r>
        <r>
          <rPr>
            <sz val="9"/>
            <color indexed="81"/>
            <rFont val="Tahoma"/>
            <family val="2"/>
          </rPr>
          <t xml:space="preserve">
Sell Rate</t>
        </r>
      </text>
    </comment>
    <comment ref="GV3" authorId="0">
      <text>
        <r>
          <rPr>
            <b/>
            <sz val="9"/>
            <color indexed="81"/>
            <rFont val="Tahoma"/>
            <family val="2"/>
          </rPr>
          <t>Kapale, Vikram:</t>
        </r>
        <r>
          <rPr>
            <sz val="9"/>
            <color indexed="81"/>
            <rFont val="Tahoma"/>
            <family val="2"/>
          </rPr>
          <t xml:space="preserve">
Sell Rate</t>
        </r>
      </text>
    </comment>
    <comment ref="GW9" authorId="0">
      <text>
        <r>
          <rPr>
            <b/>
            <sz val="9"/>
            <color indexed="81"/>
            <rFont val="Tahoma"/>
            <family val="2"/>
          </rPr>
          <t>Kapale, Vikram:</t>
        </r>
        <r>
          <rPr>
            <sz val="9"/>
            <color indexed="81"/>
            <rFont val="Tahoma"/>
            <family val="2"/>
          </rPr>
          <t xml:space="preserve">
Should start with - (minus) Sign</t>
        </r>
      </text>
    </comment>
  </commentList>
</comments>
</file>

<file path=xl/sharedStrings.xml><?xml version="1.0" encoding="utf-8"?>
<sst xmlns="http://schemas.openxmlformats.org/spreadsheetml/2006/main" count="5438" uniqueCount="1707">
  <si>
    <t>Action</t>
  </si>
  <si>
    <t>Headers</t>
  </si>
  <si>
    <t>Headers Description</t>
  </si>
  <si>
    <t>FRAMEWORK</t>
  </si>
  <si>
    <t>INDEX</t>
  </si>
  <si>
    <t>STATUS</t>
  </si>
  <si>
    <t>TC_STATUS_MESSAGE</t>
  </si>
  <si>
    <t>SNAPSHOT_PATH</t>
  </si>
  <si>
    <t>RESULTS_PATH</t>
  </si>
  <si>
    <t>Test Case Name</t>
  </si>
  <si>
    <t>App_Env</t>
  </si>
  <si>
    <t>App_Name][App_Env][UserType</t>
  </si>
  <si>
    <t>App_Name</t>
  </si>
  <si>
    <t>UserType</t>
  </si>
  <si>
    <t>Sr. No</t>
  </si>
  <si>
    <t>TEST CASE NAME</t>
  </si>
  <si>
    <t>URL</t>
  </si>
  <si>
    <t>Timeout</t>
  </si>
  <si>
    <t>UserID</t>
  </si>
  <si>
    <t>Password</t>
  </si>
  <si>
    <t>Status</t>
  </si>
  <si>
    <t>AdditionalDetail</t>
  </si>
  <si>
    <t>Maker</t>
  </si>
  <si>
    <t>Not Active</t>
  </si>
  <si>
    <t>Datasheet Version</t>
  </si>
  <si>
    <t>1.0</t>
  </si>
  <si>
    <t>Created By</t>
  </si>
  <si>
    <t>Ninad Kambli</t>
  </si>
  <si>
    <t>Date</t>
  </si>
  <si>
    <t>Modified By</t>
  </si>
  <si>
    <t>Purpose</t>
  </si>
  <si>
    <t>Name of the sheet where modification is done</t>
  </si>
  <si>
    <t>Modification date</t>
  </si>
  <si>
    <t>BUSINESS_COMPONENT</t>
  </si>
  <si>
    <t>HEADERS_USED</t>
  </si>
  <si>
    <t>BUSINESS_COMPONENTS_USED</t>
  </si>
  <si>
    <t>TESTCASES</t>
  </si>
  <si>
    <t>Dependency</t>
  </si>
  <si>
    <t>TEST_CASE</t>
  </si>
  <si>
    <t>MAPPING_INDEX</t>
  </si>
  <si>
    <t>TEST_CASE][MAPPING_INDEX</t>
  </si>
  <si>
    <t>Copy_BCHeader_Values</t>
  </si>
  <si>
    <t>SOURCE_HEADERS</t>
  </si>
  <si>
    <t>TARGET_HEADERS</t>
  </si>
  <si>
    <t>SOURCE_HEADERS][TARGET_HEADERS</t>
  </si>
  <si>
    <t>Copy_TC_to_TC</t>
  </si>
  <si>
    <t>SourceTC</t>
  </si>
  <si>
    <t>SourceIndex</t>
  </si>
  <si>
    <t>SourceTCHeader</t>
  </si>
  <si>
    <t>TargetTCHeader</t>
  </si>
  <si>
    <t>SourceTC][SourceIndex][SourceTCHeader][TargetTCHeader</t>
  </si>
  <si>
    <t>TCNAME</t>
  </si>
  <si>
    <t>INDEX][TCNAME][STATUS][TC_STATUS_MESSAGE][SNAPSHOT_PATH][RESULTS_PATH</t>
  </si>
  <si>
    <t>Clear_Header_Values</t>
  </si>
  <si>
    <t>ClearHeaders</t>
  </si>
  <si>
    <t>Start_Time</t>
  </si>
  <si>
    <t>End_Time</t>
  </si>
  <si>
    <t>Total_Execution_Time</t>
  </si>
  <si>
    <t>SALT</t>
  </si>
  <si>
    <t>kapalev</t>
  </si>
  <si>
    <t>Cash Passport</t>
  </si>
  <si>
    <t>Indonesia, Rupiah</t>
  </si>
  <si>
    <t>Purchase Cash</t>
  </si>
  <si>
    <t>None</t>
  </si>
  <si>
    <t>New Zealand, Dollar</t>
  </si>
  <si>
    <t>Currencies</t>
  </si>
  <si>
    <t>Product</t>
  </si>
  <si>
    <t>AnotherCur</t>
  </si>
  <si>
    <t>Australia, Dollar</t>
  </si>
  <si>
    <t>Canada, Dollar</t>
  </si>
  <si>
    <t>Multi Currency Passport</t>
  </si>
  <si>
    <t>Purchase Multi-Currency Cash Passport</t>
  </si>
  <si>
    <t>Denmark, Krone</t>
  </si>
  <si>
    <t>Reload Cash Passport</t>
  </si>
  <si>
    <t>Euro</t>
  </si>
  <si>
    <t>Hong Kong, Dollar</t>
  </si>
  <si>
    <t>Japan, Yen</t>
  </si>
  <si>
    <t>United Kingdom, Pound</t>
  </si>
  <si>
    <t>Passport</t>
  </si>
  <si>
    <t>Cash</t>
  </si>
  <si>
    <t>AdminProductType</t>
  </si>
  <si>
    <t>AdminForeignCurrencyCash</t>
  </si>
  <si>
    <t>AdminForeignCurrencyCashPassport</t>
  </si>
  <si>
    <t>AUD</t>
  </si>
  <si>
    <t>CAD</t>
  </si>
  <si>
    <t>EUR</t>
  </si>
  <si>
    <t>GBP</t>
  </si>
  <si>
    <t>JPY</t>
  </si>
  <si>
    <t>USD</t>
  </si>
  <si>
    <t>CashPassport</t>
  </si>
  <si>
    <t>DKK</t>
  </si>
  <si>
    <t>HKD</t>
  </si>
  <si>
    <t>IDR</t>
  </si>
  <si>
    <t>MXN</t>
  </si>
  <si>
    <t>NZD</t>
  </si>
  <si>
    <t>SAR</t>
  </si>
  <si>
    <t>Admin</t>
  </si>
  <si>
    <t>Buy_Product</t>
  </si>
  <si>
    <t>LST_SALT_Home{Foreign_Currency}</t>
  </si>
  <si>
    <t>EDT_SALT_Home{Foreign_Amount}</t>
  </si>
  <si>
    <t>HandleSecurityAlert</t>
  </si>
  <si>
    <t>Actual_ForeignAmount</t>
  </si>
  <si>
    <t>Actual_LocalAmount</t>
  </si>
  <si>
    <t>LBL_SALT_Home{Foreign_CurrencyCode}</t>
  </si>
  <si>
    <t>Local_CurrencyCode</t>
  </si>
  <si>
    <t>EDT_SALT_Home{Local_Amount}</t>
  </si>
  <si>
    <r>
      <t>LST_SALT_Home</t>
    </r>
    <r>
      <rPr>
        <b/>
        <sz val="10"/>
        <color theme="1"/>
        <rFont val="Calibri"/>
        <family val="2"/>
        <scheme val="minor"/>
      </rPr>
      <t>{Foreign_Currency}</t>
    </r>
  </si>
  <si>
    <r>
      <t>EDT_SALT_Home</t>
    </r>
    <r>
      <rPr>
        <b/>
        <sz val="10"/>
        <color theme="1"/>
        <rFont val="Calibri"/>
        <family val="2"/>
        <scheme val="minor"/>
      </rPr>
      <t>{Foreign_Amount}</t>
    </r>
  </si>
  <si>
    <r>
      <t>LBL_SALT_Home</t>
    </r>
    <r>
      <rPr>
        <b/>
        <sz val="10"/>
        <color theme="1"/>
        <rFont val="Calibri"/>
        <family val="2"/>
        <scheme val="minor"/>
      </rPr>
      <t>{Foreign_CurrencyCode}</t>
    </r>
  </si>
  <si>
    <r>
      <t>EDT_SALT_Home</t>
    </r>
    <r>
      <rPr>
        <b/>
        <sz val="10"/>
        <color theme="1"/>
        <rFont val="Calibri"/>
        <family val="2"/>
        <scheme val="minor"/>
      </rPr>
      <t>{Local_Amount}</t>
    </r>
  </si>
  <si>
    <t>EnterFirstOrderDetail</t>
  </si>
  <si>
    <t>VerifyFirstOrder</t>
  </si>
  <si>
    <t>Add_ProductType</t>
  </si>
  <si>
    <t>Add_ForeignCurrency</t>
  </si>
  <si>
    <t>Add_ForeignAmount</t>
  </si>
  <si>
    <t>Add_Foreign_CurrencyCode</t>
  </si>
  <si>
    <t>Add_LocalAmount</t>
  </si>
  <si>
    <t>Add_Local_CurrencyCode</t>
  </si>
  <si>
    <t>Add_OrderType</t>
  </si>
  <si>
    <t>AddOrder</t>
  </si>
  <si>
    <t>EDT_SALT_ShippingOption{Location}</t>
  </si>
  <si>
    <t>Shipping_Type</t>
  </si>
  <si>
    <t>Availability_Message</t>
  </si>
  <si>
    <t>PricePromise_Message</t>
  </si>
  <si>
    <t>DeliveryDate</t>
  </si>
  <si>
    <t>Selected_DeliveryDate</t>
  </si>
  <si>
    <t>Selected_DeliveryCost</t>
  </si>
  <si>
    <t>Selected_FulfilmentOption</t>
  </si>
  <si>
    <t>LST_SALT_Pay{Title}</t>
  </si>
  <si>
    <t>EDT_SALT_Pay{FirstName}</t>
  </si>
  <si>
    <t>EDT_SALT_Pay{MiddleName}</t>
  </si>
  <si>
    <t>EDT_SALT_Pay{LastName}</t>
  </si>
  <si>
    <t>LST_SALT_Pay{DOB_MM}</t>
  </si>
  <si>
    <t>LST_SALT_Pay{DOB_DD}</t>
  </si>
  <si>
    <t>LST_SALT_Pay{DOB_YYYY}</t>
  </si>
  <si>
    <t>EDT_SALT_Pay{Mother_MaidenName}</t>
  </si>
  <si>
    <t>LST_SALT_Pay{ID_Type}</t>
  </si>
  <si>
    <t>LST_SALT_Pay{CountryOfIssue}</t>
  </si>
  <si>
    <t>LST_SALT_Pay{StateOfIssue}</t>
  </si>
  <si>
    <t>EDT_SALT_Pay{ID_Number}</t>
  </si>
  <si>
    <t>LST_SALT_Pay{IDExpiry_MM}</t>
  </si>
  <si>
    <t>LST_SALT_Pay{IDExpiry_DD}</t>
  </si>
  <si>
    <t>LST_SALT_Pay{IDExpiry_YYYY}</t>
  </si>
  <si>
    <t>EDT_SALT_Pay{Cell_Phone}</t>
  </si>
  <si>
    <t>EDT_SALT_Pay{Home_Phone}</t>
  </si>
  <si>
    <t>EDT_SALT_Pay{Email_Address}</t>
  </si>
  <si>
    <t>EDT_SALT_Pay{Confirm_EmailAddress}</t>
  </si>
  <si>
    <t>EDT_SALT_Pay{Street_Address}</t>
  </si>
  <si>
    <t>EDT_SALT_Pay{Apartment_Number}</t>
  </si>
  <si>
    <t>EDT_SALT_Pay{City}</t>
  </si>
  <si>
    <t>EDT_SALT_Pay{Zip}</t>
  </si>
  <si>
    <t>LST_SALT_Pay{Card_Type}</t>
  </si>
  <si>
    <t>EDT_SALT_Pay{Card_Number}</t>
  </si>
  <si>
    <t>EDT_SALT_Pay{Card_FirstName}</t>
  </si>
  <si>
    <t>EDT_SALT_Pay{Card_LastName}</t>
  </si>
  <si>
    <t>EDT_SALT_Pay{Security_Code}</t>
  </si>
  <si>
    <t>CHK_SALT_Pay{Special_Offers}</t>
  </si>
  <si>
    <t>CHK_SALT_Pay{TermsAndConditions}</t>
  </si>
  <si>
    <t>Confirmation</t>
  </si>
  <si>
    <t>NOD_SALT_Confirmation{Order_Number}</t>
  </si>
  <si>
    <t>Residential_State</t>
  </si>
  <si>
    <r>
      <t>EDT_SALT_ShippingOption</t>
    </r>
    <r>
      <rPr>
        <b/>
        <sz val="10"/>
        <color theme="1"/>
        <rFont val="Calibri"/>
        <family val="2"/>
        <scheme val="minor"/>
      </rPr>
      <t>{Location}</t>
    </r>
  </si>
  <si>
    <r>
      <t>LST_SALT_Pay</t>
    </r>
    <r>
      <rPr>
        <b/>
        <sz val="10"/>
        <color theme="1"/>
        <rFont val="Calibri"/>
        <family val="2"/>
        <scheme val="minor"/>
      </rPr>
      <t>{Title}</t>
    </r>
  </si>
  <si>
    <r>
      <t>EDT_SALT_Pay</t>
    </r>
    <r>
      <rPr>
        <b/>
        <sz val="10"/>
        <color theme="1"/>
        <rFont val="Calibri"/>
        <family val="2"/>
        <scheme val="minor"/>
      </rPr>
      <t>{FirstName}</t>
    </r>
  </si>
  <si>
    <r>
      <t>EDT_SALT_Pay</t>
    </r>
    <r>
      <rPr>
        <b/>
        <sz val="10"/>
        <color theme="1"/>
        <rFont val="Calibri"/>
        <family val="2"/>
        <scheme val="minor"/>
      </rPr>
      <t>{LastName}</t>
    </r>
  </si>
  <si>
    <r>
      <t>LST_SALT_Pay</t>
    </r>
    <r>
      <rPr>
        <b/>
        <sz val="10"/>
        <color theme="1"/>
        <rFont val="Calibri"/>
        <family val="2"/>
        <scheme val="minor"/>
      </rPr>
      <t>{DOB_MM}</t>
    </r>
  </si>
  <si>
    <r>
      <t>LST_SALT_Pay</t>
    </r>
    <r>
      <rPr>
        <b/>
        <sz val="10"/>
        <color theme="1"/>
        <rFont val="Calibri"/>
        <family val="2"/>
        <scheme val="minor"/>
      </rPr>
      <t>{DOB_DD}</t>
    </r>
  </si>
  <si>
    <r>
      <t>LST_SALT_Pay</t>
    </r>
    <r>
      <rPr>
        <b/>
        <sz val="10"/>
        <color theme="1"/>
        <rFont val="Calibri"/>
        <family val="2"/>
        <scheme val="minor"/>
      </rPr>
      <t>{DOB_YYYY}</t>
    </r>
  </si>
  <si>
    <r>
      <t>EDT_SALT_Pay</t>
    </r>
    <r>
      <rPr>
        <b/>
        <sz val="10"/>
        <color theme="1"/>
        <rFont val="Calibri"/>
        <family val="2"/>
        <scheme val="minor"/>
      </rPr>
      <t>{Mother_MaidenName}</t>
    </r>
  </si>
  <si>
    <r>
      <t>LST_SALT_Pay</t>
    </r>
    <r>
      <rPr>
        <b/>
        <sz val="10"/>
        <color theme="1"/>
        <rFont val="Calibri"/>
        <family val="2"/>
        <scheme val="minor"/>
      </rPr>
      <t>{ID_Type}</t>
    </r>
  </si>
  <si>
    <r>
      <t>LST_SALT_Pay</t>
    </r>
    <r>
      <rPr>
        <b/>
        <sz val="10"/>
        <color theme="1"/>
        <rFont val="Calibri"/>
        <family val="2"/>
        <scheme val="minor"/>
      </rPr>
      <t>{CountryOfIssue}</t>
    </r>
  </si>
  <si>
    <r>
      <t>LST_SALT_Pay</t>
    </r>
    <r>
      <rPr>
        <b/>
        <sz val="10"/>
        <color theme="1"/>
        <rFont val="Calibri"/>
        <family val="2"/>
        <scheme val="minor"/>
      </rPr>
      <t>{StateOfIssue}</t>
    </r>
  </si>
  <si>
    <r>
      <t>EDT_SALT_Pay</t>
    </r>
    <r>
      <rPr>
        <b/>
        <sz val="10"/>
        <color theme="1"/>
        <rFont val="Calibri"/>
        <family val="2"/>
        <scheme val="minor"/>
      </rPr>
      <t>{ID_Number}</t>
    </r>
  </si>
  <si>
    <r>
      <t>LST_SALT_Pay</t>
    </r>
    <r>
      <rPr>
        <b/>
        <sz val="10"/>
        <color theme="1"/>
        <rFont val="Calibri"/>
        <family val="2"/>
        <scheme val="minor"/>
      </rPr>
      <t>{IDExpiry_MM}</t>
    </r>
  </si>
  <si>
    <r>
      <t>LST_SALT_Pay</t>
    </r>
    <r>
      <rPr>
        <b/>
        <sz val="10"/>
        <color theme="1"/>
        <rFont val="Calibri"/>
        <family val="2"/>
        <scheme val="minor"/>
      </rPr>
      <t>{IDExpiry_DD}</t>
    </r>
  </si>
  <si>
    <r>
      <t>LST_SALT_Pay</t>
    </r>
    <r>
      <rPr>
        <b/>
        <sz val="10"/>
        <color theme="1"/>
        <rFont val="Calibri"/>
        <family val="2"/>
        <scheme val="minor"/>
      </rPr>
      <t>{IDExpiry_YYYY}</t>
    </r>
  </si>
  <si>
    <r>
      <t>EDT_SALT_Pay</t>
    </r>
    <r>
      <rPr>
        <b/>
        <sz val="10"/>
        <color theme="1"/>
        <rFont val="Calibri"/>
        <family val="2"/>
        <scheme val="minor"/>
      </rPr>
      <t>{Cell_Phone}</t>
    </r>
  </si>
  <si>
    <r>
      <t>EDT_SALT_Pay</t>
    </r>
    <r>
      <rPr>
        <b/>
        <sz val="10"/>
        <color theme="1"/>
        <rFont val="Calibri"/>
        <family val="2"/>
        <scheme val="minor"/>
      </rPr>
      <t>{Home_Phone}</t>
    </r>
  </si>
  <si>
    <r>
      <t>EDT_SALT_Pay</t>
    </r>
    <r>
      <rPr>
        <b/>
        <sz val="10"/>
        <color theme="1"/>
        <rFont val="Calibri"/>
        <family val="2"/>
        <scheme val="minor"/>
      </rPr>
      <t>{Email_Address}</t>
    </r>
  </si>
  <si>
    <r>
      <t>EDT_SALT_Pay</t>
    </r>
    <r>
      <rPr>
        <b/>
        <sz val="10"/>
        <color theme="1"/>
        <rFont val="Calibri"/>
        <family val="2"/>
        <scheme val="minor"/>
      </rPr>
      <t>{Confirm_EmailAddress}</t>
    </r>
  </si>
  <si>
    <r>
      <t>EDT_SALT_Pay</t>
    </r>
    <r>
      <rPr>
        <b/>
        <sz val="10"/>
        <color theme="1"/>
        <rFont val="Calibri"/>
        <family val="2"/>
        <scheme val="minor"/>
      </rPr>
      <t>{Street_Address}</t>
    </r>
  </si>
  <si>
    <r>
      <t>EDT_SALT_Pay</t>
    </r>
    <r>
      <rPr>
        <b/>
        <sz val="10"/>
        <color theme="1"/>
        <rFont val="Calibri"/>
        <family val="2"/>
        <scheme val="minor"/>
      </rPr>
      <t>{Apartment_Number}</t>
    </r>
  </si>
  <si>
    <r>
      <t>EDT_SALT_Pay</t>
    </r>
    <r>
      <rPr>
        <b/>
        <sz val="10"/>
        <color theme="1"/>
        <rFont val="Calibri"/>
        <family val="2"/>
        <scheme val="minor"/>
      </rPr>
      <t>{City}</t>
    </r>
  </si>
  <si>
    <r>
      <t>EDT_SALT_Pay</t>
    </r>
    <r>
      <rPr>
        <b/>
        <sz val="10"/>
        <color theme="1"/>
        <rFont val="Calibri"/>
        <family val="2"/>
        <scheme val="minor"/>
      </rPr>
      <t>{Zip}</t>
    </r>
  </si>
  <si>
    <r>
      <t>LST_SALT_Pay</t>
    </r>
    <r>
      <rPr>
        <b/>
        <sz val="10"/>
        <color theme="1"/>
        <rFont val="Calibri"/>
        <family val="2"/>
        <scheme val="minor"/>
      </rPr>
      <t>{Card_Type}</t>
    </r>
  </si>
  <si>
    <r>
      <t>EDT_SALT_Pay</t>
    </r>
    <r>
      <rPr>
        <b/>
        <sz val="10"/>
        <color theme="1"/>
        <rFont val="Calibri"/>
        <family val="2"/>
        <scheme val="minor"/>
      </rPr>
      <t>{Card_Number}</t>
    </r>
  </si>
  <si>
    <r>
      <t>EDT_SALT_Pay</t>
    </r>
    <r>
      <rPr>
        <b/>
        <sz val="10"/>
        <color theme="1"/>
        <rFont val="Calibri"/>
        <family val="2"/>
        <scheme val="minor"/>
      </rPr>
      <t>{Card_FirstName}</t>
    </r>
  </si>
  <si>
    <r>
      <t>EDT_SALT_Pay</t>
    </r>
    <r>
      <rPr>
        <b/>
        <sz val="10"/>
        <color theme="1"/>
        <rFont val="Calibri"/>
        <family val="2"/>
        <scheme val="minor"/>
      </rPr>
      <t>{Card_LastName}</t>
    </r>
  </si>
  <si>
    <r>
      <t>EDT_SALT_Pay</t>
    </r>
    <r>
      <rPr>
        <b/>
        <sz val="10"/>
        <color theme="1"/>
        <rFont val="Calibri"/>
        <family val="2"/>
        <scheme val="minor"/>
      </rPr>
      <t>{Security_Code}</t>
    </r>
  </si>
  <si>
    <r>
      <t>CHK_SALT_Pay</t>
    </r>
    <r>
      <rPr>
        <b/>
        <sz val="10"/>
        <color theme="1"/>
        <rFont val="Calibri"/>
        <family val="2"/>
        <scheme val="minor"/>
      </rPr>
      <t>{Special_Offers}</t>
    </r>
  </si>
  <si>
    <r>
      <t>CHK_SALT_Pay</t>
    </r>
    <r>
      <rPr>
        <b/>
        <sz val="10"/>
        <color theme="1"/>
        <rFont val="Calibri"/>
        <family val="2"/>
        <scheme val="minor"/>
      </rPr>
      <t>{TermsAndConditions}</t>
    </r>
  </si>
  <si>
    <r>
      <t>NOD_SALT_Confirmation</t>
    </r>
    <r>
      <rPr>
        <b/>
        <sz val="10"/>
        <color theme="1"/>
        <rFont val="Calibri"/>
        <family val="2"/>
        <scheme val="minor"/>
      </rPr>
      <t>{Order_Number}</t>
    </r>
  </si>
  <si>
    <t>EDT_SALT_CreateOrder{Primary_CardNumber}</t>
  </si>
  <si>
    <r>
      <t>EDT_SALT_CreateOrder</t>
    </r>
    <r>
      <rPr>
        <b/>
        <sz val="10"/>
        <color theme="1"/>
        <rFont val="Calibri"/>
        <family val="2"/>
        <scheme val="minor"/>
      </rPr>
      <t>{Primary_CardNumber}</t>
    </r>
  </si>
  <si>
    <t>4111111111111111</t>
  </si>
  <si>
    <t>OrderTotal</t>
  </si>
  <si>
    <t>ProductType</t>
  </si>
  <si>
    <t>ForeignAmount</t>
  </si>
  <si>
    <t>OrderNumber</t>
  </si>
  <si>
    <t>StoreName</t>
  </si>
  <si>
    <t>SelectStore</t>
  </si>
  <si>
    <t>PackOrder</t>
  </si>
  <si>
    <t>PrimaryCardNumber</t>
  </si>
  <si>
    <t>Pre-Req</t>
  </si>
  <si>
    <t>FraudOrdersInReview</t>
  </si>
  <si>
    <t>AdminFraudReviewSettle</t>
  </si>
  <si>
    <t>AdminFraudReviewReject</t>
  </si>
  <si>
    <t>CheckRefundDashBoard</t>
  </si>
  <si>
    <t>RefundCancellation</t>
  </si>
  <si>
    <t>CheckVaultDashBoardView</t>
  </si>
  <si>
    <t>CheckVaultDashBoardOrdersToPack</t>
  </si>
  <si>
    <t>CheckOrdersToPack</t>
  </si>
  <si>
    <t>CheckOrdersToPickUp</t>
  </si>
  <si>
    <t>CheckOrdersToUnpack</t>
  </si>
  <si>
    <t>StorePackCashOrder</t>
  </si>
  <si>
    <t>StorePackCashPassportOrder</t>
  </si>
  <si>
    <t>StoreDayEndOrdersPackedInSafe</t>
  </si>
  <si>
    <t>StoreDayEndOrdersCompleted</t>
  </si>
  <si>
    <t>PickUpCashOrder</t>
  </si>
  <si>
    <t>PickUpCashPassportOrder</t>
  </si>
  <si>
    <t>CancelledPendingUnpackingstore</t>
  </si>
  <si>
    <t>CancelledPendingPackingstore</t>
  </si>
  <si>
    <t>CancelledPendingScheduled</t>
  </si>
  <si>
    <t>IE</t>
  </si>
  <si>
    <t>RefundDashboardCancellation</t>
  </si>
  <si>
    <t>VaultDashBoardView</t>
  </si>
  <si>
    <t>VaultDashBoardOrdersToPack</t>
  </si>
  <si>
    <t>Currency_Amount</t>
  </si>
  <si>
    <t>Currency][Amount</t>
  </si>
  <si>
    <t>Add_Another_Currency</t>
  </si>
  <si>
    <t>Product_Name][("LST_SALT_FullSite{ProductType_CurrentOrderPage}")][("LST_SALT_FullSite{Currency_CurrentOrderPage}")][("EDT_SALT_FullSite{ForeignAmount_CurrentOrderPage}")</t>
  </si>
  <si>
    <t>Receive_Order</t>
  </si>
  <si>
    <t>EDT_SALT_FullSite{Receive_Your_Order_CreateOrderPage}</t>
  </si>
  <si>
    <t>Shipping_opt</t>
  </si>
  <si>
    <t>Select_Date</t>
  </si>
  <si>
    <t>Currency_Add_Next</t>
  </si>
  <si>
    <t>StorePickUp</t>
  </si>
  <si>
    <t>Cash_CashPassport][LST_SALT_FullSite{ProductType_CurrentOrderPage}][LST_SALT_FullSite{Currency_CurrentOrderPage}][EDT_SALT_FullSite{ForeignAmount_CurrentOrderPage}</t>
  </si>
  <si>
    <t>Home_Delivery</t>
  </si>
  <si>
    <t>GetCurrencySellSpotRate</t>
  </si>
  <si>
    <t>Admin Product Type][Admin Foreign Currency][CurrencyRate</t>
  </si>
  <si>
    <t>SaltAdminLogoutAndClose</t>
  </si>
  <si>
    <t>SiteContect_value</t>
  </si>
  <si>
    <t>Section Name][Field Name</t>
  </si>
  <si>
    <t>Select_Country</t>
  </si>
  <si>
    <t>LST_SALT_Admin{Country}</t>
  </si>
  <si>
    <t>Purchase_Cash</t>
  </si>
  <si>
    <t>Sort_Currencies_Admin</t>
  </si>
  <si>
    <t>Purchase_CashPassport</t>
  </si>
  <si>
    <t>Sort_Cur_CashPassport</t>
  </si>
  <si>
    <t>Salt_URL_launch</t>
  </si>
  <si>
    <t>CheckFraudOrderInReview</t>
  </si>
  <si>
    <t>GetOrderStatus</t>
  </si>
  <si>
    <t>FraudReviewAcceptReject</t>
  </si>
  <si>
    <t>OrderNumber][Action</t>
  </si>
  <si>
    <t>GetOrderPaymentType</t>
  </si>
  <si>
    <t>FraudReview</t>
  </si>
  <si>
    <t>Action][OrderNumber</t>
  </si>
  <si>
    <t>RefundDashBoard</t>
  </si>
  <si>
    <t>DayEndOrdersPackedInSafe</t>
  </si>
  <si>
    <t>DayEndOrdersCompleted</t>
  </si>
  <si>
    <t>PickUpOrder</t>
  </si>
  <si>
    <t>OrdersToUnPack</t>
  </si>
  <si>
    <t>CancelPendingPackingStoreAndHome</t>
  </si>
  <si>
    <t>OrdersToPack</t>
  </si>
  <si>
    <t>MakeOrderCancelledPendingRefund</t>
  </si>
  <si>
    <t>OrderNumber][PrimaryCardNumber][TrackingID</t>
  </si>
  <si>
    <t>PackOrderStatusCheck</t>
  </si>
  <si>
    <t>OrdersToPickUp</t>
  </si>
  <si>
    <t>CountryLoadBeforeExecution</t>
  </si>
  <si>
    <t>Currency</t>
  </si>
  <si>
    <t>Amount</t>
  </si>
  <si>
    <t>Product_Name</t>
  </si>
  <si>
    <t>("LST_SALT_FullSite{ProductType_CurrentOrderPage}")</t>
  </si>
  <si>
    <t>("LST_SALT_FullSite{Currency_CurrentOrderPage}")</t>
  </si>
  <si>
    <t>("EDT_SALT_FullSite{ForeignAmount_CurrentOrderPage}")</t>
  </si>
  <si>
    <t>Cash_CashPassport</t>
  </si>
  <si>
    <t>LST_SALT_FullSite{ProductType_CurrentOrderPage}</t>
  </si>
  <si>
    <t>LST_SALT_FullSite{Currency_CurrentOrderPage}</t>
  </si>
  <si>
    <t>EDT_SALT_FullSite{ForeignAmount_CurrentOrderPage}</t>
  </si>
  <si>
    <t>Admin Product Type</t>
  </si>
  <si>
    <t>Admin Foreign Currency</t>
  </si>
  <si>
    <t>CurrencyRate</t>
  </si>
  <si>
    <t>Section Name</t>
  </si>
  <si>
    <t>Field Name</t>
  </si>
  <si>
    <t>CustomerName</t>
  </si>
  <si>
    <t>PickupDate</t>
  </si>
  <si>
    <t>CashPassportPAN</t>
  </si>
  <si>
    <t>ProductTotal</t>
  </si>
  <si>
    <t>PANs</t>
  </si>
  <si>
    <t>TrackingID</t>
  </si>
  <si>
    <t>FraudAction</t>
  </si>
  <si>
    <t>Settle</t>
  </si>
  <si>
    <t>Reject</t>
  </si>
  <si>
    <r>
      <t>("LST_SALT_FullSite</t>
    </r>
    <r>
      <rPr>
        <b/>
        <sz val="10"/>
        <color theme="1"/>
        <rFont val="Calibri"/>
        <family val="2"/>
        <scheme val="minor"/>
      </rPr>
      <t>{ProductType_CurrentOrderPage}")</t>
    </r>
  </si>
  <si>
    <r>
      <t>("LST_SALT_FullSite</t>
    </r>
    <r>
      <rPr>
        <b/>
        <sz val="10"/>
        <color theme="1"/>
        <rFont val="Calibri"/>
        <family val="2"/>
        <scheme val="minor"/>
      </rPr>
      <t>{Currency_CurrentOrderPage}")</t>
    </r>
  </si>
  <si>
    <r>
      <t>("EDT_SALT_FullSite</t>
    </r>
    <r>
      <rPr>
        <b/>
        <sz val="10"/>
        <color theme="1"/>
        <rFont val="Calibri"/>
        <family val="2"/>
        <scheme val="minor"/>
      </rPr>
      <t>{ForeignAmount_CurrentOrderPage}")</t>
    </r>
  </si>
  <si>
    <r>
      <t>EDT_SALT_FullSite</t>
    </r>
    <r>
      <rPr>
        <b/>
        <sz val="10"/>
        <color theme="1"/>
        <rFont val="Calibri"/>
        <family val="2"/>
        <scheme val="minor"/>
      </rPr>
      <t>{Receive_Your_Order_CreateOrderPage}</t>
    </r>
  </si>
  <si>
    <r>
      <t>LST_SALT_FullSite</t>
    </r>
    <r>
      <rPr>
        <b/>
        <sz val="10"/>
        <color theme="1"/>
        <rFont val="Calibri"/>
        <family val="2"/>
        <scheme val="minor"/>
      </rPr>
      <t>{ProductType_CurrentOrderPage}</t>
    </r>
  </si>
  <si>
    <r>
      <t>LST_SALT_FullSite</t>
    </r>
    <r>
      <rPr>
        <b/>
        <sz val="10"/>
        <color theme="1"/>
        <rFont val="Calibri"/>
        <family val="2"/>
        <scheme val="minor"/>
      </rPr>
      <t>{Currency_CurrentOrderPage}</t>
    </r>
  </si>
  <si>
    <r>
      <t>EDT_SALT_FullSite</t>
    </r>
    <r>
      <rPr>
        <b/>
        <sz val="10"/>
        <color theme="1"/>
        <rFont val="Calibri"/>
        <family val="2"/>
        <scheme val="minor"/>
      </rPr>
      <t>{ForeignAmount_CurrentOrderPage}</t>
    </r>
  </si>
  <si>
    <r>
      <t>LST_SALT_Admin</t>
    </r>
    <r>
      <rPr>
        <b/>
        <sz val="10"/>
        <color theme="1"/>
        <rFont val="Calibri"/>
        <family val="2"/>
        <scheme val="minor"/>
      </rPr>
      <t>{Country}</t>
    </r>
  </si>
  <si>
    <t>SecondaryCardNumber</t>
  </si>
  <si>
    <t>OrderNumber][PrimaryCardNumber][SecondaryCardNumber][StoreName</t>
  </si>
  <si>
    <t>AdminCancelPendingUnpckingStore</t>
  </si>
  <si>
    <t>fail order status has not been displayed  - Which is not in the fraud revies</t>
  </si>
  <si>
    <t>Salt_Login</t>
  </si>
  <si>
    <t>Salt_Logout</t>
  </si>
  <si>
    <t>CallCenter_SubmitNewOrder</t>
  </si>
  <si>
    <t>ChangeOrderIDPickUpDate</t>
  </si>
  <si>
    <t>HappyPath_SingleProduct_AUS</t>
  </si>
  <si>
    <t>HappyPath_MultipleProduct_AUS</t>
  </si>
  <si>
    <t>PurchaseFunnel_SingleProduct_AUS</t>
  </si>
  <si>
    <t>PurchaseFunnel_MultipleProduct_AUS</t>
  </si>
  <si>
    <t>CheckCallCenterOptions</t>
  </si>
  <si>
    <t>VerifySubmitNewOrderOption</t>
  </si>
  <si>
    <t>PartnerName][PartnerID</t>
  </si>
  <si>
    <t>CurrentOrderPage</t>
  </si>
  <si>
    <t>ProductType][ForeignCurrency][ForeignAmount][Foreign_CurrencyCode][LocalAmount][Local_CurrencyCode</t>
  </si>
  <si>
    <t>OrderSearchTC</t>
  </si>
  <si>
    <t>OrderNumber][StoreName</t>
  </si>
  <si>
    <t>PackOrderFirst</t>
  </si>
  <si>
    <t>OrderNumber][PrimaryCardNumber</t>
  </si>
  <si>
    <t>ChangeOrderID</t>
  </si>
  <si>
    <t>ChangePickUpDate</t>
  </si>
  <si>
    <t>Verify_Vault</t>
  </si>
  <si>
    <t>Salt_Login][EnterFirstOrderDetail][VerifyFirstOrder][AddOrder][ValidateOrderSummary][EnterShippingLocation][SelectFulfilmentOption][DeliveryDate][PayAus][Confirmation][Salt_Logout</t>
  </si>
  <si>
    <t>Salt_Login][PF_EnterFirstOrderDetail][EnterFirstOrderDetail][VerifyFirstOrder][ValidateOrderSummary][AddOrder][EnterShippingLocation][EnterShippingLocation][EnterShippingLocation][EnterShippingLocation][EnterShippingLocation][PF_ShippingOptions][SelectFulfilmentOption][DeliveryDate][PayAus][Confirmation][Salt_Logout</t>
  </si>
  <si>
    <t>ValidateOrderSummary</t>
  </si>
  <si>
    <t>Buy_Product][LST_SALT_Home{Foreign_Currency}][Actual_ForeignAmount][Actual_LocalAmount][LBL_SALT_Home{Foreign_CurrencyCode}][Local_CurrencyCode][Availability_Message][PricePromise_Message][EDT_SALT_CreateOrder{Primary_CardNumber}</t>
  </si>
  <si>
    <t>Add_OrderType][Add_ProductType][Add_ForeignCurrency][Add_ForeignAmount][Add_Foreign_CurrencyCode][Add_LocalAmount][Add_Local_CurrencyCode][Add_ActualForeignAmount</t>
  </si>
  <si>
    <t>Selected_DeliveryCost][NOD_SALT_Confirmation{Order_Number}][EDT_SALT_Pay{Street_Address}][EDT_SALT_Pay{Apartment_Number}][EDT_SALT_Pay{City}][EDT_SALT_Pay{Zip}][Order_Total</t>
  </si>
  <si>
    <t>GetAdminDetails</t>
  </si>
  <si>
    <t>PF_EnterFirstOrderDetail</t>
  </si>
  <si>
    <t>PF_ShippingOptions</t>
  </si>
  <si>
    <t>EnterShippingLocation</t>
  </si>
  <si>
    <t>EDT_SALT_ShippingOption{Location}][Validation_Type</t>
  </si>
  <si>
    <t>SelectFulfilmentOption</t>
  </si>
  <si>
    <t>PayAus</t>
  </si>
  <si>
    <t>PayNZ</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</si>
  <si>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LST_SALT_Pay{Card_Type}][EDT_SALT_Pay{Card_Number}][EDT_SALT_Pay{Card_FirstName}][EDT_SALT_Pay{Card_LastName}][EDT_SALT_Pay{Security_Code}][LST_SALT_PayAus{CardExpiry_Month}][LST_SALT_PayAus{CardExpiry_Year}][CHK_SALT_PayAus{Use_Residential}][EDT_SALT_PayAus{Billing_StreetAddress}][EDT_SALT_PayAus{Billing_Suburb}][EDT_SALT_PayAus{Billing_City}][EDT_SALT_PayAus{Billing_Postcode}][CHK_SALT_Pay{Special_Offers}][CHK_SALT_Pay{TermsAndConditions}][Order_Total</t>
  </si>
  <si>
    <t>PayCan</t>
  </si>
  <si>
    <t>LST_SALT_Pay{Title}][EDT_SALT_Pay{FirstName}][EDT_SALT_Pay{MiddleName}][EDT_SALT_Pay{LastName}][LST_SALT_Pay{DOB_MM}][LST_SALT_Pay{DOB_DD}][LST_SALT_Pay{DOB_YYYY}][LST_SALT_Pay{ID_Type}][LST_SALT_Pay{CountryOfIssue}][EDT_SALT_Pay{ID_Number}][EDT_SALT_Pay{Confirm_IDNumber}][LST_SALT_Pay{IDExpiry_MM}][LST_SALT_Pay{IDExpiry_DD}][LST_SALT_Pay{IDExpiry_YYYY}][EDT_SALT_Pay{Mother_MaidenName}][EDT_SALT_Pay{Cell_Phone}][EDT_SALT_Pay{Home_Phone}][EDT_SALT_Pay{Email_Address}][EDT_SALT_Pay{Confirm_EmailAddress}][EDT_SALT_Pay{Street_Address}][EDT_SALT_Pay{Apartment_Number}][EDT_SALT_Pay{City}][LST_SALT_Pay{State}][EDT_SALT_Pay{Zip}][LST_SALT_Pay{Card_Type}][EDT_SALT_Pay{Card_Number}][EDT_SALT_Pay{Card_FirstName}][EDT_SALT_Pay{Card_LastName}][EDT_SALT_Pay{Security_Code}][LST_SALT_Pay{CardExpiry_MM}][LST_SALT_Pay{CardExpiry_YYYY}][CHK_SALT_Pay{Special_Offers}][CHK_SALT_Pay{TermsAndConditions}][Order_Total</t>
  </si>
  <si>
    <t>EditOrder</t>
  </si>
  <si>
    <t>Edit_OrderNumber][Edit_ProductType][Edit_ForeignCurrency][Edit_ForeignAmount][Edit_Foreign_CurrencyCode][Edit_LocalAmount][Edit_Local_CurrencyCode][Edit_ActualForeignAmount</t>
  </si>
  <si>
    <t>PF_DeliveryDate</t>
  </si>
  <si>
    <t>Change_OrderDetail</t>
  </si>
  <si>
    <t>Change_ShippingOptions</t>
  </si>
  <si>
    <t>Change_DeliveryDate</t>
  </si>
  <si>
    <t>PF_Pay_Validation</t>
  </si>
  <si>
    <t>Order_Total</t>
  </si>
  <si>
    <t>AUSCountry</t>
  </si>
  <si>
    <t>FullPayment</t>
  </si>
  <si>
    <t>PartialPayment</t>
  </si>
  <si>
    <t>HigherPayment</t>
  </si>
  <si>
    <t>IgnorePayment</t>
  </si>
  <si>
    <t>BPAY_Payments</t>
  </si>
  <si>
    <t>OrderNumber][ActionName][Payment</t>
  </si>
  <si>
    <t>Add_ActualForeignAmount</t>
  </si>
  <si>
    <t>SSN</t>
  </si>
  <si>
    <t>LST_SALT_Pay{CardExpiry_MM}</t>
  </si>
  <si>
    <t>LST_SALT_Pay{CardExpiry_YYYY}</t>
  </si>
  <si>
    <t>Store_Name</t>
  </si>
  <si>
    <t>Airport_Name</t>
  </si>
  <si>
    <t>Validation_Type</t>
  </si>
  <si>
    <t>LST_SALT_PayAus{DOB_Day}</t>
  </si>
  <si>
    <t>LST_SALT_PayAus{DOB_Month}</t>
  </si>
  <si>
    <t>LST_SALT_PayAus{DOB_Year}</t>
  </si>
  <si>
    <t>LST_SALT_PayAus{IDExpiry_Day}</t>
  </si>
  <si>
    <t>LST_SALT_PayAus{IDExpiry_Month}</t>
  </si>
  <si>
    <t>LST_SALT_PayAus{IDExpiry_Year}</t>
  </si>
  <si>
    <t>EDT_SALT_PayAus{Suburb}</t>
  </si>
  <si>
    <t>LST_SALT_PayAus{CardExpiry_Month}</t>
  </si>
  <si>
    <t>LST_SALT_PayAus{CardExpiry_Year}</t>
  </si>
  <si>
    <t>CHK_SALT_PayAus{Use_Residential}</t>
  </si>
  <si>
    <t>EDT_SALT_PayAus{Billing_StreetAddress}</t>
  </si>
  <si>
    <t>EDT_SALT_PayAus{Billing_Suburb}</t>
  </si>
  <si>
    <t>EDT_SALT_PayAus{Billing_City}</t>
  </si>
  <si>
    <t>EDT_SALT_PayAus{Billing_Postcode}</t>
  </si>
  <si>
    <t>CHK_SALT_PayNZ{AdditionalIDRequired}</t>
  </si>
  <si>
    <t>LST_SALT_Pay{State}</t>
  </si>
  <si>
    <t>Edit_OrderNumber</t>
  </si>
  <si>
    <t>Edit_ProductType</t>
  </si>
  <si>
    <t>Edit_ForeignCurrency</t>
  </si>
  <si>
    <t>Edit_ForeignAmount</t>
  </si>
  <si>
    <t>Edit_Foreign_CurrencyCode</t>
  </si>
  <si>
    <t>Edit_LocalAmount</t>
  </si>
  <si>
    <t>Edit_Local_CurrencyCode</t>
  </si>
  <si>
    <t>Edit_ActualForeignAmount</t>
  </si>
  <si>
    <t>PartnerName</t>
  </si>
  <si>
    <t>PartnerID</t>
  </si>
  <si>
    <t>ForeignCurrency</t>
  </si>
  <si>
    <t>Foreign_CurrencyCode</t>
  </si>
  <si>
    <t>LocalAmount</t>
  </si>
  <si>
    <t>EDT_SALT_ChangeID{NewCustName}</t>
  </si>
  <si>
    <t>LST_SALT_ChangeID{IDType}</t>
  </si>
  <si>
    <t>LST_SALT_ChangeID{Country}</t>
  </si>
  <si>
    <t>LST_SALT_ChangeID{State}</t>
  </si>
  <si>
    <t>EDT_SALT_ChangeID{IdNumber}</t>
  </si>
  <si>
    <t>LST_SALT_ChangeID{ExpiryMonth}</t>
  </si>
  <si>
    <t>LST_SALT_ChangeID{ExpiryDay}</t>
  </si>
  <si>
    <t>LST_SALT_ChangeID{ExpiryYear}</t>
  </si>
  <si>
    <t>LST_SALT_ChangeID{DOBMonth}</t>
  </si>
  <si>
    <t>LST_SALT_ChangeID{DOBDay}</t>
  </si>
  <si>
    <t>LST_SALT_ChangeID{DOBYear}</t>
  </si>
  <si>
    <t>ActionName</t>
  </si>
  <si>
    <t>Payment</t>
  </si>
  <si>
    <r>
      <t>LST_SALT_Pay</t>
    </r>
    <r>
      <rPr>
        <b/>
        <sz val="10"/>
        <color theme="1"/>
        <rFont val="Calibri"/>
        <family val="2"/>
        <scheme val="minor"/>
      </rPr>
      <t>{CardExpiry_MM}</t>
    </r>
  </si>
  <si>
    <r>
      <t>LST_SALT_Pay</t>
    </r>
    <r>
      <rPr>
        <b/>
        <sz val="10"/>
        <color theme="1"/>
        <rFont val="Calibri"/>
        <family val="2"/>
        <scheme val="minor"/>
      </rPr>
      <t>{CardExpiry_YYYY}</t>
    </r>
  </si>
  <si>
    <r>
      <t>LST_SALT_PayAus</t>
    </r>
    <r>
      <rPr>
        <b/>
        <sz val="10"/>
        <color theme="1"/>
        <rFont val="Calibri"/>
        <family val="2"/>
        <scheme val="minor"/>
      </rPr>
      <t>{DOB_Day}</t>
    </r>
  </si>
  <si>
    <r>
      <t>LST_SALT_PayAus</t>
    </r>
    <r>
      <rPr>
        <b/>
        <sz val="10"/>
        <color theme="1"/>
        <rFont val="Calibri"/>
        <family val="2"/>
        <scheme val="minor"/>
      </rPr>
      <t>{DOB_Month}</t>
    </r>
  </si>
  <si>
    <r>
      <t>LST_SALT_PayAus</t>
    </r>
    <r>
      <rPr>
        <b/>
        <sz val="10"/>
        <color theme="1"/>
        <rFont val="Calibri"/>
        <family val="2"/>
        <scheme val="minor"/>
      </rPr>
      <t>{DOB_Year}</t>
    </r>
  </si>
  <si>
    <r>
      <t>LST_SALT_PayAus</t>
    </r>
    <r>
      <rPr>
        <b/>
        <sz val="10"/>
        <color theme="1"/>
        <rFont val="Calibri"/>
        <family val="2"/>
        <scheme val="minor"/>
      </rPr>
      <t>{IDExpiry_Day}</t>
    </r>
  </si>
  <si>
    <r>
      <t>LST_SALT_PayAus</t>
    </r>
    <r>
      <rPr>
        <b/>
        <sz val="10"/>
        <color theme="1"/>
        <rFont val="Calibri"/>
        <family val="2"/>
        <scheme val="minor"/>
      </rPr>
      <t>{IDExpiry_Month}</t>
    </r>
  </si>
  <si>
    <r>
      <t>LST_SALT_PayAus</t>
    </r>
    <r>
      <rPr>
        <b/>
        <sz val="10"/>
        <color theme="1"/>
        <rFont val="Calibri"/>
        <family val="2"/>
        <scheme val="minor"/>
      </rPr>
      <t>{IDExpiry_Year}</t>
    </r>
  </si>
  <si>
    <r>
      <t>EDT_SALT_PayAus</t>
    </r>
    <r>
      <rPr>
        <b/>
        <sz val="10"/>
        <color theme="1"/>
        <rFont val="Calibri"/>
        <family val="2"/>
        <scheme val="minor"/>
      </rPr>
      <t>{Suburb}</t>
    </r>
  </si>
  <si>
    <r>
      <t>LST_SALT_PayAus</t>
    </r>
    <r>
      <rPr>
        <b/>
        <sz val="10"/>
        <color theme="1"/>
        <rFont val="Calibri"/>
        <family val="2"/>
        <scheme val="minor"/>
      </rPr>
      <t>{CardExpiry_Month}</t>
    </r>
  </si>
  <si>
    <r>
      <t>LST_SALT_PayAus</t>
    </r>
    <r>
      <rPr>
        <b/>
        <sz val="10"/>
        <color theme="1"/>
        <rFont val="Calibri"/>
        <family val="2"/>
        <scheme val="minor"/>
      </rPr>
      <t>{CardExpiry_Year}</t>
    </r>
  </si>
  <si>
    <r>
      <t>CHK_SALT_PayAus</t>
    </r>
    <r>
      <rPr>
        <b/>
        <sz val="10"/>
        <color theme="1"/>
        <rFont val="Calibri"/>
        <family val="2"/>
        <scheme val="minor"/>
      </rPr>
      <t>{Use_Residential}</t>
    </r>
  </si>
  <si>
    <r>
      <t>EDT_SALT_PayAus</t>
    </r>
    <r>
      <rPr>
        <b/>
        <sz val="10"/>
        <color theme="1"/>
        <rFont val="Calibri"/>
        <family val="2"/>
        <scheme val="minor"/>
      </rPr>
      <t>{Billing_StreetAddress}</t>
    </r>
  </si>
  <si>
    <r>
      <t>EDT_SALT_PayAus</t>
    </r>
    <r>
      <rPr>
        <b/>
        <sz val="10"/>
        <color theme="1"/>
        <rFont val="Calibri"/>
        <family val="2"/>
        <scheme val="minor"/>
      </rPr>
      <t>{Billing_Suburb}</t>
    </r>
  </si>
  <si>
    <r>
      <t>EDT_SALT_PayAus</t>
    </r>
    <r>
      <rPr>
        <b/>
        <sz val="10"/>
        <color theme="1"/>
        <rFont val="Calibri"/>
        <family val="2"/>
        <scheme val="minor"/>
      </rPr>
      <t>{Billing_City}</t>
    </r>
  </si>
  <si>
    <r>
      <t>EDT_SALT_PayAus</t>
    </r>
    <r>
      <rPr>
        <b/>
        <sz val="10"/>
        <color theme="1"/>
        <rFont val="Calibri"/>
        <family val="2"/>
        <scheme val="minor"/>
      </rPr>
      <t>{Billing_Postcode}</t>
    </r>
  </si>
  <si>
    <r>
      <t>CHK_SALT_PayNZ</t>
    </r>
    <r>
      <rPr>
        <b/>
        <sz val="10"/>
        <color theme="1"/>
        <rFont val="Calibri"/>
        <family val="2"/>
        <scheme val="minor"/>
      </rPr>
      <t>{AdditionalIDRequired}</t>
    </r>
  </si>
  <si>
    <r>
      <t>LST_SALT_Pay</t>
    </r>
    <r>
      <rPr>
        <b/>
        <sz val="10"/>
        <color theme="1"/>
        <rFont val="Calibri"/>
        <family val="2"/>
        <scheme val="minor"/>
      </rPr>
      <t>{State}</t>
    </r>
  </si>
  <si>
    <r>
      <t>EDT_SALT_ChangeID</t>
    </r>
    <r>
      <rPr>
        <b/>
        <sz val="10"/>
        <color theme="1"/>
        <rFont val="Calibri"/>
        <family val="2"/>
        <scheme val="minor"/>
      </rPr>
      <t>{NewCustName}</t>
    </r>
  </si>
  <si>
    <r>
      <t>LST_SALT_ChangeID</t>
    </r>
    <r>
      <rPr>
        <b/>
        <sz val="10"/>
        <color theme="1"/>
        <rFont val="Calibri"/>
        <family val="2"/>
        <scheme val="minor"/>
      </rPr>
      <t>{IDType}</t>
    </r>
  </si>
  <si>
    <r>
      <t>LST_SALT_ChangeID</t>
    </r>
    <r>
      <rPr>
        <b/>
        <sz val="10"/>
        <color theme="1"/>
        <rFont val="Calibri"/>
        <family val="2"/>
        <scheme val="minor"/>
      </rPr>
      <t>{Country}</t>
    </r>
  </si>
  <si>
    <r>
      <t>LST_SALT_ChangeID</t>
    </r>
    <r>
      <rPr>
        <b/>
        <sz val="10"/>
        <color theme="1"/>
        <rFont val="Calibri"/>
        <family val="2"/>
        <scheme val="minor"/>
      </rPr>
      <t>{State}</t>
    </r>
  </si>
  <si>
    <r>
      <t>EDT_SALT_ChangeID</t>
    </r>
    <r>
      <rPr>
        <b/>
        <sz val="10"/>
        <color theme="1"/>
        <rFont val="Calibri"/>
        <family val="2"/>
        <scheme val="minor"/>
      </rPr>
      <t>{IdNumber}</t>
    </r>
  </si>
  <si>
    <r>
      <t>LST_SALT_ChangeID</t>
    </r>
    <r>
      <rPr>
        <b/>
        <sz val="10"/>
        <color theme="1"/>
        <rFont val="Calibri"/>
        <family val="2"/>
        <scheme val="minor"/>
      </rPr>
      <t>{ExpiryMonth}</t>
    </r>
  </si>
  <si>
    <r>
      <t>LST_SALT_ChangeID</t>
    </r>
    <r>
      <rPr>
        <b/>
        <sz val="10"/>
        <color theme="1"/>
        <rFont val="Calibri"/>
        <family val="2"/>
        <scheme val="minor"/>
      </rPr>
      <t>{ExpiryDay}</t>
    </r>
  </si>
  <si>
    <r>
      <t>LST_SALT_ChangeID</t>
    </r>
    <r>
      <rPr>
        <b/>
        <sz val="10"/>
        <color theme="1"/>
        <rFont val="Calibri"/>
        <family val="2"/>
        <scheme val="minor"/>
      </rPr>
      <t>{ExpiryYear}</t>
    </r>
  </si>
  <si>
    <r>
      <t>LST_SALT_ChangeID</t>
    </r>
    <r>
      <rPr>
        <b/>
        <sz val="10"/>
        <color theme="1"/>
        <rFont val="Calibri"/>
        <family val="2"/>
        <scheme val="minor"/>
      </rPr>
      <t>{DOBMonth}</t>
    </r>
  </si>
  <si>
    <r>
      <t>LST_SALT_ChangeID</t>
    </r>
    <r>
      <rPr>
        <b/>
        <sz val="10"/>
        <color theme="1"/>
        <rFont val="Calibri"/>
        <family val="2"/>
        <scheme val="minor"/>
      </rPr>
      <t>{DOBDay}</t>
    </r>
  </si>
  <si>
    <r>
      <t>LST_SALT_ChangeID</t>
    </r>
    <r>
      <rPr>
        <b/>
        <sz val="10"/>
        <color theme="1"/>
        <rFont val="Calibri"/>
        <family val="2"/>
        <scheme val="minor"/>
      </rPr>
      <t>{DOBYear}</t>
    </r>
  </si>
  <si>
    <t>CaptureAdminDetails</t>
  </si>
  <si>
    <t>Positive</t>
  </si>
  <si>
    <t>Store_Pickup</t>
  </si>
  <si>
    <t>Mr</t>
  </si>
  <si>
    <t>Vikram</t>
  </si>
  <si>
    <t>Kapale</t>
  </si>
  <si>
    <t>February</t>
  </si>
  <si>
    <t>Australia</t>
  </si>
  <si>
    <t>26</t>
  </si>
  <si>
    <t>April</t>
  </si>
  <si>
    <t>October</t>
  </si>
  <si>
    <t>B</t>
  </si>
  <si>
    <t>G</t>
  </si>
  <si>
    <t>LS Road</t>
  </si>
  <si>
    <t>Sydney</t>
  </si>
  <si>
    <t>false</t>
  </si>
  <si>
    <t>true</t>
  </si>
  <si>
    <t>Visa</t>
  </si>
  <si>
    <t>New South Wales</t>
  </si>
  <si>
    <t>Payment_Type</t>
  </si>
  <si>
    <t>Another_Currency</t>
  </si>
  <si>
    <t>Negative:-:1][Negative:-:2][Negative:-:3][Negative:-:4][Positive:-:5</t>
  </si>
  <si>
    <t>November</t>
  </si>
  <si>
    <t>Sachi</t>
  </si>
  <si>
    <t>Arthur Road Victoria</t>
  </si>
  <si>
    <t>08</t>
  </si>
  <si>
    <t>2017</t>
  </si>
  <si>
    <t>NA</t>
  </si>
  <si>
    <t>Copy_TC_to_TC][OrderSearchTC][CountryLoadBeforeExecution][PackOrder</t>
  </si>
  <si>
    <t>Copy_TC_to_TC][OrderSearchTC][CountryLoadBeforeExecution][PackOrder][PickUpOrder</t>
  </si>
  <si>
    <t>May</t>
  </si>
  <si>
    <t>Salt_Login][GetAdminDetails][Salt_Logout</t>
  </si>
  <si>
    <t>LST_SALT_Admin{Country}][Store_Name][Airport_Name</t>
  </si>
  <si>
    <t>New Zealand</t>
  </si>
  <si>
    <t>United States of America, Dollar</t>
  </si>
  <si>
    <t>Ravi</t>
  </si>
  <si>
    <t>Raj</t>
  </si>
  <si>
    <t>Sachin</t>
  </si>
  <si>
    <t>Nachi</t>
  </si>
  <si>
    <t>Rahul</t>
  </si>
  <si>
    <t>John</t>
  </si>
  <si>
    <t>Doc</t>
  </si>
  <si>
    <t>Krishna</t>
  </si>
  <si>
    <t>Milind</t>
  </si>
  <si>
    <t>Vikas</t>
  </si>
  <si>
    <t>1950</t>
  </si>
  <si>
    <t>1952</t>
  </si>
  <si>
    <t>1956</t>
  </si>
  <si>
    <t>1985</t>
  </si>
  <si>
    <t>1977</t>
  </si>
  <si>
    <t>1970</t>
  </si>
  <si>
    <t>1988</t>
  </si>
  <si>
    <t>0:00:03:32</t>
  </si>
  <si>
    <t>Canada</t>
  </si>
  <si>
    <t>January</t>
  </si>
  <si>
    <t>March</t>
  </si>
  <si>
    <t>July</t>
  </si>
  <si>
    <t>August</t>
  </si>
  <si>
    <t>September</t>
  </si>
  <si>
    <t>December</t>
  </si>
  <si>
    <t>rahul.kamat@travelex.com</t>
  </si>
  <si>
    <t>Nachiket</t>
  </si>
  <si>
    <t>MakeOrderPayment</t>
  </si>
  <si>
    <t>PaymentCountries</t>
  </si>
  <si>
    <t>PaymentType</t>
  </si>
  <si>
    <t>Bank Transfer</t>
  </si>
  <si>
    <t>Bill Payment</t>
  </si>
  <si>
    <t>Japan</t>
  </si>
  <si>
    <t>BPAY</t>
  </si>
  <si>
    <t>PaymentFrom</t>
  </si>
  <si>
    <t>SourceFolder</t>
  </si>
  <si>
    <t>DestinationFolder</t>
  </si>
  <si>
    <t>OrderAmt</t>
  </si>
  <si>
    <t>Copy_TC_to_TC][CountryLoadBeforeExecution][BPAY_Payments</t>
  </si>
  <si>
    <t>BPAYbillpayBankTransferPaymentFull</t>
  </si>
  <si>
    <t>BPAYbillpayBankTransferPaymentPartial</t>
  </si>
  <si>
    <t>BPAYbillpayBankTransferPaymentHigher</t>
  </si>
  <si>
    <t>Copy_TC_to_TC][MakeOrderPayment</t>
  </si>
  <si>
    <t>Vikram Kapale</t>
  </si>
  <si>
    <t>4812</t>
  </si>
  <si>
    <t>Credit / Debit Card</t>
  </si>
  <si>
    <t>Sydney Airport (T1 International Terminal)</t>
  </si>
  <si>
    <t>testing</t>
  </si>
  <si>
    <t>Victoria</t>
  </si>
  <si>
    <t>NOD_SALT_Confirmation{Order_Number},Order_Total</t>
  </si>
  <si>
    <t>OrderNumber,OrderAmt</t>
  </si>
  <si>
    <t>UserPayment</t>
  </si>
  <si>
    <t>PaymentCountries][PaymentType][OrderNumber][PaymentFrom][SourceFolder][DestinationFolder][OrderAmt][UserPayment</t>
  </si>
  <si>
    <t>Full Payment</t>
  </si>
  <si>
    <t>Partial Payment</t>
  </si>
  <si>
    <t>Higher Payment</t>
  </si>
  <si>
    <t>queen victoria building</t>
  </si>
  <si>
    <t>Buy Cash</t>
  </si>
  <si>
    <t>0989898989</t>
  </si>
  <si>
    <t>sydney</t>
  </si>
  <si>
    <t>Northern Territory</t>
  </si>
  <si>
    <t>BPay</t>
  </si>
  <si>
    <t>PayUSA</t>
  </si>
  <si>
    <t>Store Collection</t>
  </si>
  <si>
    <t>ae:-:1][zzz:-:2][%^$$:-:3][59895656566:-:4][sydney:-:5</t>
  </si>
  <si>
    <t>0898989898</t>
  </si>
  <si>
    <t>ae:-:1][zzz:-:2][#$%$%:-:3][5946513213:-:4][sydney:-:5</t>
  </si>
  <si>
    <t>CyberSourceCheck</t>
  </si>
  <si>
    <t>Cybersource][MerchantName][MerUserID][MerPassword</t>
  </si>
  <si>
    <t>Cybersource</t>
  </si>
  <si>
    <t>MerchantName</t>
  </si>
  <si>
    <t>MerUserID</t>
  </si>
  <si>
    <t>MerPassword</t>
  </si>
  <si>
    <t>MobileHomePageProduct_CashStoreCredit</t>
  </si>
  <si>
    <t>MobileHomePageProduct_CashPassportStoreCredit</t>
  </si>
  <si>
    <t>MobileHomePageProduct_Reload</t>
  </si>
  <si>
    <t>MobileStorePackCashOrder</t>
  </si>
  <si>
    <t>MobilePickUpCashOrder</t>
  </si>
  <si>
    <t>MobileStorePackCashPassportOrder</t>
  </si>
  <si>
    <t>MobilePickUpCashPassportOrder</t>
  </si>
  <si>
    <t>SALTMobile</t>
  </si>
  <si>
    <t>EnterFirstOrderDetailMobile</t>
  </si>
  <si>
    <t>FulfilmentType</t>
  </si>
  <si>
    <t>Fulfillment</t>
  </si>
  <si>
    <t>Store Pickup</t>
  </si>
  <si>
    <t>ProductName</t>
  </si>
  <si>
    <t>NIP_SALTMobile_CreateOrder{Foreign_Amount}</t>
  </si>
  <si>
    <t>LST_SALTMobile_CreateOrder{Foreign_Currency}</t>
  </si>
  <si>
    <r>
      <t>NIP_SALTMobile_CreateOrder</t>
    </r>
    <r>
      <rPr>
        <b/>
        <sz val="10"/>
        <color theme="1"/>
        <rFont val="Calibri"/>
        <family val="2"/>
        <scheme val="minor"/>
      </rPr>
      <t>{Foreign_Amount}</t>
    </r>
  </si>
  <si>
    <r>
      <t>LST_SALTMobile_CreateOrder</t>
    </r>
    <r>
      <rPr>
        <b/>
        <sz val="10"/>
        <color theme="1"/>
        <rFont val="Calibri"/>
        <family val="2"/>
        <scheme val="minor"/>
      </rPr>
      <t>{Foreign_Currency}</t>
    </r>
  </si>
  <si>
    <t>ChoosePickUpBranchMobile</t>
  </si>
  <si>
    <t>PayMobileAUS</t>
  </si>
  <si>
    <t>PayMobile</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</si>
  <si>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SSN1}][EDT_SALTMobile_Pay{Street_Address}][EDT_SALTMobile_Pay{Apartment_Number}][EDT_SALTMobile_Pay{City}][LST_SALTMobile_Pay{State}][EDT_SALTMobile_Pay{Zip}][LST_SALTMobile_Pay{Card_Type}][EDT_SALTMobile_Pay{Card_Number}][EDT_SALTMobile_Pay{Card_FirstName}][EDT_SALTMobile_Pay{Card_LastName}][EDT_SALTMobile_Pay{Security_Code}][LST_SALTMobile_Pay{CardExpiry_MM}][LST_SALTMobile_Pay{CardExpiry_YYYY}</t>
  </si>
  <si>
    <t>PayMobileNZ</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</si>
  <si>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CHK_SALTMobile_Pay{UseResidentialAddress}][EDT_SALTMobile_Pay{BillingAddress_Address1}][EDT_SALTMobile_Pay{BillingAddress_Address2}][EDT_SALTMobile_Pay{BillingAddress_City}][LST_SALTMobile_Pay{BillingAddress_StateId}][EDT_SALTMobile_Pay{BillingAddress_PostalCode}</t>
  </si>
  <si>
    <t>PayMobileFRA</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</si>
  <si>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t>
  </si>
  <si>
    <t>PayMobileJPN</t>
  </si>
  <si>
    <t>EDT_SALTMobile_Pay{LastName}][EDT_SALTMobile_Pay{FirstName}][LST_SALTMobile_Pay{DOB_MM}][LST_SALTMobile_Pay{DOB_DD}][LST_SALTMobile_Pay{DOB_YYYY}][EIP_SALTMobile_Pay{Email_Address}][EIP_SALTMobile_Pay{Confirm_EmailAddress}][PIP_SALTMobile_Pay{Phone_No}][LST_SALTMobile_PayJPN{Title}][EDT_SALTMobile_PayJPN{FirstName}][EDT_SALTMobile_PayJPN{LastName}][LST_SALTMobile_Pay{ID_Type}][LST_SALTMobile_Pay{CountryOfIssue}][EDT_SALTMobile_Pay{ID_Number}][EDT_SALTMobile_Pay{Confirm_IDNumber}][LST_SALTMobile_Pay{IDExpiry_MM}][LST_SALTMobile_Pay{IDExpiry_DD}][LST_SALTMobile_Pay{IDExpiry_YYYY}][EDT_SALTMobile_Pay{MothersMaidenName}][EDT_SALTMobile_PayJPN{Zip}][LST_SALTMobile_PayJPN{State}][EDT_SALTMobile_PayJPN{City}][EDT_SALTMobile_PayJPN{Apartment_Number}][EDT_SALTMobile_PayJPN{Street_Address}][LST_SALTMobile_Pay{Payment_Type}][LST_SALTMobile_Pay{Card_Type}][EDT_SALTMobile_Pay{Card_Number}][EDT_SALTMobile_Pay{Card_FirstName}][EDT_SALTMobile_Pay{Card_LastName}][EDT_SALTMobile_Pay{Security_Code}][LST_SALTMobile_Pay{CardExpiry_MM}][LST_SALTMobile_Pay{CardExpiry_YYYY}</t>
  </si>
  <si>
    <t>Mob_OrderSummary</t>
  </si>
  <si>
    <t>LST_SALTMobile_Pay{Title}</t>
  </si>
  <si>
    <t>EDT_SALTMobile_Pay{FirstName}</t>
  </si>
  <si>
    <t>EDT_SALTMobile_Pay{MiddleName}</t>
  </si>
  <si>
    <t>EDT_SALTMobile_Pay{LastName}</t>
  </si>
  <si>
    <t>LST_SALTMobile_Pay{DOB_MM}</t>
  </si>
  <si>
    <t>LST_SALTMobile_Pay{DOB_DD}</t>
  </si>
  <si>
    <t>LST_SALTMobile_Pay{DOB_YYYY}</t>
  </si>
  <si>
    <t>EIP_SALTMobile_Pay{Email_Address}</t>
  </si>
  <si>
    <t>EIP_SALTMobile_Pay{Confirm_EmailAddress}</t>
  </si>
  <si>
    <t>PIP_SALTMobile_Pay{Phone_No}</t>
  </si>
  <si>
    <t>LST_SALTMobile_Pay{ID_Type}</t>
  </si>
  <si>
    <t>LST_SALTMobile_Pay{CountryOfIssue}</t>
  </si>
  <si>
    <t>EDT_SALTMobile_Pay{ID_Number}</t>
  </si>
  <si>
    <t>EDT_SALTMobile_Pay{Confirm_IDNumber}</t>
  </si>
  <si>
    <t>LST_SALTMobile_Pay{IDExpiry_MM}</t>
  </si>
  <si>
    <t>LST_SALTMobile_Pay{IDExpiry_DD}</t>
  </si>
  <si>
    <t>LST_SALTMobile_Pay{IDExpiry_YYYY}</t>
  </si>
  <si>
    <t>EDT_SALTMobile_Pay{SSN1}</t>
  </si>
  <si>
    <t>EDT_SALTMobile_Pay{Street_Address}</t>
  </si>
  <si>
    <t>EDT_SALTMobile_Pay{Apartment_Number}</t>
  </si>
  <si>
    <t>EDT_SALTMobile_Pay{City}</t>
  </si>
  <si>
    <t>LST_SALTMobile_Pay{State}</t>
  </si>
  <si>
    <t>EDT_SALTMobile_Pay{Zip}</t>
  </si>
  <si>
    <t>LST_SALTMobile_Pay{Card_Type}</t>
  </si>
  <si>
    <t>EDT_SALTMobile_Pay{Card_Number}</t>
  </si>
  <si>
    <t>EDT_SALTMobile_Pay{Card_FirstName}</t>
  </si>
  <si>
    <t>EDT_SALTMobile_Pay{Card_LastName}</t>
  </si>
  <si>
    <t>EDT_SALTMobile_Pay{Security_Code}</t>
  </si>
  <si>
    <t>LST_SALTMobile_Pay{CardExpiry_MM}</t>
  </si>
  <si>
    <t>LST_SALTMobile_Pay{CardExpiry_YYYY}</t>
  </si>
  <si>
    <t>EDT_SALTMobile_Pay{MothersMaidenName}</t>
  </si>
  <si>
    <t>LST_SALTMobile_Pay{Payment_Type}</t>
  </si>
  <si>
    <t>CHK_SALTMobile_Pay{UseResidentialAddress}</t>
  </si>
  <si>
    <t>EDT_SALTMobile_Pay{BillingAddress_Address1}</t>
  </si>
  <si>
    <t>EDT_SALTMobile_Pay{BillingAddress_Address2}</t>
  </si>
  <si>
    <t>EDT_SALTMobile_Pay{BillingAddress_City}</t>
  </si>
  <si>
    <t>LST_SALTMobile_Pay{BillingAddress_StateId}</t>
  </si>
  <si>
    <t>EDT_SALTMobile_Pay{BillingAddress_PostalCode}</t>
  </si>
  <si>
    <t>LST_SALTMobile_PayJPN{Title}</t>
  </si>
  <si>
    <t>EDT_SALTMobile_PayJPN{FirstName}</t>
  </si>
  <si>
    <t>EDT_SALTMobile_PayJPN{LastName}</t>
  </si>
  <si>
    <t>EDT_SALTMobile_PayJPN{Zip}</t>
  </si>
  <si>
    <t>LST_SALTMobile_PayJPN{State}</t>
  </si>
  <si>
    <t>EDT_SALTMobile_PayJPN{City}</t>
  </si>
  <si>
    <t>EDT_SALTMobile_PayJPN{Apartment_Number}</t>
  </si>
  <si>
    <t>EDT_SALTMobile_PayJPN{Street_Address}</t>
  </si>
  <si>
    <t>SearchOption][EDT_SALTMobile_StorePickUpBranch{Searchstore}</t>
  </si>
  <si>
    <t>SearchOption</t>
  </si>
  <si>
    <t>EDT_SALTMobile_StorePickUpBranch{Searchstore}</t>
  </si>
  <si>
    <r>
      <t>EDT_SALTMobile_Pay</t>
    </r>
    <r>
      <rPr>
        <b/>
        <sz val="10"/>
        <color theme="1"/>
        <rFont val="Calibri"/>
        <family val="2"/>
        <scheme val="minor"/>
      </rPr>
      <t>{FirstName}</t>
    </r>
  </si>
  <si>
    <r>
      <t>EDT_SALTMobile_Pay</t>
    </r>
    <r>
      <rPr>
        <b/>
        <sz val="10"/>
        <color theme="1"/>
        <rFont val="Calibri"/>
        <family val="2"/>
        <scheme val="minor"/>
      </rPr>
      <t>{MiddleName}</t>
    </r>
  </si>
  <si>
    <r>
      <t>EDT_SALTMobile_Pay</t>
    </r>
    <r>
      <rPr>
        <b/>
        <sz val="10"/>
        <color theme="1"/>
        <rFont val="Calibri"/>
        <family val="2"/>
        <scheme val="minor"/>
      </rPr>
      <t>{LastName}</t>
    </r>
  </si>
  <si>
    <r>
      <t>LST_SALTMobile_Pay</t>
    </r>
    <r>
      <rPr>
        <b/>
        <sz val="10"/>
        <color theme="1"/>
        <rFont val="Calibri"/>
        <family val="2"/>
        <scheme val="minor"/>
      </rPr>
      <t>{DOB_MM}</t>
    </r>
  </si>
  <si>
    <r>
      <t>LST_SALTMobile_Pay</t>
    </r>
    <r>
      <rPr>
        <b/>
        <sz val="10"/>
        <color theme="1"/>
        <rFont val="Calibri"/>
        <family val="2"/>
        <scheme val="minor"/>
      </rPr>
      <t>{DOB_DD}</t>
    </r>
  </si>
  <si>
    <r>
      <t>LST_SALTMobile_Pay</t>
    </r>
    <r>
      <rPr>
        <b/>
        <sz val="10"/>
        <color theme="1"/>
        <rFont val="Calibri"/>
        <family val="2"/>
        <scheme val="minor"/>
      </rPr>
      <t>{DOB_YYYY}</t>
    </r>
  </si>
  <si>
    <r>
      <t>EIP_SALTMobile_Pay</t>
    </r>
    <r>
      <rPr>
        <b/>
        <sz val="10"/>
        <color theme="1"/>
        <rFont val="Calibri"/>
        <family val="2"/>
        <scheme val="minor"/>
      </rPr>
      <t>{Email_Address}</t>
    </r>
  </si>
  <si>
    <r>
      <t>EIP_SALTMobile_Pay</t>
    </r>
    <r>
      <rPr>
        <b/>
        <sz val="10"/>
        <color theme="1"/>
        <rFont val="Calibri"/>
        <family val="2"/>
        <scheme val="minor"/>
      </rPr>
      <t>{Confirm_EmailAddress}</t>
    </r>
  </si>
  <si>
    <r>
      <t>PIP_SALTMobile_Pay</t>
    </r>
    <r>
      <rPr>
        <b/>
        <sz val="10"/>
        <color theme="1"/>
        <rFont val="Calibri"/>
        <family val="2"/>
        <scheme val="minor"/>
      </rPr>
      <t>{Phone_No}</t>
    </r>
  </si>
  <si>
    <r>
      <t>LST_SALTMobile_Pay</t>
    </r>
    <r>
      <rPr>
        <b/>
        <sz val="10"/>
        <color theme="1"/>
        <rFont val="Calibri"/>
        <family val="2"/>
        <scheme val="minor"/>
      </rPr>
      <t>{ID_Type}</t>
    </r>
  </si>
  <si>
    <r>
      <t>LST_SALTMobile_Pay</t>
    </r>
    <r>
      <rPr>
        <b/>
        <sz val="10"/>
        <color theme="1"/>
        <rFont val="Calibri"/>
        <family val="2"/>
        <scheme val="minor"/>
      </rPr>
      <t>{CountryOfIssue}</t>
    </r>
  </si>
  <si>
    <r>
      <t>EDT_SALTMobile_Pay</t>
    </r>
    <r>
      <rPr>
        <b/>
        <sz val="10"/>
        <color theme="1"/>
        <rFont val="Calibri"/>
        <family val="2"/>
        <scheme val="minor"/>
      </rPr>
      <t>{ID_Number}</t>
    </r>
  </si>
  <si>
    <r>
      <t>EDT_SALTMobile_Pay</t>
    </r>
    <r>
      <rPr>
        <b/>
        <sz val="10"/>
        <color theme="1"/>
        <rFont val="Calibri"/>
        <family val="2"/>
        <scheme val="minor"/>
      </rPr>
      <t>{Confirm_IDNumber}</t>
    </r>
  </si>
  <si>
    <r>
      <t>LST_SALTMobile_Pay</t>
    </r>
    <r>
      <rPr>
        <b/>
        <sz val="10"/>
        <color theme="1"/>
        <rFont val="Calibri"/>
        <family val="2"/>
        <scheme val="minor"/>
      </rPr>
      <t>{IDExpiry_MM}</t>
    </r>
  </si>
  <si>
    <r>
      <t>LST_SALTMobile_Pay</t>
    </r>
    <r>
      <rPr>
        <b/>
        <sz val="10"/>
        <color theme="1"/>
        <rFont val="Calibri"/>
        <family val="2"/>
        <scheme val="minor"/>
      </rPr>
      <t>{IDExpiry_DD}</t>
    </r>
  </si>
  <si>
    <r>
      <t>LST_SALTMobile_Pay</t>
    </r>
    <r>
      <rPr>
        <b/>
        <sz val="10"/>
        <color theme="1"/>
        <rFont val="Calibri"/>
        <family val="2"/>
        <scheme val="minor"/>
      </rPr>
      <t>{IDExpiry_YYYY}</t>
    </r>
  </si>
  <si>
    <r>
      <t>EDT_SALTMobile_Pay</t>
    </r>
    <r>
      <rPr>
        <b/>
        <sz val="10"/>
        <color theme="1"/>
        <rFont val="Calibri"/>
        <family val="2"/>
        <scheme val="minor"/>
      </rPr>
      <t>{SSN1}</t>
    </r>
  </si>
  <si>
    <r>
      <t>EDT_SALTMobile_Pay</t>
    </r>
    <r>
      <rPr>
        <b/>
        <sz val="10"/>
        <color theme="1"/>
        <rFont val="Calibri"/>
        <family val="2"/>
        <scheme val="minor"/>
      </rPr>
      <t>{Street_Address}</t>
    </r>
  </si>
  <si>
    <r>
      <t>EDT_SALTMobile_Pay</t>
    </r>
    <r>
      <rPr>
        <b/>
        <sz val="10"/>
        <color theme="1"/>
        <rFont val="Calibri"/>
        <family val="2"/>
        <scheme val="minor"/>
      </rPr>
      <t>{Apartment_Number}</t>
    </r>
  </si>
  <si>
    <r>
      <t>EDT_SALTMobile_Pay</t>
    </r>
    <r>
      <rPr>
        <b/>
        <sz val="10"/>
        <color theme="1"/>
        <rFont val="Calibri"/>
        <family val="2"/>
        <scheme val="minor"/>
      </rPr>
      <t>{City}</t>
    </r>
  </si>
  <si>
    <r>
      <t>LST_SALTMobile_Pay</t>
    </r>
    <r>
      <rPr>
        <b/>
        <sz val="10"/>
        <color theme="1"/>
        <rFont val="Calibri"/>
        <family val="2"/>
        <scheme val="minor"/>
      </rPr>
      <t>{State}</t>
    </r>
  </si>
  <si>
    <r>
      <t>EDT_SALTMobile_Pay</t>
    </r>
    <r>
      <rPr>
        <b/>
        <sz val="10"/>
        <color theme="1"/>
        <rFont val="Calibri"/>
        <family val="2"/>
        <scheme val="minor"/>
      </rPr>
      <t>{Zip}</t>
    </r>
  </si>
  <si>
    <r>
      <t>LST_SALTMobile_Pay</t>
    </r>
    <r>
      <rPr>
        <b/>
        <sz val="10"/>
        <color theme="1"/>
        <rFont val="Calibri"/>
        <family val="2"/>
        <scheme val="minor"/>
      </rPr>
      <t>{Card_Type}</t>
    </r>
  </si>
  <si>
    <r>
      <t>EDT_SALTMobile_Pay</t>
    </r>
    <r>
      <rPr>
        <b/>
        <sz val="10"/>
        <color theme="1"/>
        <rFont val="Calibri"/>
        <family val="2"/>
        <scheme val="minor"/>
      </rPr>
      <t>{Card_Number}</t>
    </r>
  </si>
  <si>
    <r>
      <t>EDT_SALTMobile_Pay</t>
    </r>
    <r>
      <rPr>
        <b/>
        <sz val="10"/>
        <color theme="1"/>
        <rFont val="Calibri"/>
        <family val="2"/>
        <scheme val="minor"/>
      </rPr>
      <t>{Card_FirstName}</t>
    </r>
  </si>
  <si>
    <r>
      <t>EDT_SALTMobile_Pay</t>
    </r>
    <r>
      <rPr>
        <b/>
        <sz val="10"/>
        <color theme="1"/>
        <rFont val="Calibri"/>
        <family val="2"/>
        <scheme val="minor"/>
      </rPr>
      <t>{Card_LastName}</t>
    </r>
  </si>
  <si>
    <r>
      <t>EDT_SALTMobile_Pay</t>
    </r>
    <r>
      <rPr>
        <b/>
        <sz val="10"/>
        <color theme="1"/>
        <rFont val="Calibri"/>
        <family val="2"/>
        <scheme val="minor"/>
      </rPr>
      <t>{Security_Code}</t>
    </r>
  </si>
  <si>
    <r>
      <t>LST_SALTMobile_Pay</t>
    </r>
    <r>
      <rPr>
        <b/>
        <sz val="10"/>
        <color theme="1"/>
        <rFont val="Calibri"/>
        <family val="2"/>
        <scheme val="minor"/>
      </rPr>
      <t>{CardExpiry_MM}</t>
    </r>
  </si>
  <si>
    <r>
      <t>LST_SALTMobile_Pay</t>
    </r>
    <r>
      <rPr>
        <b/>
        <sz val="10"/>
        <color theme="1"/>
        <rFont val="Calibri"/>
        <family val="2"/>
        <scheme val="minor"/>
      </rPr>
      <t>{CardExpiry_YYYY}</t>
    </r>
  </si>
  <si>
    <r>
      <t>EDT_SALTMobile_Pay</t>
    </r>
    <r>
      <rPr>
        <b/>
        <sz val="10"/>
        <color theme="1"/>
        <rFont val="Calibri"/>
        <family val="2"/>
        <scheme val="minor"/>
      </rPr>
      <t>{MothersMaidenName}</t>
    </r>
  </si>
  <si>
    <r>
      <t>LST_SALTMobile_Pay</t>
    </r>
    <r>
      <rPr>
        <b/>
        <sz val="10"/>
        <color theme="1"/>
        <rFont val="Calibri"/>
        <family val="2"/>
        <scheme val="minor"/>
      </rPr>
      <t>{Payment_Type}</t>
    </r>
  </si>
  <si>
    <r>
      <t>CHK_SALTMobile_Pay</t>
    </r>
    <r>
      <rPr>
        <b/>
        <sz val="10"/>
        <color theme="1"/>
        <rFont val="Calibri"/>
        <family val="2"/>
        <scheme val="minor"/>
      </rPr>
      <t>{UseResidentialAddress}</t>
    </r>
  </si>
  <si>
    <r>
      <t>EDT_SALTMobile_Pay</t>
    </r>
    <r>
      <rPr>
        <b/>
        <sz val="10"/>
        <color theme="1"/>
        <rFont val="Calibri"/>
        <family val="2"/>
        <scheme val="minor"/>
      </rPr>
      <t>{BillingAddress_Address1}</t>
    </r>
  </si>
  <si>
    <r>
      <t>EDT_SALTMobile_Pay</t>
    </r>
    <r>
      <rPr>
        <b/>
        <sz val="10"/>
        <color theme="1"/>
        <rFont val="Calibri"/>
        <family val="2"/>
        <scheme val="minor"/>
      </rPr>
      <t>{BillingAddress_Address2}</t>
    </r>
  </si>
  <si>
    <r>
      <t>EDT_SALTMobile_Pay</t>
    </r>
    <r>
      <rPr>
        <b/>
        <sz val="10"/>
        <color theme="1"/>
        <rFont val="Calibri"/>
        <family val="2"/>
        <scheme val="minor"/>
      </rPr>
      <t>{BillingAddress_City}</t>
    </r>
  </si>
  <si>
    <r>
      <t>LST_SALTMobile_Pay</t>
    </r>
    <r>
      <rPr>
        <b/>
        <sz val="10"/>
        <color theme="1"/>
        <rFont val="Calibri"/>
        <family val="2"/>
        <scheme val="minor"/>
      </rPr>
      <t>{BillingAddress_StateId}</t>
    </r>
  </si>
  <si>
    <r>
      <t>EDT_SALTMobile_Pay</t>
    </r>
    <r>
      <rPr>
        <b/>
        <sz val="10"/>
        <color theme="1"/>
        <rFont val="Calibri"/>
        <family val="2"/>
        <scheme val="minor"/>
      </rPr>
      <t>{BillingAddress_PostalCode}</t>
    </r>
  </si>
  <si>
    <r>
      <t>EDT_SALTMobile_PayJPN</t>
    </r>
    <r>
      <rPr>
        <b/>
        <sz val="10"/>
        <color theme="1"/>
        <rFont val="Calibri"/>
        <family val="2"/>
        <scheme val="minor"/>
      </rPr>
      <t>{FirstName}</t>
    </r>
  </si>
  <si>
    <r>
      <t>EDT_SALTMobile_PayJPN</t>
    </r>
    <r>
      <rPr>
        <b/>
        <sz val="10"/>
        <color theme="1"/>
        <rFont val="Calibri"/>
        <family val="2"/>
        <scheme val="minor"/>
      </rPr>
      <t>{LastName}</t>
    </r>
  </si>
  <si>
    <r>
      <t>EDT_SALTMobile_PayJPN</t>
    </r>
    <r>
      <rPr>
        <b/>
        <sz val="10"/>
        <color theme="1"/>
        <rFont val="Calibri"/>
        <family val="2"/>
        <scheme val="minor"/>
      </rPr>
      <t>{Zip}</t>
    </r>
  </si>
  <si>
    <r>
      <t>LST_SALTMobile_PayJPN</t>
    </r>
    <r>
      <rPr>
        <b/>
        <sz val="10"/>
        <color theme="1"/>
        <rFont val="Calibri"/>
        <family val="2"/>
        <scheme val="minor"/>
      </rPr>
      <t>{State}</t>
    </r>
  </si>
  <si>
    <r>
      <t>EDT_SALTMobile_PayJPN</t>
    </r>
    <r>
      <rPr>
        <b/>
        <sz val="10"/>
        <color theme="1"/>
        <rFont val="Calibri"/>
        <family val="2"/>
        <scheme val="minor"/>
      </rPr>
      <t>{City}</t>
    </r>
  </si>
  <si>
    <r>
      <t>EDT_SALTMobile_PayJPN</t>
    </r>
    <r>
      <rPr>
        <b/>
        <sz val="10"/>
        <color theme="1"/>
        <rFont val="Calibri"/>
        <family val="2"/>
        <scheme val="minor"/>
      </rPr>
      <t>{Apartment_Number}</t>
    </r>
  </si>
  <si>
    <r>
      <t>EDT_SALTMobile_PayJPN</t>
    </r>
    <r>
      <rPr>
        <b/>
        <sz val="10"/>
        <color theme="1"/>
        <rFont val="Calibri"/>
        <family val="2"/>
        <scheme val="minor"/>
      </rPr>
      <t>{Street_Address}</t>
    </r>
  </si>
  <si>
    <r>
      <t>EDT_SALTMobile_StorePickUpBranch</t>
    </r>
    <r>
      <rPr>
        <b/>
        <sz val="10"/>
        <color theme="1"/>
        <rFont val="Calibri"/>
        <family val="2"/>
        <scheme val="minor"/>
      </rPr>
      <t>{Searchstore}</t>
    </r>
  </si>
  <si>
    <t>Search</t>
  </si>
  <si>
    <t>Darwin</t>
  </si>
  <si>
    <t>krishnamraju.k@travelex.com</t>
  </si>
  <si>
    <t>12345</t>
  </si>
  <si>
    <t>Lava</t>
  </si>
  <si>
    <t>Wisconsin</t>
  </si>
  <si>
    <t>0810</t>
  </si>
  <si>
    <t>Mob_OrderConfirmationPage</t>
  </si>
  <si>
    <t>Welcome444</t>
  </si>
  <si>
    <t>DeliveryDateMobile</t>
  </si>
  <si>
    <r>
      <t>LST_SALTMobile_Pay</t>
    </r>
    <r>
      <rPr>
        <b/>
        <sz val="10"/>
        <color theme="1"/>
        <rFont val="Calibri"/>
        <family val="2"/>
        <scheme val="minor"/>
      </rPr>
      <t>{Title}</t>
    </r>
  </si>
  <si>
    <t>0:00:09:13</t>
  </si>
  <si>
    <t>ConnectDatabaseForAdmin</t>
  </si>
  <si>
    <t>AirportName</t>
  </si>
  <si>
    <t>RateProfile</t>
  </si>
  <si>
    <t>Country</t>
  </si>
  <si>
    <t>ForeignCurrencyCode</t>
  </si>
  <si>
    <t>StoreName][AirportName][RateProfile][Country][ForeignCurrencyCode</t>
  </si>
  <si>
    <t>Queen Victoria Building</t>
  </si>
  <si>
    <t>Brisbane Airport (Domestic Terminal)</t>
  </si>
  <si>
    <t>SALT_TravelexAUOnline_AU</t>
  </si>
  <si>
    <t>'NZD','EUR','AUD','CAD','DKK','IDR','JPY','GBP'</t>
  </si>
  <si>
    <t>AvailablefulfillmentOptions</t>
  </si>
  <si>
    <t>Fulfillment][AvailablefulfillmentOptions</t>
  </si>
  <si>
    <t>Home delivery|Store pickup</t>
  </si>
  <si>
    <t>Mob_ContactUs</t>
  </si>
  <si>
    <t>Mob_GrtProductNServices</t>
  </si>
  <si>
    <t>Mob_StoreLocator</t>
  </si>
  <si>
    <r>
      <t>LST_SALTMobile_PayJPN</t>
    </r>
    <r>
      <rPr>
        <b/>
        <sz val="10"/>
        <color theme="1"/>
        <rFont val="Calibri"/>
        <family val="2"/>
        <scheme val="minor"/>
      </rPr>
      <t>{Title}</t>
    </r>
  </si>
  <si>
    <t>Credit_Card</t>
  </si>
  <si>
    <t>LST_SALT_PayAus{Billing_State}</t>
  </si>
  <si>
    <r>
      <t>LST_SALT_PayAus</t>
    </r>
    <r>
      <rPr>
        <b/>
        <sz val="10"/>
        <color theme="1"/>
        <rFont val="Calibri"/>
        <family val="2"/>
        <scheme val="minor"/>
      </rPr>
      <t>{Billing_State}</t>
    </r>
  </si>
  <si>
    <t>KillIE</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</si>
  <si>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CHK_SALTMobile_Pay{UseResidentialAddress}][EDT_SALT_PayAus{Billing_StreetAddress}][EDT_SALT_PayAus{Billing_Suburb}][LST_SALT_PayAus{Billing_State}][EDT_SALT_PayAus{Billing_Postcode}][EDT_SALT_PayAus{Billing_City}</t>
  </si>
  <si>
    <t>Salt_Login][Mob_ContactUs</t>
  </si>
  <si>
    <t>ConnectDatabaseForAdmin][Salt_Login][EnterFirstOrderDetailMobile][FulfilmentType][ChoosePickUpBranchMobile][DeliveryDateMobile][PayMobileAUS][Mob_OrderSummary][Mob_OrderConfirmationPage][Salt_Logout</t>
  </si>
  <si>
    <t>0147000000</t>
  </si>
  <si>
    <t>0:00:01:09</t>
  </si>
  <si>
    <t>0:00:01:19</t>
  </si>
  <si>
    <t>0:00:00:54</t>
  </si>
  <si>
    <t>MobileReview</t>
  </si>
  <si>
    <t>ConnectDatabaseForAdmin][Salt_Login][EnterFirstOrderDetailMobile][MobileReview][PayMobileAUS][Mob_OrderSummary][Mob_OrderConfirmationPage][Salt_Logout</t>
  </si>
  <si>
    <t>CardNumber</t>
  </si>
  <si>
    <t>ProductName][NIP_SALTMobile_CreateOrder{Foreign_Amount}][LST_SALTMobile_CreateOrder{Foreign_Currency}][Local_CurrencyCode][EDT_SALT_Home{Foreign_Amount}][LBL_SALT_Home{Foreign_CurrencyCode}][EDT_SALT_Home{Local_Amount}][CardNumber</t>
  </si>
  <si>
    <t>5386350000030777</t>
  </si>
  <si>
    <t>0:00:00:14</t>
  </si>
  <si>
    <t>0:00:08:59</t>
  </si>
  <si>
    <t>0:00:10:54</t>
  </si>
  <si>
    <t>DatasheetToRecordSet</t>
  </si>
  <si>
    <t>http://admin.rgt.salt.travelex.com/Login.aspx</t>
  </si>
  <si>
    <t>Need Assistance?
If you need assistance with your order or if the currency you require is not available, please call our Customer Service Centre on 1800 440 039 (within Australia).
Currency Restrictions:
Some countries impose restrictions on the import/export of local and foreign currencies. You should seek advice from an official government website for the country you may be visiting before placing your order.</t>
  </si>
  <si>
    <t>AirportTerminal_Name</t>
  </si>
  <si>
    <t>DeliveryDate_dd/mm/yyyy][Selected_FulfilmentOption][Selected_DeliveryCost][Selected_DeliveryDate</t>
  </si>
  <si>
    <t>DeliveryDate_dd/mm/yyyy</t>
  </si>
  <si>
    <t>LST_SALT_PayAus{CardBilling_State}</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</si>
  <si>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Payment_Type][LST_SALT_Pay{Card_Type}][EDT_SALT_Pay{Card_Number}][EDT_SALT_Pay{Card_FirstName}][EDT_SALT_Pay{Card_LastName}][EDT_SALT_Pay{Security_Code}][LST_SALT_PayAus{CardExpiry_Month}][LST_SALT_PayAus{CardExpiry_Year}][CHK_SALT_PayAus{Use_Residential}][EDT_SALT_PayAus{Billing_StreetAddress}][EDT_SALT_PayAus{Billing_Suburb}][EDT_SALT_PayAus{Billing_City}][LST_SALT_PayAus{CardBilling_State}][EDT_SALT_PayAus{Billing_Postcode}][CHK_SALT_Pay{Special_Offers}][CHK_SALT_Pay{TermsAndConditions}][Order_Total</t>
  </si>
  <si>
    <r>
      <t>LST_SALT_PayAus</t>
    </r>
    <r>
      <rPr>
        <b/>
        <sz val="10"/>
        <color theme="1"/>
        <rFont val="Calibri"/>
        <family val="2"/>
        <scheme val="minor"/>
      </rPr>
      <t>{CardBilling_State}</t>
    </r>
  </si>
  <si>
    <t>Buy Multi-Currency Cash Passport</t>
  </si>
  <si>
    <t>Eastgardens</t>
  </si>
  <si>
    <t>Product Type</t>
  </si>
  <si>
    <t>Cash|CashPassport|Reload</t>
  </si>
  <si>
    <t>WEA_SALT_ChangeID{Reason}</t>
  </si>
  <si>
    <t>OrderNumber][EDT_SALT_ChangeID{NewCustName}][LST_SALT_ChangeID{IDType}][LST_SALT_ChangeID{Country}][LST_SALT_ChangeID{State}][EDT_SALT_ChangeID{IdNumber}][LST_SALT_ChangeID{ExpiryMonth}][LST_SALT_ChangeID{ExpiryDay}][LST_SALT_ChangeID{ExpiryYear}][LST_SALT_ChangeID{DOBMonth}][LST_SALT_ChangeID{DOBDay}][LST_SALT_ChangeID{DOBYear}][WEA_SALT_ChangeID{Reason}</t>
  </si>
  <si>
    <t>WEA_SALT_ChangePickUpDate{Reason}</t>
  </si>
  <si>
    <t>OrderNumber][WEA_SALT_ChangePickUpDate{Reason}</t>
  </si>
  <si>
    <r>
      <t>WEA_SALT_ChangeID</t>
    </r>
    <r>
      <rPr>
        <b/>
        <sz val="10"/>
        <color theme="1"/>
        <rFont val="Calibri"/>
        <family val="2"/>
        <scheme val="minor"/>
      </rPr>
      <t>{Reason}</t>
    </r>
  </si>
  <si>
    <r>
      <t>WEA_SALT_ChangePickUpDate</t>
    </r>
    <r>
      <rPr>
        <b/>
        <sz val="10"/>
        <color theme="1"/>
        <rFont val="Calibri"/>
        <family val="2"/>
        <scheme val="minor"/>
      </rPr>
      <t>{Reason}</t>
    </r>
  </si>
  <si>
    <t>Datasheet needs to be manually updated for this TC on every execution</t>
  </si>
  <si>
    <t>Secondary Card Number to be inputted in Datasheet</t>
  </si>
  <si>
    <t>Ignore Payment</t>
  </si>
  <si>
    <t>DatecheckOnOnlineRateScreen</t>
  </si>
  <si>
    <t>Salt_Login][Select_Country][SiteTreeSelectionAsPerCountry][Admin_OnlineRate_Check</t>
  </si>
  <si>
    <t>DatecheckOnCurrencyWidgetScreen</t>
  </si>
  <si>
    <t>SiteTreeSelectionAsPerCountry][Admin_Currency_Widget</t>
  </si>
  <si>
    <t>Admin_CurrencyConverter_Check</t>
  </si>
  <si>
    <t>CheckForOnlineStorePickup</t>
  </si>
  <si>
    <t>SiteTreeSelectionAsPerCountry][StoreSetupForOnlineStoreCheck][Admin_Store_Locator_Online_Check</t>
  </si>
  <si>
    <t>CheckForNonOnlineStorePickup</t>
  </si>
  <si>
    <t>CheckForOnlineAirportPickup</t>
  </si>
  <si>
    <t>SiteTreeSelectionAsPerCountry][StoreSetupForOnlineStoreCheck][Admin_Store_Locator_AirportOnline_Check</t>
  </si>
  <si>
    <t>SiteTreeSelectionAsPerCountry</t>
  </si>
  <si>
    <t>Local Currency</t>
  </si>
  <si>
    <t>AdminLocalCurrencyValidatorMajor</t>
  </si>
  <si>
    <t>Admin_Store_Locator_AirportOnline_Check</t>
  </si>
  <si>
    <t>AdminDate][Local Currency</t>
  </si>
  <si>
    <t>EDT_SALT_Admin{CCLocalCurrencyAmt}][LST_SALT_Admin{CCForeignCurrency}][EDT_SALT_Admin{CCForeignCurrencyAmt}][LST_SALT_Admin{CCLocalCurrency}][Local Currency][AdminDate</t>
  </si>
  <si>
    <t>CountryRetailScreen</t>
  </si>
  <si>
    <t>Admin_OnlineRate_Check</t>
  </si>
  <si>
    <t>AdminDate</t>
  </si>
  <si>
    <t>Admin_Currency_Widget</t>
  </si>
  <si>
    <t>StoreSetupForOnlineStoreCheck</t>
  </si>
  <si>
    <t>EDT_SALT_Admin{StoreSearchName}][EDT_SALT_ShippingOption{SLLocation}][Local Currency][AdminDate</t>
  </si>
  <si>
    <t>Admin_Store_Locator_Online_Check</t>
  </si>
  <si>
    <t>EDT_SALT_Admin{CCLocalCurrencyAmt}</t>
  </si>
  <si>
    <t>LST_SALT_Admin{CCForeignCurrency}</t>
  </si>
  <si>
    <t>EDT_SALT_Admin{CCForeignCurrencyAmt}</t>
  </si>
  <si>
    <t>LST_SALT_Admin{CCLocalCurrency}</t>
  </si>
  <si>
    <t>EDT_SALT_Admin{StoreSearchName}</t>
  </si>
  <si>
    <t>EDT_SALT_ShippingOption{SLLocation}</t>
  </si>
  <si>
    <r>
      <t>EDT_SALT_Admin</t>
    </r>
    <r>
      <rPr>
        <b/>
        <sz val="10"/>
        <color theme="1"/>
        <rFont val="Calibri"/>
        <family val="2"/>
        <scheme val="minor"/>
      </rPr>
      <t>{CCLocalCurrencyAmt}</t>
    </r>
  </si>
  <si>
    <r>
      <t>LST_SALT_Admin</t>
    </r>
    <r>
      <rPr>
        <b/>
        <sz val="10"/>
        <color theme="1"/>
        <rFont val="Calibri"/>
        <family val="2"/>
        <scheme val="minor"/>
      </rPr>
      <t>{CCForeignCurrency}</t>
    </r>
  </si>
  <si>
    <r>
      <t>EDT_SALT_Admin</t>
    </r>
    <r>
      <rPr>
        <b/>
        <sz val="10"/>
        <color theme="1"/>
        <rFont val="Calibri"/>
        <family val="2"/>
        <scheme val="minor"/>
      </rPr>
      <t>{CCForeignCurrencyAmt}</t>
    </r>
  </si>
  <si>
    <r>
      <t>LST_SALT_Admin</t>
    </r>
    <r>
      <rPr>
        <b/>
        <sz val="10"/>
        <color theme="1"/>
        <rFont val="Calibri"/>
        <family val="2"/>
        <scheme val="minor"/>
      </rPr>
      <t>{CCLocalCurrency}</t>
    </r>
  </si>
  <si>
    <r>
      <t>EDT_SALT_Admin</t>
    </r>
    <r>
      <rPr>
        <b/>
        <sz val="10"/>
        <color theme="1"/>
        <rFont val="Calibri"/>
        <family val="2"/>
        <scheme val="minor"/>
      </rPr>
      <t>{StoreSearchName}</t>
    </r>
  </si>
  <si>
    <r>
      <t>EDT_SALT_ShippingOption</t>
    </r>
    <r>
      <rPr>
        <b/>
        <sz val="10"/>
        <color theme="1"/>
        <rFont val="Calibri"/>
        <family val="2"/>
        <scheme val="minor"/>
      </rPr>
      <t>{SLLocation}</t>
    </r>
  </si>
  <si>
    <t>Monday, 16 Dec 2013 10:30:38 AEDT</t>
  </si>
  <si>
    <t>Monday, 31 Mar 2014</t>
  </si>
  <si>
    <t>Friday, 4 Apr 2014</t>
  </si>
  <si>
    <t>AU40035750</t>
  </si>
  <si>
    <t>AU40035768</t>
  </si>
  <si>
    <t>AU40035784</t>
  </si>
  <si>
    <t>AU40035792</t>
  </si>
  <si>
    <t>AU40035834</t>
  </si>
  <si>
    <t>0:00:07:03</t>
  </si>
  <si>
    <t>AU40035867</t>
  </si>
  <si>
    <t>0:00:10:58</t>
  </si>
  <si>
    <t>0:00:01:57</t>
  </si>
  <si>
    <t>0:00:04:23</t>
  </si>
  <si>
    <t>0:00:01:26</t>
  </si>
  <si>
    <t>0:00:03:19</t>
  </si>
  <si>
    <t>0:00:03:11</t>
  </si>
  <si>
    <t>0:00:01:41</t>
  </si>
  <si>
    <t>Auto_StorePickup</t>
  </si>
  <si>
    <t>Airport_Pickup</t>
  </si>
  <si>
    <t>Sydney International Airport</t>
  </si>
  <si>
    <t>* Domestic Airport Terminal 2 Virgin</t>
  </si>
  <si>
    <t xml:space="preserve">Queen Street </t>
  </si>
  <si>
    <t>Brisbane, Queensland,4000</t>
  </si>
  <si>
    <t>Salt_Login][PF_EnterFirstOrderDetail][EnterFirstOrderDetail][VerifyFirstOrder][ValidateOrderSummary][EnterShippingLocation][EnterShippingLocation][EnterShippingLocation][EnterShippingLocation][EnterShippingLocation][PF_ShippingOptions][SelectFulfilmentOption][DeliveryDate][PF_Pay_Validation][PayAus][Validate_ConfirmationPage][Confirmation][Salt_Logout</t>
  </si>
  <si>
    <t>EXECUTE</t>
  </si>
  <si>
    <t>0:00:00:25</t>
  </si>
  <si>
    <t>0:00:00:53</t>
  </si>
  <si>
    <t>0:00:03:27</t>
  </si>
  <si>
    <t>0:00:02:58</t>
  </si>
  <si>
    <t>HappyPath_AUS_AU_HP001</t>
  </si>
  <si>
    <t>HappyPath_AUS_AU_HP002</t>
  </si>
  <si>
    <t>HappyPath_AUS_AU_HP003</t>
  </si>
  <si>
    <t>HappyPath_AUS_AU_HP004a</t>
  </si>
  <si>
    <t>HappyPath_AUS_AU_HP005</t>
  </si>
  <si>
    <t>HappyPath_AUS_AU_HP006</t>
  </si>
  <si>
    <t>Buy Multi-currency Cash Passport</t>
  </si>
  <si>
    <t>United States of America</t>
  </si>
  <si>
    <t>Auto_AirportPickup</t>
  </si>
  <si>
    <t>priya.ladi@travelex.com</t>
  </si>
  <si>
    <t>Buy_Product][LST_SALT_Home{Foreign_Currency}][Local_CurrencyCode][EDT_SALT_Home{Foreign_Amount}][LBL_SALT_Home{Foreign_CurrencyCode}][EDT_SALT_Home{Local_Amount}][Country</t>
  </si>
  <si>
    <t>5386350000031452</t>
  </si>
  <si>
    <t>Bondi Junction</t>
  </si>
  <si>
    <t>TempLocalCurrencyCode</t>
  </si>
  <si>
    <t>5386350000030690</t>
  </si>
  <si>
    <t>Shipping_Type][Store_Name][Airport_Name][AirportTerminal_Name][TempLocalCurrencyCode</t>
  </si>
  <si>
    <t>Wednesday, 30 Apr 2014</t>
  </si>
  <si>
    <t>AU40038580</t>
  </si>
  <si>
    <t>Wednesday, 23 Apr 2014</t>
  </si>
  <si>
    <t>AU40038598</t>
  </si>
  <si>
    <t>0:00:06:36</t>
  </si>
  <si>
    <t>AU40038606</t>
  </si>
  <si>
    <t>0:00:03:50</t>
  </si>
  <si>
    <t>Salt_Login][Select_Country][SiteTreeSelectionAsPerCountry][Admin_CurrencyConverter_Check</t>
  </si>
  <si>
    <t>Testing</t>
  </si>
  <si>
    <t>Town Hall</t>
  </si>
  <si>
    <t>Canberra Airport</t>
  </si>
  <si>
    <t>Canberra Airport (Int'l Terminal)</t>
  </si>
  <si>
    <t>AU40038838</t>
  </si>
  <si>
    <t>0:00:12:56</t>
  </si>
  <si>
    <t>0:00:06:06</t>
  </si>
  <si>
    <t>AUD:-:1][AUD:-:2</t>
  </si>
  <si>
    <t>USD:-:1][USD:-:2</t>
  </si>
  <si>
    <t>EUR:-:1][EUR:-:2</t>
  </si>
  <si>
    <t>0:00:06:14</t>
  </si>
  <si>
    <t>0:00:06:01</t>
  </si>
  <si>
    <t>Salt_AdminLogin</t>
  </si>
  <si>
    <t>Salt_LoginTest</t>
  </si>
  <si>
    <t>test</t>
  </si>
  <si>
    <t>Salt_AdminLogin][Select_Country][Copy_TC_to_TC][CountryLoadBeforeExecution][FraudReviewAcceptReject</t>
  </si>
  <si>
    <t>Salt_AdminLogin][Select_Country][Copy_TC_to_TC][Select_Country][CountryLoadBeforeExecution][RefundDashBoard</t>
  </si>
  <si>
    <t>Salt_AdminLogin][Select_Country][CountryLoadBeforeExecution][VaultDashBoardView</t>
  </si>
  <si>
    <t>Salt_AdminLogin][Select_Country][Copy_TC_to_TC][CountryLoadBeforeExecution][VaultDashBoardOrdersToPack</t>
  </si>
  <si>
    <t>Salt_AdminLogin][Select_Country][Copy_TC_to_TC][OrderSearchTC][CountryLoadBeforeExecution][PackOrder</t>
  </si>
  <si>
    <t>AUD:-:1][AUD:-:2][AUD:-:3][AUD:-:4][AUD:-:5</t>
  </si>
  <si>
    <t>USD:-:1][USD:-:2][USD:-:3][USD:-:4][USD:-:5</t>
  </si>
  <si>
    <t>Spot Rate</t>
  </si>
  <si>
    <t>Original Rate</t>
  </si>
  <si>
    <t>Custom rate</t>
  </si>
  <si>
    <t>Cancellation Fee</t>
  </si>
  <si>
    <t>-30</t>
  </si>
  <si>
    <t>Canada, Dollar|Euro|Singapore, Dollar</t>
  </si>
  <si>
    <t>800|600|550</t>
  </si>
  <si>
    <t>PF_LayoutValidation</t>
  </si>
  <si>
    <t>Buy_Product][LST_SALT_Home{Foreign_Currency}][Local_CurrencyCode][EDT_SALT_Home{Foreign_Amount}][LBL_SALT_Home{Foreign_CurrencyCode}][EDT_SALT_Home{Local_Amount}</t>
  </si>
  <si>
    <t>PF_VerifyFirstOrder</t>
  </si>
  <si>
    <t>Haymarket</t>
  </si>
  <si>
    <t>durvesh.naik@travelex.com</t>
  </si>
  <si>
    <t>AddOrder_HP</t>
  </si>
  <si>
    <t>EnterFirstOrderDetail_HP</t>
  </si>
  <si>
    <t>0:00:01:52</t>
  </si>
  <si>
    <t>Another_Currency|Cash_Passport|AnotherCurrency_CashPassport</t>
  </si>
  <si>
    <t>Buy Cash|Buy Multi-currency Cash Passport</t>
  </si>
  <si>
    <t xml:space="preserve">
AU40039927</t>
  </si>
  <si>
    <t>800:-:1][800.00:-:2][600.00:-:3][600.00:-:4][550.00:-:5][550.00:-:6][800.00:-:7][800.00:-:8][600.00:-:9][600.00:-:10][800.00:-:1][800.00:-:2][600.00:-:3][600.00:-:4][:-:5][:-:6][800.00:-:7][800.00:-:8][800.00:-:9][800.00:-:10][600.00:-:1][600.00:-:2][550.00:-:3][550.00:-:4][800.00:-:5][800.00:-:6][600.00:-:7][600.00:-:8][550.00:-:9][550.00:-:10][:-:1][:-:2][:-:3][:-:4][800.00:-:5][800.00:-:6][600.00:-:7][600.00:-:8</t>
  </si>
  <si>
    <t>CAD:-:1][EUR:-:2][SGD:-:3][CAD:-:4][EUR:-:5][CAD:-:6][EUR:-:7][:-:8][:-:9][CAD:-:10][EUR:-:1][CAD:-:2][EUR:-:3][SGD:-:4][CAD:-:5][EUR:-:6][SGD:-:7][:-:8][:-:9][:-:10][:-:1][CAD:-:2][EUR:-:3][SGD:-:4</t>
  </si>
  <si>
    <t>899.99:-:1][959.23:-:2][520.69:-:3][899.99:-:4][959.23:-:5][899.99:-:6][959.23:-:7][:-:8][899.99:-:9][:-:10][899.99:-:1][959.23:-:2][520.69:-:3][899.99:-:4][959.23:-:5][520.69:-:6][:-:7][:-:8][:-:9][899.99:-:10][959.23:-:1][:-:2</t>
  </si>
  <si>
    <t>AUD:-:1][AUD:-:2][AUD:-:3][AUD:-:4][AUD:-:5][AUD:-:6][AUD:-:7][:-:8][AUD:-:9][:-:10][AUD:-:1][AUD:-:2][AUD:-:3][AUD:-:4][AUD:-:5][AUD:-:6][:-:7][:-:8][:-:9][AUD:-:10][AUD:-:1][:-:2</t>
  </si>
  <si>
    <t>AUD:-:1][AUD:-:2][AUD:-:3][AUD:-:4][AUD:-:5][AUD:-:6][AUD:-:7][AUD:-:8][AUD:-:9][AUD:-:10][AUD:-:1][AUD:-:2][AUD:-:3][AUD:-:4][AUD:-:5][AUD:-:6][AUD:-:7][AUD:-:8][AUD:-:9][AUD:-:10][AUD:-:1][AUD:-:2][AUD:-:3][AUD:-:4][AUD:-:5][AUD:-:6][AUD:-:7][AUD:-:8][AUD:-:9][AUD:-:10][AUD:-:1][AUD:-:2][AUD:-:3][AUD:-:4][AUD:-:5][AUD:-:6][AUD:-:7][AUD:-:8][AUD:-:9][AUD:-:10][AUD:-:1][AUD:-:2][AUD:-:3][AUD:-:4][AUD:-:5][AUD:-:6</t>
  </si>
  <si>
    <t>NZD:-:1][NZD:-:2][NZD:-:3][NZD:-:4][NZD:-:5][NZD:-:6][NZD:-:7][NZD:-:8][NZD:-:9][NZD:-:10][NZD:-:1][NZD:-:2][NZD:-:3][NZD:-:4][NZD:-:5][NZD:-:6][NZD:-:7][NZD:-:8][NZD:-:9][NZD:-:10][NZD:-:1][NZD:-:2][NZD:-:3][NZD:-:4][NZD:-:5][NZD:-:6][NZD:-:7][BND:-:8][NZD:-:9][NZD:-:10][NZD:-:1][NZD:-:2][NZD:-:3][NZD:-:4][NZD:-:5][NZD:-:6][NZD:-:7][NZD:-:8][NZD:-:9][NZD:-:10][NZD:-:1][NZD:-:2][NZD:-:3][NZD:-:4][NZD:-:5][NZD:-:6</t>
  </si>
  <si>
    <t>683.73:-:1][683.73:-:2][683.73:-:3][683.73:-:4][683.73:-:5][683.73:-:6][683.73:-:7][683.73:-:8][683.73:-:9][683.73:-:10][683.73:-:1][683.73:-:2][683.73:-:3][683.73:-:4][683.73:-:5][683.73:-:6][683.73:-:7][683.73:-:8][683.73:-:9][683.73:-:10][683.73:-:1][683.73:-:2][683.73:-:3][683.73:-:4][683.73:-:5][683.73:-:6][683.73:-:7][696.37:-:8][683.73:-:9][683.73:-:10][683.73:-:1][683.73:-:2][683.73:-:3][683.73:-:4][683.73:-:5][683.73:-:6][683.73:-:7][683.73:-:8][683.73:-:9][683.73:-:10][683.73:-:1][683.73:-:2][683.73:-:3][683.73:-:4][683.73:-:5][683.73:-:6</t>
  </si>
  <si>
    <t>VerifyFirstOrder_HP</t>
  </si>
  <si>
    <t>HappyPath_AUS_AU_HP004</t>
  </si>
  <si>
    <t>0:00:08:08</t>
  </si>
  <si>
    <t>EDT_SALT_Pay{Confirm_IDNumber}</t>
  </si>
  <si>
    <r>
      <t>EDT_SALT_Pay</t>
    </r>
    <r>
      <rPr>
        <b/>
        <sz val="10"/>
        <color theme="1"/>
        <rFont val="Calibri"/>
        <family val="2"/>
        <scheme val="minor"/>
      </rPr>
      <t>{Confirm_IDNumber}</t>
    </r>
  </si>
  <si>
    <t>ValidateOrderSummary_HP</t>
  </si>
  <si>
    <t>DeliveryDate_HP</t>
  </si>
  <si>
    <t>EnterShippingLocation_HP</t>
  </si>
  <si>
    <t>SelectFulfilmentOption_HP</t>
  </si>
  <si>
    <t>Salt_Login][EnterFirstOrderDetail_HP][VerifyFirstOrder_HP][AddOrder_HP][ValidateOrderSummary_HP][EnterShippingLocation_HP][Copy_TC_to_TC][SelectFulfilmentOption_HP][DeliveryDate_HP][PayAus][Confirmation][Salt_Logout</t>
  </si>
  <si>
    <t>Salt_Login][EnterFirstOrderDetail_HP][VerifyFirstOrder_HP][EnterShippingLocation_HP][Copy_TC_to_TC][SelectFulfilmentOption_HP][DeliveryDate_HP][PayAus][Confirmation][Salt_Logout</t>
  </si>
  <si>
    <t>Salt_Login][EnterFirstOrderDetail_HP][VerifyFirstOrder_HP][AddOrder_HP][AddOrder_HP][AddOrder_HP][ValidateOrderSummary_HP][EnterShippingLocation_HP][Copy_TC_to_TC][SelectFulfilmentOption_HP][DeliveryDate_HP][PayAus][Confirmation][Salt_Logout</t>
  </si>
  <si>
    <t>0:00:00:18</t>
  </si>
  <si>
    <t>700:-:1][700.00:-:2</t>
  </si>
  <si>
    <t>0:00:07:22</t>
  </si>
  <si>
    <t>MasterCard</t>
  </si>
  <si>
    <t>1758.59:-:1][1,758.59:-:2</t>
  </si>
  <si>
    <t>5111111111111110</t>
  </si>
  <si>
    <t>Purchase_Funnel</t>
  </si>
  <si>
    <t>PurchaseFunnel_Change_CreateOrder</t>
  </si>
  <si>
    <t>PurchaseFunnel_Change_ShippingOptions</t>
  </si>
  <si>
    <t>PurchaseFunnel_Change_DeliveryDate</t>
  </si>
  <si>
    <t>PurchaseFunnel_PF006</t>
  </si>
  <si>
    <t>0:00:23:09</t>
  </si>
  <si>
    <t>This is Availability Message</t>
  </si>
  <si>
    <t>AUD:-:1][AUD:-:2][AUD:-:3][AUD:-:4][AUD:-:5][AUD:-:6][AUD:-:7][AUD:-:8][AUD:-:9][AUD:-:10</t>
  </si>
  <si>
    <t>CAD:-:1][CAD:-:2][CAD:-:3][CAD:-:4][CAD:-:5][CAD:-:6][CAD:-:7][CAD:-:8][CAD:-:9][CAD:-:10</t>
  </si>
  <si>
    <t>899.99:-:1][899.99:-:2][899.99:-:3][899.99:-:4][899.99:-:5][899.99:-:6][899.99:-:7][899.99:-:8][899.99:-:9][899.99:-:10</t>
  </si>
  <si>
    <t>CAD:-:1][CAD:-:2][CAD:-:3][CAD:-:4][CAD:-:5][CAD:-:6][CAD:-:7][CAD:-:8][CAD:-:9</t>
  </si>
  <si>
    <t>449.99:-:1][449.99:-:2][449.99:-:3][449.99:-:4][449.99:-:5][449.99:-:6][449.99:-:7][449.99:-:8][449.99:-:9</t>
  </si>
  <si>
    <t>AUD:-:1][AUD:-:2][AUD:-:3][AUD:-:4][AUD:-:5][AUD:-:6][AUD:-:7][AUD:-:8][AUD:-:9</t>
  </si>
  <si>
    <t>400:-:1][400.00:-:2][400.00:-:3][400.00:-:4][400.00:-:5][400.00:-:6][400.00:-:7][:-:8][400.00:-:9][400.00:-:10</t>
  </si>
  <si>
    <t>Thursday, 8 May 2014</t>
  </si>
  <si>
    <t>AU40040909</t>
  </si>
  <si>
    <t>0:00:24:40</t>
  </si>
  <si>
    <t>0:00:02:03</t>
  </si>
  <si>
    <t>691.09:-:1][691.09:-:2][691.09:-:3][691.09:-:4][691.09:-:5</t>
  </si>
  <si>
    <t>0:00:02:26</t>
  </si>
  <si>
    <t>691.09:-:1][691.09:-:2</t>
  </si>
  <si>
    <t>0:00:02:04</t>
  </si>
  <si>
    <t>This is availability message</t>
  </si>
  <si>
    <t>Salt_Login][PF_EnterFirstOrderDetail][EnterFirstOrderDetail][VerifyFirstOrder][AddOrder][PF_Validations][ValidateOrderSummary][EnterShippingLocation][EnterShippingLocation][EnterShippingLocation][EnterShippingLocation][EnterShippingLocation][PF_ShippingOptions][ValidateSummary][SelectFulfilmentOption][PF_DeliveryDate][ValidateSummary][DeliveryDate][ValidateSummary][PF_Pay_Validation][PayAus][Validate_ConfirmationPage][Confirmation][Salt_Logout</t>
  </si>
  <si>
    <t>Salt_Login][EnterFirstOrderDetailForAdmin][EnterShippingLocationForAdmin][SelectFulfilmentOptionForAdmin][DeliveryDateForAdmin][Change_OrderDetail][KillIE</t>
  </si>
  <si>
    <t>Salt_Login][EnterFirstOrderDetailForAdmin][EnterShippingLocationForAdmin][SelectFulfilmentOptionForAdmin][DeliveryDateForAdmin][Change_ShippingOptions][KillIE</t>
  </si>
  <si>
    <t>Salt_Login][EnterFirstOrderDetailForAdmin][EnterShippingLocationForAdmin][SelectFulfilmentOptionForAdmin][DeliveryDateForAdmin][Change_DeliveryDate][KillIE</t>
  </si>
  <si>
    <t>Salt_Login][EnterFirstOrderDetail][VerifyFirstOrder][AddOrder][ValidateOrderSummary][Validate_MultiProducts</t>
  </si>
  <si>
    <t>GetDataForDayEndOrdersPackedInSafe</t>
  </si>
  <si>
    <t>OrderNumber][CustomerName][PickupDate][CashPassportPAN][ProductTotal][OrderTotal][Country</t>
  </si>
  <si>
    <t>GetDataForDayEndOrdersCompleted</t>
  </si>
  <si>
    <t>OrderNumber][PickupDate][ProductType][Currency][ForeignAmt][DomesticAmt][Country][CashPassportPAN</t>
  </si>
  <si>
    <t>PF_Validations</t>
  </si>
  <si>
    <t>EnterFirstOrderDetailForAdmin</t>
  </si>
  <si>
    <t>EnterShippingLocationForAdmin</t>
  </si>
  <si>
    <t>SelectFulfilmentOptionForAdmin</t>
  </si>
  <si>
    <t>Shipping_Type][Store_Name][Airport_Name][AirportTerminal_Name</t>
  </si>
  <si>
    <t>DeliveryDateForAdmin</t>
  </si>
  <si>
    <t>PayForAdmin</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</si>
  <si>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Payment_Type][LST_SALT_Pay{Card_Type}][EDT_SALT_Pay{Card_Number}][EDT_SALT_Pay{Card_FirstName}][EDT_SALT_Pay{Card_LastName}][EDT_SALT_Pay{Security_Code}][LST_SALT_PayAus{CardExpiry_Month}][LST_SALT_PayAus{CardExpiry_Year}][CHK_SALT_PayAus{Use_Residential}][LST_SALT_PayAus{CardBilling_State}][EDT_SALT_PayAus{Billing_StreetAddress}][EDT_SALT_PayAus{Billing_Suburb}][EDT_SALT_PayAus{Billing_City}][EDT_SALT_PayAus{Billing_Postcode}][CHK_SALT_Pay{Special_Offers}][CHK_SALT_Pay{TermsAndConditions}][Order_Total</t>
  </si>
  <si>
    <t>ConfirmationForAdmin</t>
  </si>
  <si>
    <t>Validate_MultiProducts</t>
  </si>
  <si>
    <t>ForeignAmt</t>
  </si>
  <si>
    <t>DomesticAmt</t>
  </si>
  <si>
    <t>None][Product Type][Availability_Message</t>
  </si>
  <si>
    <t>OrderNumber][PickupDate][ProductType][Currency][ForeignAmt][DomesticAmt][PANs</t>
  </si>
  <si>
    <t>ConfigurationBuyBackCountryLevel</t>
  </si>
  <si>
    <t>ConfigurationBuyBackRetailPartnerLevel</t>
  </si>
  <si>
    <t>BuyBackConfigurationCheckOnFullSite</t>
  </si>
  <si>
    <t>GetBuyBackNumber</t>
  </si>
  <si>
    <t>Salt_AdminLogin][Select_Country][ConfigurationBuyBackCountryLevel</t>
  </si>
  <si>
    <t>Salt_AdminLogin][Select_Country][ConfigurationBuyBackRetailPartnerLevel</t>
  </si>
  <si>
    <t>Salt_Login][EnterFirstOrderDetailForAdmin][HandleSecurityAlert][BuyBackConfigurationCheckOnFullSite][EnterShippingLocationForAdmin][SelectFulfilmentOptionForAdmin][DeliveryDateForAdmin][PayFRA][ConfirmationForAdmin][Salt_Logout][Salt_LoginAnotherInstance</t>
  </si>
  <si>
    <t>MakeBuybackActiveForPartner</t>
  </si>
  <si>
    <t>BybackNumber</t>
  </si>
  <si>
    <t>MakeBuybackActiveForCountry</t>
  </si>
  <si>
    <t>Salt_LoginAnotherInstance</t>
  </si>
  <si>
    <t>App_Name1][App_Env1][UserType1</t>
  </si>
  <si>
    <t>Salt_Login][Select_Country][Copy_TC_to_TC][CountryLoadBeforeExecution][CheckFraudOrderInReview</t>
  </si>
  <si>
    <t>Salt_Login][Select_Country][Copy_TC_to_TC][GetDataForDayEndOrdersCompleted][SelectStore][DayEndOrdersCompleted</t>
  </si>
  <si>
    <t>Salt_AdminLogin][Select_Country][Copy_TC_to_TC][OrderSearchTC][CountryLoadBeforeExecution][PackOrder][PickUpOrder</t>
  </si>
  <si>
    <t>Salt_AdminLogin][Select_Country][Copy_TC_to_TC][OrderSearchTC][CountryLoadBeforeExecution][AdminCancelPendingUnpckingStore</t>
  </si>
  <si>
    <t>Salt_AdminLogin][Select_Country][Copy_TC_to_TC][CountryLoadBeforeExecution][CancelPendingPackingStoreAndHome</t>
  </si>
  <si>
    <t>Salt_AdminLogin][Select_Country][Copy_TC_to_TC][CheckCallCenterOptions][OrderSearchTC][SelectStore][PackOrderFirst][ChangeOrderID][ChangePickUpDate][Salt_Logout</t>
  </si>
  <si>
    <t>Fees</t>
  </si>
  <si>
    <t>Buyback Ref</t>
  </si>
  <si>
    <t>BuyBack Text</t>
  </si>
  <si>
    <t>BuyBack Name</t>
  </si>
  <si>
    <t>App_Name1</t>
  </si>
  <si>
    <t>App_Env1</t>
  </si>
  <si>
    <t>UserType1</t>
  </si>
  <si>
    <t>5,00</t>
  </si>
  <si>
    <t>FR40040982</t>
  </si>
  <si>
    <t>\\gb-pb-gec-vt5\Batch\BPay\AU\Import</t>
  </si>
  <si>
    <t>C:\Users\kapalev\Desktop\BPAY</t>
  </si>
  <si>
    <t>Jack Smee</t>
  </si>
  <si>
    <t>BuyBackConfigurationCheckOnFullSiteMultiProd</t>
  </si>
  <si>
    <t>No fees on your return, save by adding our $0 Fee Buy Back
Don't lose out. Take out our $0 Fee Buy Back and we'll buy back your unused foreign currency, commission free, when you return.</t>
  </si>
  <si>
    <t>Travelex Rate Advantage</t>
  </si>
  <si>
    <t>Salt_AdminLoginAnotherInstance</t>
  </si>
  <si>
    <t>URL][UserID][Password</t>
  </si>
  <si>
    <t>0:00:01:21</t>
  </si>
  <si>
    <t>Salt_Login][EnterFirstOrderDetailForAdmin][HandleSecurityAlert][BuyBackConfigurationCheckOnFullSite][EnterShippingLocationForAdmin][SelectFulfilmentOptionForAdmin][DeliveryDateForAdmin][PayForAdmin][ConfirmationForAdmin][Salt_Logout][Salt_AdminLoginAnotherInstance][Select_Country][BybackNumber][Salt_Logout</t>
  </si>
  <si>
    <t>AUD:-:1][AUD:-:2][AUD:-:3][AUD:-:4][AUD:-:5][AUD:-:6][AUD:-:7][AUD:-:8</t>
  </si>
  <si>
    <t>USD:-:1][USD:-:2][USD:-:3][USD:-:4][USD:-:5][USD:-:6][USD:-:7][USD:-:8</t>
  </si>
  <si>
    <t>691.09:-:1][691.09:-:2][691.09:-:3][691.09:-:4][691.09:-:5][691.09:-:6][691.09:-:7][691.09:-:8</t>
  </si>
  <si>
    <t>AU40041139</t>
  </si>
  <si>
    <t>JRHW-CL3N</t>
  </si>
  <si>
    <t>0:00:07:50</t>
  </si>
  <si>
    <t>BuyBackConfigurationTwoCashStorePick</t>
  </si>
  <si>
    <t>MakeBuyBackActiveForCountryAndPartner</t>
  </si>
  <si>
    <t>5.00</t>
  </si>
  <si>
    <t>Salt_AdminLogin][Select_Country][MakeBuybackActiveForCountry][MakeBuybackActiveForPartner</t>
  </si>
  <si>
    <t>Vik</t>
  </si>
  <si>
    <t>0:00:06:21</t>
  </si>
  <si>
    <t>0:00:07:01</t>
  </si>
  <si>
    <t>0:00:06:07</t>
  </si>
  <si>
    <t>0:00:06:11</t>
  </si>
  <si>
    <t>0:00:06:04</t>
  </si>
  <si>
    <t>0:00:06:09</t>
  </si>
  <si>
    <t>0:00:06:41</t>
  </si>
  <si>
    <t>0:00:06:16</t>
  </si>
  <si>
    <t>0:00:05:53</t>
  </si>
  <si>
    <t>0:00:06:26</t>
  </si>
  <si>
    <t>CancelledBankTransferPandingBpay</t>
  </si>
  <si>
    <t>CancelBankTransBpay</t>
  </si>
  <si>
    <t>Salt_AdminLogin][Select_Country][Copy_TC_to_TC][CountryLoadBeforeExecution][CancelBankTransBpay</t>
  </si>
  <si>
    <t>Need only store name</t>
  </si>
  <si>
    <t>Salt_AdminLogin][Select_Country][Copy_TC_to_TC][BybackNumber</t>
  </si>
  <si>
    <t>ValidateBuyBackOnConfirmationPage</t>
  </si>
  <si>
    <t>Euro - EUR</t>
  </si>
  <si>
    <t>ExpiryDays</t>
  </si>
  <si>
    <t>ExpiryDays][Fees][LST_SALT_Admin{Country}</t>
  </si>
  <si>
    <t>600:-:1][600.00:-:2][600:-:3][:-:4][:-:5][600.00:-:6][600.00:-:7][600.00:-:8][600.00:-:9][600.00:-:10</t>
  </si>
  <si>
    <t>EUR:-:1][EUR:-:2][EUR:-:3][EUR:-:4][EUR:-:5][EUR:-:6][EUR:-:7][EUR:-:8</t>
  </si>
  <si>
    <t>959.23:-:1][959.23:-:2][959.23:-:3][959.23:-:4][959.23:-:5][959.23:-:6][1041.18:-:7][1041.18:-:8</t>
  </si>
  <si>
    <t>TC 32</t>
  </si>
  <si>
    <t>TC 33</t>
  </si>
  <si>
    <t>BuyBackConfigurationSingleCashStorePick</t>
  </si>
  <si>
    <t>TC 34,TC35</t>
  </si>
  <si>
    <t>Orders</t>
  </si>
  <si>
    <t>NOD_SALT_Confirmation{Order_Number}][Buyback Ref][Orders</t>
  </si>
  <si>
    <t>GetBuyBackNumberForMultiple</t>
  </si>
  <si>
    <t>Multiple</t>
  </si>
  <si>
    <t>BPAYbillpayBankTransferPaymentIgnore</t>
  </si>
  <si>
    <t>Bank_Transfer</t>
  </si>
  <si>
    <t>AU40041329</t>
  </si>
  <si>
    <t>BankTransferPaymentFull</t>
  </si>
  <si>
    <t>BankTransferPaymentPartial</t>
  </si>
  <si>
    <t>BankTransferPaymentHigher</t>
  </si>
  <si>
    <t>BankTransferPaymentIgnore</t>
  </si>
  <si>
    <t>\\gb-pb-gec-vt5\Batch\Swift\AU\Unprocessed</t>
  </si>
  <si>
    <t>AU40041337</t>
  </si>
  <si>
    <t>0:00:07:08</t>
  </si>
  <si>
    <t>AU40041345</t>
  </si>
  <si>
    <t>0:00:06:40</t>
  </si>
  <si>
    <t>AU40041352</t>
  </si>
  <si>
    <t>0:00:00:08</t>
  </si>
  <si>
    <t>0:00:00:06</t>
  </si>
  <si>
    <t>AU40041360</t>
  </si>
  <si>
    <t>AU40041378</t>
  </si>
  <si>
    <t>AU40041386</t>
  </si>
  <si>
    <t>AU40041394</t>
  </si>
  <si>
    <t>0:00:08:00</t>
  </si>
  <si>
    <t>0:00:00:05</t>
  </si>
  <si>
    <t>CancelBPAYBankTransferPending</t>
  </si>
  <si>
    <t>Salt_AdminLogin][Select_Country][Copy_TC_to_TC][CountryLoadBeforeExecution][CancelBPAYBankTransferPending</t>
  </si>
  <si>
    <t>AU40041436</t>
  </si>
  <si>
    <t>0:00:02:19</t>
  </si>
  <si>
    <t>CancellBPayBankTransferPending</t>
  </si>
  <si>
    <t>PrintUnpackOrder</t>
  </si>
  <si>
    <t>Salt_AdminLogin][Select_Country][SelectStore][PrintUnpackOrder</t>
  </si>
  <si>
    <t>ChangeOrderIDCompletedCallCentre</t>
  </si>
  <si>
    <t>ChangeIDDetails</t>
  </si>
  <si>
    <t>Test</t>
  </si>
  <si>
    <t>Feb</t>
  </si>
  <si>
    <t>Automation Testing</t>
  </si>
  <si>
    <t>ChangePickUpLocationPackedOrder</t>
  </si>
  <si>
    <t>ChangePickupLocation</t>
  </si>
  <si>
    <t>Salt_AdminLogin][Select_Country][Copy_TC_to_TC][OrderSearchTC][SelectStore][ChangePickupLocation</t>
  </si>
  <si>
    <t>New Store Name</t>
  </si>
  <si>
    <t>Reason</t>
  </si>
  <si>
    <t>OrderNumber][StoreName][Reason][New Store Name</t>
  </si>
  <si>
    <t>PayFRA</t>
  </si>
  <si>
    <t>LST_SALT_PayFRA{DOB_Day}</t>
  </si>
  <si>
    <t>LST_SALT_PayFRA{DOB_Month}</t>
  </si>
  <si>
    <t>LST_SALT_PayFRA{DOB_Year}</t>
  </si>
  <si>
    <t>LST_SALT_PayFRA{IDExp_Day}</t>
  </si>
  <si>
    <t>LST_SALT_PayFRA{IDExp_Month}</t>
  </si>
  <si>
    <t>LST_SALT_PayFRA{IDExp_Year}</t>
  </si>
  <si>
    <t>EDT_SALT_PayFRA{H_Number}</t>
  </si>
  <si>
    <t>EDT_SALT_PayFRA{Resi_Street}</t>
  </si>
  <si>
    <t>EDT_SALT_PayFRA{Aprt_Number}</t>
  </si>
  <si>
    <t>EDT_SALT_PayFRA{Zip}</t>
  </si>
  <si>
    <t>EDT_SALT_PayFRA{City}</t>
  </si>
  <si>
    <t>LST_SALT_PayFRA{CardExp_Month}</t>
  </si>
  <si>
    <t>LST_SALT_PayFRA{CardExp_Year}</t>
  </si>
  <si>
    <r>
      <t>LST_SALT_PayFRA</t>
    </r>
    <r>
      <rPr>
        <b/>
        <sz val="10"/>
        <color theme="1"/>
        <rFont val="Calibri"/>
        <family val="2"/>
        <scheme val="minor"/>
      </rPr>
      <t>{DOB_Day}</t>
    </r>
  </si>
  <si>
    <r>
      <t>LST_SALT_PayFRA</t>
    </r>
    <r>
      <rPr>
        <b/>
        <sz val="10"/>
        <color theme="1"/>
        <rFont val="Calibri"/>
        <family val="2"/>
        <scheme val="minor"/>
      </rPr>
      <t>{DOB_Month}</t>
    </r>
  </si>
  <si>
    <r>
      <t>LST_SALT_PayFRA</t>
    </r>
    <r>
      <rPr>
        <b/>
        <sz val="10"/>
        <color theme="1"/>
        <rFont val="Calibri"/>
        <family val="2"/>
        <scheme val="minor"/>
      </rPr>
      <t>{DOB_Year}</t>
    </r>
  </si>
  <si>
    <r>
      <t>LST_SALT_PayFRA</t>
    </r>
    <r>
      <rPr>
        <b/>
        <sz val="10"/>
        <color theme="1"/>
        <rFont val="Calibri"/>
        <family val="2"/>
        <scheme val="minor"/>
      </rPr>
      <t>{IDExp_Day}</t>
    </r>
  </si>
  <si>
    <r>
      <t>LST_SALT_PayFRA</t>
    </r>
    <r>
      <rPr>
        <b/>
        <sz val="10"/>
        <color theme="1"/>
        <rFont val="Calibri"/>
        <family val="2"/>
        <scheme val="minor"/>
      </rPr>
      <t>{IDExp_Month}</t>
    </r>
  </si>
  <si>
    <r>
      <t>LST_SALT_PayFRA</t>
    </r>
    <r>
      <rPr>
        <b/>
        <sz val="10"/>
        <color theme="1"/>
        <rFont val="Calibri"/>
        <family val="2"/>
        <scheme val="minor"/>
      </rPr>
      <t>{IDExp_Year}</t>
    </r>
  </si>
  <si>
    <r>
      <t>EDT_SALT_PayFRA</t>
    </r>
    <r>
      <rPr>
        <b/>
        <sz val="10"/>
        <color theme="1"/>
        <rFont val="Calibri"/>
        <family val="2"/>
        <scheme val="minor"/>
      </rPr>
      <t>{H_Number}</t>
    </r>
  </si>
  <si>
    <r>
      <t>EDT_SALT_PayFRA</t>
    </r>
    <r>
      <rPr>
        <b/>
        <sz val="10"/>
        <color theme="1"/>
        <rFont val="Calibri"/>
        <family val="2"/>
        <scheme val="minor"/>
      </rPr>
      <t>{Resi_Street}</t>
    </r>
  </si>
  <si>
    <r>
      <t>EDT_SALT_PayFRA</t>
    </r>
    <r>
      <rPr>
        <b/>
        <sz val="10"/>
        <color theme="1"/>
        <rFont val="Calibri"/>
        <family val="2"/>
        <scheme val="minor"/>
      </rPr>
      <t>{Aprt_Number}</t>
    </r>
  </si>
  <si>
    <r>
      <t>EDT_SALT_PayFRA</t>
    </r>
    <r>
      <rPr>
        <b/>
        <sz val="10"/>
        <color theme="1"/>
        <rFont val="Calibri"/>
        <family val="2"/>
        <scheme val="minor"/>
      </rPr>
      <t>{Zip}</t>
    </r>
  </si>
  <si>
    <r>
      <t>EDT_SALT_PayFRA</t>
    </r>
    <r>
      <rPr>
        <b/>
        <sz val="10"/>
        <color theme="1"/>
        <rFont val="Calibri"/>
        <family val="2"/>
        <scheme val="minor"/>
      </rPr>
      <t>{City}</t>
    </r>
  </si>
  <si>
    <r>
      <t>LST_SALT_PayFRA</t>
    </r>
    <r>
      <rPr>
        <b/>
        <sz val="10"/>
        <color theme="1"/>
        <rFont val="Calibri"/>
        <family val="2"/>
        <scheme val="minor"/>
      </rPr>
      <t>{CardExp_Month}</t>
    </r>
  </si>
  <si>
    <r>
      <t>LST_SALT_PayFRA</t>
    </r>
    <r>
      <rPr>
        <b/>
        <sz val="10"/>
        <color theme="1"/>
        <rFont val="Calibri"/>
        <family val="2"/>
        <scheme val="minor"/>
      </rPr>
      <t>{CardExp_Year}</t>
    </r>
  </si>
  <si>
    <t>Monsieur</t>
  </si>
  <si>
    <t>Passeport</t>
  </si>
  <si>
    <t>France</t>
  </si>
  <si>
    <t>janvier</t>
  </si>
  <si>
    <t>mars</t>
  </si>
  <si>
    <t>avril</t>
  </si>
  <si>
    <t>mai</t>
  </si>
  <si>
    <t>juin</t>
  </si>
  <si>
    <t>juillet</t>
  </si>
  <si>
    <t>septembre</t>
  </si>
  <si>
    <t>Paris</t>
  </si>
  <si>
    <t>Norvège, Couronne</t>
  </si>
  <si>
    <t>Nouvelle-Zélande, Dollar</t>
  </si>
  <si>
    <t>Country][Selected_DeliveryCost][NOD_SALT_Confirmation{Order_Number}][EDT_SALT_Pay{Street_Address}][EDT_SALT_Pay{Apartment_Number}][EDT_SALT_Pay{City}][EDT_SALT_Pay{Zip}][Order_Total</t>
  </si>
  <si>
    <t>SearchOrderThroughCallCentre</t>
  </si>
  <si>
    <t>Salt_AdminLogin][Select_Country][Copy_TC_to_TC][SearchOrderThroughCallCentre</t>
  </si>
  <si>
    <t>citibank Global</t>
  </si>
  <si>
    <t>PartnerName][OrderNumber][EDT_SALT_ChangeID{NewCustName}][LST_SALT_ChangeID{IDType}][LST_SALT_ChangeID{Country}][LST_SALT_ChangeID{State}][EDT_SALT_ChangeID{IdNumber}][LST_SALT_ChangeID{ExpiryMonth}][LST_SALT_ChangeID{ExpiryDay}][LST_SALT_ChangeID{ExpiryYear}][LST_SALT_ChangeID{DOBMonth}][LST_SALT_ChangeID{DOBDay}][LST_SALT_ChangeID{DOBYear}][WEA_SALT_ChangeID{Reason}</t>
  </si>
  <si>
    <t>Austria</t>
  </si>
  <si>
    <t>Mar</t>
  </si>
  <si>
    <t>FR40041618</t>
  </si>
  <si>
    <t>OrderNumber][Country</t>
  </si>
  <si>
    <t>OrderNumber][Spot Rate][Original Rate][Custom rate][Cancellation Fee][Country</t>
  </si>
  <si>
    <t>FromDate</t>
  </si>
  <si>
    <t>ToDate</t>
  </si>
  <si>
    <t>OrderNumber][FromDate][ToDate</t>
  </si>
  <si>
    <t>Salt_AdminLogin][Select_Country][CountryLoadBeforeExecution][Copy_TC_to_TC][OrderSearchTC][SelectStore][OrdersToPack</t>
  </si>
  <si>
    <t>6007 - Clichy</t>
  </si>
  <si>
    <t>5386870000013952</t>
  </si>
  <si>
    <t>Country][LST_SALT_Pay{Title}][EDT_SALT_Pay{FirstName}][EDT_SALT_Pay{MiddleName}][EDT_SALT_Pay{LastName}][LST_SALT_PayFRA{DOB_Day}][LST_SALT_PayFRA{DOB_Month}][LST_SALT_PayFRA{DOB_Year}][LST_SALT_Pay{ID_Type}][LST_SALT_Pay{CountryOfIssue}][EDT_SALT_Pay{ID_Number}][EDT_SALT_Pay{Confirm_IDNumber}][LST_SALT_PayFRA{IDExp_Day}][LST_SALT_PayFRA{IDExp_Month}][LST_SALT_PayFRA{IDExp_Year}][EDT_SALT_Pay{Mother_MaidenName}][EDT_SALT_Pay{Cell_Phone}][EDT_SALT_Pay{Home_Phone}][EDT_SALT_Pay{Email_Address}][EDT_SALT_Pay{Confirm_EmailAddress}][EDT_SALT_PayFRA{H_Number}][EDT_SALT_PayFRA{Resi_Street}][EDT_SALT_PayFRA{Aprt_Number}][EDT_SALT_PayFRA{Zip}][EDT_SALT_PayFRA{City}][Payment_Type][LST_SALT_Pay{Card_Type}][EDT_SALT_Pay{Card_Number}][EDT_SALT_Pay{Card_FirstName}][EDT_SALT_Pay{Card_LastName}][EDT_SALT_Pay{Security_Code}][LST_SALT_PayFRA{CardExp_Month}][LST_SALT_PayFRA{CardExp_Year}][CHK_SALT_Pay{Special_Offers}][CHK_SALT_Pay{TermsAndConditions}][Order_Total][Country</t>
  </si>
  <si>
    <t>La Garantie Buy Back</t>
  </si>
  <si>
    <t>FR40042095</t>
  </si>
  <si>
    <t>Salt_Login][Select_Country][Copy_TC_to_TC][SelectStore][GetDataForDayEndOrdersPackedInSafe][SelectStore][DayEndOrdersPackedInSafe</t>
  </si>
  <si>
    <t>OrderNumber,StoreName</t>
  </si>
  <si>
    <t>OrderNumber][ProductTotal][PickupDate][ProductType][Currency][ForeignAmt][DomesticAmt][Country][CashPassportPAN][CustomerName][OrderTotal</t>
  </si>
  <si>
    <r>
      <t>EDT_SALT_Pay</t>
    </r>
    <r>
      <rPr>
        <b/>
        <sz val="10"/>
        <color theme="1"/>
        <rFont val="Calibri"/>
        <family val="2"/>
        <scheme val="minor"/>
      </rPr>
      <t>{MiddleName}</t>
    </r>
  </si>
  <si>
    <t>Salt_Login][ValidateBuyBackOnConfirmationPage</t>
  </si>
  <si>
    <t>BuyBack Name][Fees][Country</t>
  </si>
  <si>
    <t>500,00 €</t>
  </si>
  <si>
    <t>Salt_AdminLogin][Select_Country][SelectStore][OrdersToPickUp</t>
  </si>
  <si>
    <t>Last Name</t>
  </si>
  <si>
    <t>ID Number</t>
  </si>
  <si>
    <t>Last Name][ID Number][OrderNumber</t>
  </si>
  <si>
    <t>FR40035651</t>
  </si>
  <si>
    <t>Salt_AdminLogin][Select_Country][Copy_TC_to_TC][RefundDashboardCancellation</t>
  </si>
  <si>
    <t>Rivoli</t>
  </si>
  <si>
    <t>Salt_AdminLogin][Select_Country][Copy_TC_to_TC][CheckCallCenterOptions][ChangeOrderID][ChangeIDDetails</t>
  </si>
  <si>
    <t>Rate</t>
  </si>
  <si>
    <t>SecondRate</t>
  </si>
  <si>
    <t>BuyBack Text][BuyBack Name][LST_SALT_Admin{Country}][Rate][SecondRate][Fees</t>
  </si>
  <si>
    <t>Singapore, Dollar</t>
  </si>
  <si>
    <t>Australia - Dollar - AUD</t>
  </si>
  <si>
    <t>United Kingdom - Pound - GBP</t>
  </si>
  <si>
    <t>Switzerland - Franc - CHF</t>
  </si>
  <si>
    <t>Canada - Dollar - CAD</t>
  </si>
  <si>
    <t>9898989898</t>
  </si>
  <si>
    <t>123456789</t>
  </si>
  <si>
    <t>Visharad</t>
  </si>
  <si>
    <t>Mom</t>
  </si>
  <si>
    <t>Jay</t>
  </si>
  <si>
    <t>USA</t>
  </si>
  <si>
    <t>Review</t>
  </si>
  <si>
    <t>US40044323</t>
  </si>
  <si>
    <t>0:00:01:37</t>
  </si>
  <si>
    <t>0:00:02:44</t>
  </si>
  <si>
    <t>0:00:01:06</t>
  </si>
  <si>
    <t>0:00:00:35</t>
  </si>
  <si>
    <t>JOHN</t>
  </si>
  <si>
    <t>SMITH</t>
  </si>
  <si>
    <t>222333 PEACHTREE PLACE</t>
  </si>
  <si>
    <t>ATLANTA</t>
  </si>
  <si>
    <t>Georgia</t>
  </si>
  <si>
    <t>112223333</t>
  </si>
  <si>
    <t>Selected_FulfilmentOption][LST_SALT_Pay{Title}][EDT_SALT_Pay{FirstName}][EDT_SALT_Pay{MiddleName}][EDT_SALT_Pay{LastName}][LST_SALT_Pay{DOB_MM}][LST_SALT_Pay{DOB_DD}][LST_SALT_Pay{DOB_YYYY}][EDT_SALT_Pay{Mother_MaidenName}][LST_SALT_Pay{ID_Type}][LST_SALT_Pay{CountryOfIssue}][LST_SALT_Pay{StateOfIssue}][EDT_SALT_Pay{ID_Number}][EDT_SALT_Pay{Confirm_IDNumber}][LST_SALT_Pay{IDExpiry_MM}][LST_SALT_Pay{IDExpiry_DD}][LST_SALT_Pay{IDExpiry_YYYY}][SSN][LST_SALT_Pay{State}][EDT_SALT_Pay{Cell_Phone}][EDT_SALT_Pay{Home_Phone}][EDT_SALT_Pay{Email_Address}][EDT_SALT_Pay{Confirm_EmailAddress}][EDT_SALT_Pay{Street_Address}][EDT_SALT_Pay{Apartment_Number}][EDT_SALT_Pay{City}][Residential_State][EDT_SALT_Pay{Zip}][LST_SALT_Pay{Card_Type}][EDT_SALT_Pay{Card_Number}][EDT_SALT_Pay{Card_FirstName}][EDT_SALT_Pay{Card_LastName}][EDT_SALT_Pay{Security_Code}][LST_SALT_Pay{CardExpiry_MM}][LST_SALT_Pay{CardExpiry_YYYY}][CHK_SALT_Pay{Special_Offers}][CHK_SALT_Pay{TermsAndConditions}][Order_Total</t>
  </si>
  <si>
    <t>0:00:03:38</t>
  </si>
  <si>
    <t>USA, Dollar</t>
  </si>
  <si>
    <t>1</t>
  </si>
  <si>
    <t>Ontario</t>
  </si>
  <si>
    <t>B2A2B1</t>
  </si>
  <si>
    <t>CA40046104</t>
  </si>
  <si>
    <t>3402 - Bank of Montreal</t>
  </si>
  <si>
    <t>Sachin Visharad</t>
  </si>
  <si>
    <t>USD 1,200.00</t>
  </si>
  <si>
    <t>$0 Fee Buy Back</t>
  </si>
  <si>
    <t>No fees on your return, save by adding our $0 Fee Buy BackDon't lose out. Take out our $0 Fee Buy Back and we'll buy back your unused foreign currency, commission free, when you return.</t>
  </si>
  <si>
    <t>0.9385 AUD</t>
  </si>
  <si>
    <t xml:space="preserve">0.6148 EUR </t>
  </si>
  <si>
    <t>Salt_Login][EnterFirstOrderDetailForAdmin][HandleSecurityAlert][BuyBackConfigurationCheckOnFullSite][EnterShippingLocationForAdmin][SelectFulfilmentOptionForAdmin][DeliveryDateForAdmin][PayCan][ConfirmationForAdmin][ValidateBuyBackOnConfirmationPage</t>
  </si>
  <si>
    <t>Varma</t>
  </si>
  <si>
    <t>Vijay</t>
  </si>
  <si>
    <t>1.1421</t>
  </si>
  <si>
    <t>1.0213</t>
  </si>
  <si>
    <t>1,356.80</t>
  </si>
  <si>
    <t>Travelex CA</t>
  </si>
  <si>
    <t>CloseAdminCallCentre</t>
  </si>
  <si>
    <t>Salt_Login][Select_Country][CheckCallCenterOptions][VerifySubmitNewOrderOption][CloseAdminCallCentre][HandleSecurityAlert][EnterShippingLocationForAdmin][SelectFulfilmentOptionForAdmin][DeliveryDateForAdmin][PayCan][ConfirmationForAdmin</t>
  </si>
  <si>
    <t>No fees on your return, save by adding our $0 Fee Buy BackDon't lose out. Take out our $0 Fee Buy Back and we'll buy back your unused foreign currency, commission free, when you return</t>
  </si>
  <si>
    <t>0.6148 EUR</t>
  </si>
  <si>
    <t>Salt_Login][EnterFirstOrderDetailForAdmin][EnterShippingLocationForAdmin][SelectFulfilmentOptionForAdmin][DeliveryDateForAdmin][PayCan][ConfirmationForAdmin</t>
  </si>
  <si>
    <t>Salt_Login][EnterFirstOrderDetailForAdmin][HandleSecurityAlert][AddOrder][BuyBackConfigurationCheckOnFullSite][EnterShippingLocationForAdmin][SelectFulfilmentOptionForAdmin][DeliveryDateForAdmin][PayCan][ConfirmationForAdmin][ValidateBuyBackOnConfirmationPage</t>
  </si>
  <si>
    <t>0:00:03:42</t>
  </si>
  <si>
    <t>0:00:03:45</t>
  </si>
  <si>
    <t>Salt_AdminLogin][Select_Country][Copy_TC_to_TC][OrderSearchTC][PackOrder][SelectStore][PreReqUnpack][SelectStore][OrdersToUnPackAdmin</t>
  </si>
  <si>
    <t>PreReqUnpack</t>
  </si>
  <si>
    <t>OrdersToUnPackAdmin</t>
  </si>
  <si>
    <t>Edmonton City Centre</t>
  </si>
  <si>
    <t>Edmonton</t>
  </si>
  <si>
    <t>7350 - Edmonton City Centre</t>
  </si>
  <si>
    <t>Run time</t>
  </si>
  <si>
    <t>ChangePickUpLocationPacked</t>
  </si>
  <si>
    <t>Salt_AdminLogin][Select_Country][Copy_TC_to_TC][ChangePickUpDate</t>
  </si>
  <si>
    <t>Salt_AdminLogin][Select_Country][Copy_TC_to_TC][OrderSearchTC][SelectStore][PackOrderFirst][SelectStore][ChangePickupLocation</t>
  </si>
  <si>
    <t>We</t>
  </si>
  <si>
    <t>04 Dec 2012</t>
  </si>
  <si>
    <t>17 Sep 2014</t>
  </si>
  <si>
    <t>StoreLeadTimeValidation</t>
  </si>
  <si>
    <t>EditStoreLeadTime</t>
  </si>
  <si>
    <t>AddStoreValidateEditStoreLeadTime</t>
  </si>
  <si>
    <t>ValidatePaymentTypes</t>
  </si>
  <si>
    <t>ValidateLeadTimePaymentPage</t>
  </si>
  <si>
    <t>ValidatePaymentLeadTime</t>
  </si>
  <si>
    <t>Salt_AdminLogin][Select_Country][ValidateLeadTime</t>
  </si>
  <si>
    <t>Salt_AdminLogin][Select_Country][EditStoreLeadTime</t>
  </si>
  <si>
    <t>Salt_AdminLogin][Select_Country][AddStoreInAdmin][ValidateLeadTime][EditStoreLeadTime</t>
  </si>
  <si>
    <t>Salt_AdminLogin][Select_Country][ValidatePaymentTypes</t>
  </si>
  <si>
    <t>Salt_AdminLogin][Select_Country][ValidateLeadTimePaymentPage</t>
  </si>
  <si>
    <t>Salt_AdminLogin][Select_Country][ValidatePaymentLeadTime</t>
  </si>
  <si>
    <t>ValidateLeadTime</t>
  </si>
  <si>
    <t>AddStoreInAdmin</t>
  </si>
  <si>
    <t>StoreName][StoreType</t>
  </si>
  <si>
    <t>StoreType][BTN_AddStore][EDT_AddStore_{SiteID}][StoreName][EDT_AddStore_{StorePREL}][EDT_AddStore_{StoreFidelity}][LST_AddStore_{StoreOwnPart}][LST_AddStore_{StoreArea}][EDT_AddStore_{StoreAdd1}][EDT_AddStore_{StoreAdd2}][EDT_AddStore_{StoreCity}][LST_AddStore_{StoreState}][EDT_AddStore_{StoreZip}][EDT_AddStore_{StoreLatitude}][EDT_AddStore_{StoreLongitude}][LST_AddStore_{StoreTime}][CHK_AddStore_{StoreLocator}][LST_AddStore_{StoreType}][CHK_AddStore_{StoreATM}][EDT_AddStore_{StoreEmailID}][CHK_AddStore_{StoreATM}][EDT_AddStore_{StorePhoneID}][EDT_AddStore_{StoreFax}][CHK_AddStore_{StorePhNo}][CHK_AddStore_{StoreStatusIsActive}][CHK_AddStore_{StoreOnlineStatus}][LST_AddStore_{StoreHolidayProfile}][CHK_AddStore_{EmailIDDisplay}][LST_SALT_AddStore{AirportName}][LST_SALT_AddStore{AirportLocation}</t>
  </si>
  <si>
    <t>StoreType</t>
  </si>
  <si>
    <t>BTN_AddStore</t>
  </si>
  <si>
    <t>EDT_AddStore_{SiteID}</t>
  </si>
  <si>
    <t>EDT_AddStore_{StorePREL}</t>
  </si>
  <si>
    <t>EDT_AddStore_{StoreFidelity}</t>
  </si>
  <si>
    <t>LST_AddStore_{StoreOwnPart}</t>
  </si>
  <si>
    <t>LST_AddStore_{StoreArea}</t>
  </si>
  <si>
    <t>EDT_AddStore_{StoreAdd1}</t>
  </si>
  <si>
    <t>EDT_AddStore_{StoreAdd2}</t>
  </si>
  <si>
    <t>EDT_AddStore_{StoreCity}</t>
  </si>
  <si>
    <t>LST_AddStore_{StoreState}</t>
  </si>
  <si>
    <t>EDT_AddStore_{StoreZip}</t>
  </si>
  <si>
    <t>EDT_AddStore_{StoreLatitude}</t>
  </si>
  <si>
    <t>EDT_AddStore_{StoreLongitude}</t>
  </si>
  <si>
    <t>LST_AddStore_{StoreTime}</t>
  </si>
  <si>
    <t>CHK_AddStore_{StoreLocator}</t>
  </si>
  <si>
    <t>LST_AddStore_{StoreType}</t>
  </si>
  <si>
    <t>CHK_AddStore_{StoreATM}</t>
  </si>
  <si>
    <t>EDT_AddStore_{StoreEmailID}</t>
  </si>
  <si>
    <t>EDT_AddStore_{StorePhoneID}</t>
  </si>
  <si>
    <t>EDT_AddStore_{StoreFax}</t>
  </si>
  <si>
    <t>CHK_AddStore_{StorePhNo}</t>
  </si>
  <si>
    <t>CHK_AddStore_{StoreStatusIsActive}</t>
  </si>
  <si>
    <t>CHK_AddStore_{StoreOnlineStatus}</t>
  </si>
  <si>
    <t>LST_AddStore_{StoreHolidayProfile}</t>
  </si>
  <si>
    <t>CHK_AddStore_{EmailIDDisplay}</t>
  </si>
  <si>
    <t>LST_SALT_AddStore{AirportName}</t>
  </si>
  <si>
    <t>LST_SALT_AddStore{AirportLocation}</t>
  </si>
  <si>
    <r>
      <t>EDT_AddStore_</t>
    </r>
    <r>
      <rPr>
        <b/>
        <sz val="10"/>
        <color theme="1"/>
        <rFont val="Calibri"/>
        <family val="2"/>
        <scheme val="minor"/>
      </rPr>
      <t>{SiteID}</t>
    </r>
  </si>
  <si>
    <r>
      <t>EDT_AddStore_</t>
    </r>
    <r>
      <rPr>
        <b/>
        <sz val="10"/>
        <color theme="1"/>
        <rFont val="Calibri"/>
        <family val="2"/>
        <scheme val="minor"/>
      </rPr>
      <t>{StorePREL}</t>
    </r>
  </si>
  <si>
    <r>
      <t>EDT_AddStore_</t>
    </r>
    <r>
      <rPr>
        <b/>
        <sz val="10"/>
        <color theme="1"/>
        <rFont val="Calibri"/>
        <family val="2"/>
        <scheme val="minor"/>
      </rPr>
      <t>{StoreFidelity}</t>
    </r>
  </si>
  <si>
    <r>
      <t>LST_AddStore_</t>
    </r>
    <r>
      <rPr>
        <b/>
        <sz val="10"/>
        <color theme="1"/>
        <rFont val="Calibri"/>
        <family val="2"/>
        <scheme val="minor"/>
      </rPr>
      <t>{StoreOwnPart}</t>
    </r>
  </si>
  <si>
    <r>
      <t>LST_AddStore_</t>
    </r>
    <r>
      <rPr>
        <b/>
        <sz val="10"/>
        <color theme="1"/>
        <rFont val="Calibri"/>
        <family val="2"/>
        <scheme val="minor"/>
      </rPr>
      <t>{StoreArea}</t>
    </r>
  </si>
  <si>
    <r>
      <t>EDT_AddStore_</t>
    </r>
    <r>
      <rPr>
        <b/>
        <sz val="10"/>
        <color theme="1"/>
        <rFont val="Calibri"/>
        <family val="2"/>
        <scheme val="minor"/>
      </rPr>
      <t>{StoreAdd1}</t>
    </r>
  </si>
  <si>
    <r>
      <t>EDT_AddStore_</t>
    </r>
    <r>
      <rPr>
        <b/>
        <sz val="10"/>
        <color theme="1"/>
        <rFont val="Calibri"/>
        <family val="2"/>
        <scheme val="minor"/>
      </rPr>
      <t>{StoreAdd2}</t>
    </r>
  </si>
  <si>
    <r>
      <t>EDT_AddStore_</t>
    </r>
    <r>
      <rPr>
        <b/>
        <sz val="10"/>
        <color theme="1"/>
        <rFont val="Calibri"/>
        <family val="2"/>
        <scheme val="minor"/>
      </rPr>
      <t>{StoreCity}</t>
    </r>
  </si>
  <si>
    <r>
      <t>LST_AddStore_</t>
    </r>
    <r>
      <rPr>
        <b/>
        <sz val="10"/>
        <color theme="1"/>
        <rFont val="Calibri"/>
        <family val="2"/>
        <scheme val="minor"/>
      </rPr>
      <t>{StoreState}</t>
    </r>
  </si>
  <si>
    <r>
      <t>EDT_AddStore_</t>
    </r>
    <r>
      <rPr>
        <b/>
        <sz val="10"/>
        <color theme="1"/>
        <rFont val="Calibri"/>
        <family val="2"/>
        <scheme val="minor"/>
      </rPr>
      <t>{StoreZip}</t>
    </r>
  </si>
  <si>
    <r>
      <t>EDT_AddStore_</t>
    </r>
    <r>
      <rPr>
        <b/>
        <sz val="10"/>
        <color theme="1"/>
        <rFont val="Calibri"/>
        <family val="2"/>
        <scheme val="minor"/>
      </rPr>
      <t>{StoreLatitude}</t>
    </r>
  </si>
  <si>
    <r>
      <t>EDT_AddStore_</t>
    </r>
    <r>
      <rPr>
        <b/>
        <sz val="10"/>
        <color theme="1"/>
        <rFont val="Calibri"/>
        <family val="2"/>
        <scheme val="minor"/>
      </rPr>
      <t>{StoreLongitude}</t>
    </r>
  </si>
  <si>
    <r>
      <t>LST_AddStore_</t>
    </r>
    <r>
      <rPr>
        <b/>
        <sz val="10"/>
        <color theme="1"/>
        <rFont val="Calibri"/>
        <family val="2"/>
        <scheme val="minor"/>
      </rPr>
      <t>{StoreTime}</t>
    </r>
  </si>
  <si>
    <r>
      <t>CHK_AddStore_</t>
    </r>
    <r>
      <rPr>
        <b/>
        <sz val="10"/>
        <color theme="1"/>
        <rFont val="Calibri"/>
        <family val="2"/>
        <scheme val="minor"/>
      </rPr>
      <t>{StoreLocator}</t>
    </r>
  </si>
  <si>
    <r>
      <t>LST_AddStore_</t>
    </r>
    <r>
      <rPr>
        <b/>
        <sz val="10"/>
        <color theme="1"/>
        <rFont val="Calibri"/>
        <family val="2"/>
        <scheme val="minor"/>
      </rPr>
      <t>{StoreType}</t>
    </r>
  </si>
  <si>
    <r>
      <t>CHK_AddStore_</t>
    </r>
    <r>
      <rPr>
        <b/>
        <sz val="10"/>
        <color theme="1"/>
        <rFont val="Calibri"/>
        <family val="2"/>
        <scheme val="minor"/>
      </rPr>
      <t>{StoreATM}</t>
    </r>
  </si>
  <si>
    <r>
      <t>EDT_AddStore_</t>
    </r>
    <r>
      <rPr>
        <b/>
        <sz val="10"/>
        <color theme="1"/>
        <rFont val="Calibri"/>
        <family val="2"/>
        <scheme val="minor"/>
      </rPr>
      <t>{StoreEmailID}</t>
    </r>
  </si>
  <si>
    <r>
      <t>EDT_AddStore_</t>
    </r>
    <r>
      <rPr>
        <b/>
        <sz val="10"/>
        <color theme="1"/>
        <rFont val="Calibri"/>
        <family val="2"/>
        <scheme val="minor"/>
      </rPr>
      <t>{StorePhoneID}</t>
    </r>
  </si>
  <si>
    <r>
      <t>EDT_AddStore_</t>
    </r>
    <r>
      <rPr>
        <b/>
        <sz val="10"/>
        <color theme="1"/>
        <rFont val="Calibri"/>
        <family val="2"/>
        <scheme val="minor"/>
      </rPr>
      <t>{StoreFax}</t>
    </r>
  </si>
  <si>
    <r>
      <t>CHK_AddStore_</t>
    </r>
    <r>
      <rPr>
        <b/>
        <sz val="10"/>
        <color theme="1"/>
        <rFont val="Calibri"/>
        <family val="2"/>
        <scheme val="minor"/>
      </rPr>
      <t>{StorePhNo}</t>
    </r>
  </si>
  <si>
    <r>
      <t>CHK_AddStore_</t>
    </r>
    <r>
      <rPr>
        <b/>
        <sz val="10"/>
        <color theme="1"/>
        <rFont val="Calibri"/>
        <family val="2"/>
        <scheme val="minor"/>
      </rPr>
      <t>{StoreStatusIsActive}</t>
    </r>
  </si>
  <si>
    <r>
      <t>CHK_AddStore_</t>
    </r>
    <r>
      <rPr>
        <b/>
        <sz val="10"/>
        <color theme="1"/>
        <rFont val="Calibri"/>
        <family val="2"/>
        <scheme val="minor"/>
      </rPr>
      <t>{StoreOnlineStatus}</t>
    </r>
  </si>
  <si>
    <r>
      <t>LST_AddStore_</t>
    </r>
    <r>
      <rPr>
        <b/>
        <sz val="10"/>
        <color theme="1"/>
        <rFont val="Calibri"/>
        <family val="2"/>
        <scheme val="minor"/>
      </rPr>
      <t>{StoreHolidayProfile}</t>
    </r>
  </si>
  <si>
    <r>
      <t>CHK_AddStore_</t>
    </r>
    <r>
      <rPr>
        <b/>
        <sz val="10"/>
        <color theme="1"/>
        <rFont val="Calibri"/>
        <family val="2"/>
        <scheme val="minor"/>
      </rPr>
      <t>{EmailIDDisplay}</t>
    </r>
  </si>
  <si>
    <r>
      <t>LST_SALT_AddStore</t>
    </r>
    <r>
      <rPr>
        <b/>
        <sz val="10"/>
        <color theme="1"/>
        <rFont val="Calibri"/>
        <family val="2"/>
        <scheme val="minor"/>
      </rPr>
      <t>{AirportName}</t>
    </r>
  </si>
  <si>
    <r>
      <t>LST_SALT_AddStore</t>
    </r>
    <r>
      <rPr>
        <b/>
        <sz val="10"/>
        <color theme="1"/>
        <rFont val="Calibri"/>
        <family val="2"/>
        <scheme val="minor"/>
      </rPr>
      <t>{AirportLocation}</t>
    </r>
  </si>
  <si>
    <t>Retail store</t>
  </si>
  <si>
    <t>Airport store</t>
  </si>
  <si>
    <t>Implant store</t>
  </si>
  <si>
    <t>Partner store</t>
  </si>
  <si>
    <t>Bank of Montreal</t>
  </si>
  <si>
    <t>Calgary International Airport - Arrivals Level</t>
  </si>
  <si>
    <t>Halifax International Airport</t>
  </si>
  <si>
    <t>Test Airport Temp</t>
  </si>
  <si>
    <t>StoreType][StoreName</t>
  </si>
  <si>
    <t>Alberta 1, Gwen Ison</t>
  </si>
  <si>
    <t>c/- HSBC</t>
  </si>
  <si>
    <t>Alberta</t>
  </si>
  <si>
    <t>V2S 5A1</t>
  </si>
  <si>
    <t>(UTC-04:30) Caracas</t>
  </si>
  <si>
    <t>SALT-Alerts-Test@travelex.com</t>
  </si>
  <si>
    <t>NationalHolidays</t>
  </si>
  <si>
    <t>Calgary International Airport</t>
  </si>
  <si>
    <t>Airside</t>
  </si>
  <si>
    <t>Bank of Automation</t>
  </si>
  <si>
    <t>Calgary Airport - Automation</t>
  </si>
  <si>
    <t>Halifax Airport Automation</t>
  </si>
  <si>
    <t>Test Airport Automation</t>
  </si>
  <si>
    <t>City</t>
  </si>
  <si>
    <t>Airport</t>
  </si>
  <si>
    <t>Implant</t>
  </si>
  <si>
    <t>Partner</t>
  </si>
  <si>
    <t>CallCentreCancelledUnpackOrder</t>
  </si>
  <si>
    <t>CancelOrderCallCentre</t>
  </si>
  <si>
    <t>CancelPendingAdminUnpckingStore</t>
  </si>
  <si>
    <t>Salt_AdminLogin][Select_Country][Copy_TC_to_TC][OrderSearchTC][PackOrder][CancelOrderCallCentre][CancelPendingAdminUnpckingStore</t>
  </si>
  <si>
    <t>ChangePickupLocForUnpack</t>
  </si>
  <si>
    <t>StoreName][OrderNumber][StoreName][Reason][New Store Name</t>
  </si>
  <si>
    <t>Salt_AdminLogin][Select_Country][Copy_TC_to_TC][ChangePickupLocForUnpack</t>
  </si>
  <si>
    <t>Pearson</t>
  </si>
  <si>
    <t>CAD:-:1][CAD:-:2</t>
  </si>
  <si>
    <t>CAD:-:1][CAD:-:2][CAD:-:3</t>
  </si>
  <si>
    <t>AUD:-:1][AUD:-:2][AUD:-:3</t>
  </si>
  <si>
    <t>1301.24:-:1][1,301.24:-:2</t>
  </si>
  <si>
    <t>0:00:05:42</t>
  </si>
  <si>
    <t>2033.18:-:1][2,033.18:-:2</t>
  </si>
  <si>
    <t>1951.85:-:1][1,951.85:-:2</t>
  </si>
  <si>
    <t>CA01064708</t>
  </si>
  <si>
    <t>0:00:06:10</t>
  </si>
  <si>
    <t>0:00:03:05</t>
  </si>
  <si>
    <t>0:00:03:29</t>
  </si>
  <si>
    <t>0:00:05:19</t>
  </si>
  <si>
    <t>0:00:00:58</t>
  </si>
  <si>
    <t>Duplicate</t>
  </si>
  <si>
    <t>SearchInActCallCentPartner</t>
  </si>
  <si>
    <t>Salt_AdminLogin][Select_Country][SearchInActCallCentPartner</t>
  </si>
  <si>
    <t>CA41003443</t>
  </si>
  <si>
    <t>EUR:-:1][EUR:-:2][EUR:-:3</t>
  </si>
  <si>
    <t>1301.24:-:1][1,301.24:-:2][1,301.24:-:3</t>
  </si>
  <si>
    <t>CA41003468</t>
  </si>
  <si>
    <t>0:00:04:47</t>
  </si>
  <si>
    <t>NZD:-:1][NZD:-:2][NZD:-:3</t>
  </si>
  <si>
    <t>CA41003476</t>
  </si>
  <si>
    <t>0:00:04:49</t>
  </si>
  <si>
    <t>CA41003484</t>
  </si>
  <si>
    <t>0:00:04:41</t>
  </si>
  <si>
    <t>979.14:-:1][979.14:-:2][979.14:-:3</t>
  </si>
  <si>
    <t>CA41003500</t>
  </si>
  <si>
    <t>CA41003518</t>
  </si>
  <si>
    <t>0:00:05:03</t>
  </si>
  <si>
    <t>958.98:-:1][958.98:-:2][958.98:-:3</t>
  </si>
  <si>
    <t>CA41003526</t>
  </si>
  <si>
    <t>0:00:04:48</t>
  </si>
  <si>
    <t>1951.85:-:1][1,951.85:-:2][1,951.85:-:3</t>
  </si>
  <si>
    <t>CA41003534</t>
  </si>
  <si>
    <t>0:00:05:05</t>
  </si>
  <si>
    <t>CA41003542</t>
  </si>
  <si>
    <t>0:00:04:43</t>
  </si>
  <si>
    <t>1626.55:-:1][1,626.55:-:2</t>
  </si>
  <si>
    <t>CA41003559</t>
  </si>
  <si>
    <t>CA41003575</t>
  </si>
  <si>
    <t>1463.89:-:1][1,463.89:-:2</t>
  </si>
  <si>
    <t>CA41003591</t>
  </si>
  <si>
    <t>0:00:04:50</t>
  </si>
  <si>
    <t>CA41003617</t>
  </si>
  <si>
    <t>0:00:04:27</t>
  </si>
  <si>
    <t>0:00:02:21</t>
  </si>
  <si>
    <t>0:00:02:36</t>
  </si>
  <si>
    <t>0:00:04:34</t>
  </si>
  <si>
    <t>0:00:07:05</t>
  </si>
  <si>
    <t>0:00:04:30</t>
  </si>
  <si>
    <t>0:00:01:32</t>
  </si>
  <si>
    <t>0:00:01:53</t>
  </si>
  <si>
    <t>0:00:07:07</t>
  </si>
  <si>
    <t>0:00:01:38</t>
  </si>
  <si>
    <t>CA41003708</t>
  </si>
  <si>
    <t>0:00:06:22</t>
  </si>
  <si>
    <t>0:00:00:37</t>
  </si>
  <si>
    <t>CAD:-:1][CAD:-:2][CAD:-:3][CAD:-:4][CAD:-:5][CAD:-:6][CAD:-:7</t>
  </si>
  <si>
    <t>EUR:-:1][EUR:-:2][EUR:-:3][EUR:-:4][EUR:-:5][EUR:-:6][EUR:-:7</t>
  </si>
  <si>
    <t>975.93:-:1][975.93:-:2][975.93:-:3][975.93:-:4][975.93:-:5][975.93:-:6][975.93:-:7</t>
  </si>
  <si>
    <t>CA41003732</t>
  </si>
  <si>
    <t>AUD:-:1][AUD:-:2][AUD:-:3][AUD:-:4][AUD:-:5][AUD:-:6][AUD:-:7</t>
  </si>
  <si>
    <t>426.21:-:1][426.21:-:2][426.21:-:3][426.21:-:4][426.21:-:5][426.21:-:6][426.21:-:7</t>
  </si>
  <si>
    <t>400:-:1][400.00:-:2][400.00:-:3][400.00:-:4][400.00:-:5][400.00:-:6][400.00:-:7</t>
  </si>
  <si>
    <t>650.62:-:1][650.62:-:2][650.62:-:3][650.62:-:4][650.62:-:5][650.62:-:6][650.62:-:7</t>
  </si>
  <si>
    <t>CA41003757</t>
  </si>
  <si>
    <t>0:00:06:53</t>
  </si>
  <si>
    <t>0:00:03:17</t>
  </si>
  <si>
    <t>0:00:02:01</t>
  </si>
  <si>
    <t>P7W6-462L</t>
  </si>
  <si>
    <t>0:00:00:57</t>
  </si>
  <si>
    <t>GC10-3D2J|0GJM-AL1G</t>
  </si>
  <si>
    <t>0:00:01:24</t>
  </si>
  <si>
    <t>0:00:17:02</t>
  </si>
  <si>
    <t>0:00:03:08</t>
  </si>
  <si>
    <t>0:00:02:27</t>
  </si>
  <si>
    <t>0:00:01:40</t>
  </si>
  <si>
    <t>0:00:01:35</t>
  </si>
  <si>
    <t>0:00:01:30</t>
  </si>
  <si>
    <t>0:00:01:33</t>
  </si>
  <si>
    <t>0:00:01:56</t>
  </si>
  <si>
    <t>0:00:01:58</t>
  </si>
  <si>
    <t>0:00:01:51</t>
  </si>
  <si>
    <t>0:00:05:18</t>
  </si>
  <si>
    <t>0:00:04:38</t>
  </si>
  <si>
    <t>0:00:05:07</t>
  </si>
  <si>
    <t>0:00:00:40</t>
  </si>
  <si>
    <t>0:00:00:50</t>
  </si>
  <si>
    <t>0:00:07:42</t>
  </si>
  <si>
    <t>0:00:01:14</t>
  </si>
  <si>
    <t>0:00:00:36</t>
  </si>
  <si>
    <t>CAD:-:1][CAD:-:2][CAD:-:3][CAD:-:4][CAD:-:5</t>
  </si>
  <si>
    <t>1065.53:-:1][1,065.53:-:2][1,065.53:-:3][1,065.53:-:4][1,066,530.10:-:5</t>
  </si>
  <si>
    <t>0:00:01:15</t>
  </si>
  <si>
    <t>Fail</t>
  </si>
  <si>
    <t xml:space="preserve"> </t>
  </si>
  <si>
    <t>CAD:-:1][CAD:-:2][CAD:-:3][CAD:-:4</t>
  </si>
  <si>
    <t>NZD:-:1][NZD:-:2][NZD:-:3][NZD:-:4</t>
  </si>
  <si>
    <t>881.23:-:1][881.23:-:2][881.23:-:3][881.23:-:4</t>
  </si>
  <si>
    <t>CA41007022</t>
  </si>
  <si>
    <t>0:00:04:33</t>
  </si>
  <si>
    <t>Pass</t>
  </si>
  <si>
    <t>USD:-:1][USD:-:2][USD:-:3][USD:-:4</t>
  </si>
  <si>
    <t>1346.8:-:1][1,346.80:-:2][1,346.80:-:3][1,346.80:-:4</t>
  </si>
  <si>
    <t>CA41007030</t>
  </si>
  <si>
    <t>0:00:07:10</t>
  </si>
  <si>
    <t>EUR:-:1][EUR:-:2][EUR:-:3][EUR:-:4</t>
  </si>
  <si>
    <t>2033.18:-:1][2,033.18:-:2][2,033.18:-:3][2,033.18:-:4</t>
  </si>
  <si>
    <t>CA41007048</t>
  </si>
  <si>
    <t>0:00:08:01</t>
  </si>
  <si>
    <t>0:00:00:24</t>
  </si>
  <si>
    <t>POC_PartnetSearch</t>
  </si>
  <si>
    <t>strPartnerName</t>
  </si>
  <si>
    <t>intPartnerID</t>
  </si>
  <si>
    <t>Travelex</t>
  </si>
  <si>
    <t>CheckPayOnCollection_AddVerification</t>
  </si>
  <si>
    <t>New_UI_Page1</t>
  </si>
  <si>
    <t>HappyPath_PaymentPage_New</t>
  </si>
  <si>
    <t>New_UI_Page2</t>
  </si>
  <si>
    <t>EDT_Purchase_ForeignAmount</t>
  </si>
  <si>
    <t>LST_HappyPath_Pay_Title</t>
  </si>
  <si>
    <t>EDT_HappyPath_Pay_Fname</t>
  </si>
  <si>
    <t>EDT_HappyPath_Pay_Lname</t>
  </si>
  <si>
    <t>EDT_HappyPath_Pay_PhoneNo</t>
  </si>
  <si>
    <t>EDT_HappyPath_Pay_PhNo</t>
  </si>
  <si>
    <t>EDT_HappyPath_Pay_Email</t>
  </si>
  <si>
    <t>EDT_HappyPath_Pay_ConfirmEmail</t>
  </si>
  <si>
    <t>EDT_HappyPath_Pay_Suburb</t>
  </si>
  <si>
    <t>EDT_HappyPath_Pay_Street</t>
  </si>
  <si>
    <t>EDT_HappyPath_Pay_City</t>
  </si>
  <si>
    <t>LST_HappyPath_Pay_State</t>
  </si>
  <si>
    <t>EDT_HappyPath_Pay_AddPostCode</t>
  </si>
  <si>
    <t>EDT_HappyPath_Pay_DOBDate</t>
  </si>
  <si>
    <t>LST_HappyPath_Pay_DOBMonth</t>
  </si>
  <si>
    <t>EDT_HappyPath_Pay_DOBYear</t>
  </si>
  <si>
    <t>LST_HappyPath_Pay_IDType</t>
  </si>
  <si>
    <t>LST_HappyPath_Pay_COI</t>
  </si>
  <si>
    <t>EDT_HappyPath_Pay_IDNum</t>
  </si>
  <si>
    <t>EDT_HappyPath_Pay_ConIDNum</t>
  </si>
  <si>
    <t>EDT_HappyPath_Pay_CardExpDate</t>
  </si>
  <si>
    <t>LST_HappyPath_Pay_CardExpMon</t>
  </si>
  <si>
    <t>EDT_HappyPath_Pay_CardExpYear</t>
  </si>
  <si>
    <t>EDT_HappyPath_Pay_MMN</t>
  </si>
  <si>
    <t>EDT_HappyPath_Pay_AddressFinder</t>
  </si>
  <si>
    <t>BTN_Purchase_FindAddress</t>
  </si>
  <si>
    <t>LST_HappyPath_Pay_CardType</t>
  </si>
  <si>
    <t>EDT_HappyPath_Pay_CardNo</t>
  </si>
  <si>
    <t>LST_HappyPath_Pay_CardMonth</t>
  </si>
  <si>
    <t>LST_HappyPath_Pay_CardYear</t>
  </si>
  <si>
    <t>EDT_HappyPath_Pay_CardSec</t>
  </si>
  <si>
    <t>Mr.</t>
  </si>
  <si>
    <t>ravi.khapre@travelex.com</t>
  </si>
  <si>
    <t>Salt_login_UI</t>
  </si>
  <si>
    <t>EDT_POCStoreSearch</t>
  </si>
  <si>
    <t>POC_StoreSearch</t>
  </si>
  <si>
    <t>WC1B 5EG</t>
  </si>
  <si>
    <t>PO2 8SP</t>
  </si>
  <si>
    <t>Collection_Date</t>
  </si>
  <si>
    <t>Residence_Address</t>
  </si>
  <si>
    <t>Exchange_Rate</t>
  </si>
  <si>
    <t>Fee</t>
  </si>
  <si>
    <t>Total</t>
  </si>
  <si>
    <t>Result</t>
  </si>
  <si>
    <t>OrderType</t>
  </si>
  <si>
    <t>CHK_POCReservation</t>
  </si>
  <si>
    <t>POC_OnlineProfileName</t>
  </si>
  <si>
    <t>strPartnerName][intPartnerID][CHK_POCReservation][POC_OnlineProfileName</t>
  </si>
  <si>
    <t>False</t>
  </si>
  <si>
    <t>POC_ApplyOnlineRateProfile</t>
  </si>
  <si>
    <t>POC_ProductType</t>
  </si>
  <si>
    <t>POC_Currency</t>
  </si>
  <si>
    <t>POC_SellRate</t>
  </si>
  <si>
    <t>True</t>
  </si>
  <si>
    <t>POC_ProductType][POC_Currency][POC_SellRate][POC_OnlineProfileName</t>
  </si>
  <si>
    <t>01</t>
  </si>
  <si>
    <t>TC_POC_005</t>
  </si>
  <si>
    <t>TC_POC_003</t>
  </si>
  <si>
    <t>Salt_login_UI][New_UI_Page1][New_UI_Page2][HappyPath_PaymentPage_New</t>
  </si>
  <si>
    <t>EDT_SALT_SearchStoreName</t>
  </si>
  <si>
    <t>SelectBasketType</t>
  </si>
  <si>
    <t>strPassportCardNumber</t>
  </si>
  <si>
    <t>SelectDeliveryType</t>
  </si>
  <si>
    <t>BUY CURRENCY</t>
  </si>
  <si>
    <t>EDT_HappyPath_Pay_HouseNumber</t>
  </si>
  <si>
    <t>strTestCaseName</t>
  </si>
  <si>
    <t>N/A</t>
  </si>
  <si>
    <t>HappyPath_ConfirmPg</t>
  </si>
  <si>
    <t>POC_3DSecureTest</t>
  </si>
  <si>
    <t>str3DSecurePassword</t>
  </si>
  <si>
    <t>POC_Currency][EDT_Purchase_ForeignAmount][POC_ProductType][SelectBasketType][strPassportCardNumber][POC_SellRate</t>
  </si>
  <si>
    <t>OrderNumber][Collection_Date][Residence_Address][Exchange_Rate][Fee][Total][StoreName][Result][OrderType][POC_ProductType][POC_Currency][POC_SellRate</t>
  </si>
  <si>
    <t>POC_ProductType,POC_Currency,POC_SellRate</t>
  </si>
  <si>
    <t>POC_OrderSearch</t>
  </si>
  <si>
    <t>SelectDeliveryType][EDT_SALT_SearchStoreName][POC_SellRate</t>
  </si>
  <si>
    <t>Salt_Login][Select_Country][Copy_TC_to_TC][POC_OrderSearch</t>
  </si>
  <si>
    <t>Salt_login_UI111</t>
  </si>
  <si>
    <t>OrderNumber][Collection_Date][Total][OrderType</t>
  </si>
  <si>
    <t>Full</t>
  </si>
  <si>
    <t>TC_POC_001</t>
  </si>
  <si>
    <t>TC_POC_002</t>
  </si>
  <si>
    <t>4462074306783794</t>
  </si>
  <si>
    <t>3DSecure</t>
  </si>
  <si>
    <t>TC_POC_004</t>
  </si>
  <si>
    <t>TC_POC_006</t>
  </si>
  <si>
    <t>TC_POC_007</t>
  </si>
  <si>
    <t>TC_POC_009</t>
  </si>
  <si>
    <t>TC_POC_008</t>
  </si>
  <si>
    <t>strCallCenterOrderNo</t>
  </si>
  <si>
    <t>strupdateStatus</t>
  </si>
  <si>
    <t>strReasonforStatus</t>
  </si>
  <si>
    <t>strCallCenterOrderNo][strupdateStatus][strReasonforStatus][EDT_SALT_SearchStoreName</t>
  </si>
  <si>
    <t xml:space="preserve">Automation Test </t>
  </si>
  <si>
    <t>Cancelled</t>
  </si>
  <si>
    <t>POC_CallCenterDashBoard</t>
  </si>
  <si>
    <t>CANDACE</t>
  </si>
  <si>
    <t>TIMMSEN</t>
  </si>
  <si>
    <t xml:space="preserve">308-1 </t>
  </si>
  <si>
    <t>CHESTER RIVER HTS</t>
  </si>
  <si>
    <t>666506697</t>
  </si>
  <si>
    <t>KJL</t>
  </si>
  <si>
    <t>strTestCountry</t>
  </si>
  <si>
    <t>2016</t>
  </si>
  <si>
    <t>EDT_SSN1</t>
  </si>
  <si>
    <t>EDT_SSN2</t>
  </si>
  <si>
    <t>EDT_SSN3</t>
  </si>
  <si>
    <t>123</t>
  </si>
  <si>
    <t>1008</t>
  </si>
  <si>
    <t>LST_SecreteQUE</t>
  </si>
  <si>
    <t>EDT_SecreteANS</t>
  </si>
  <si>
    <t>What was your first pet's name?</t>
  </si>
  <si>
    <t>Eagle</t>
  </si>
  <si>
    <t>Salt_login_UI][New_UI_Page1][New_UI_Page2][HappyPath_PaymentPage_New][HappyPath_ConfirmPg][POC_StoreSearch][HappyPath_LastPage_Full][Salt_Login][Select_Country][POC_OrderSearch</t>
  </si>
  <si>
    <t>Reservation</t>
  </si>
  <si>
    <t>4179 S</t>
  </si>
  <si>
    <t>04</t>
  </si>
  <si>
    <t>654321</t>
  </si>
  <si>
    <t xml:space="preserve">CHAPMAN RD 15 </t>
  </si>
  <si>
    <t>LST_StateofIssue</t>
  </si>
  <si>
    <t>LST_HappyPath_Pay_Title][EDT_HappyPath_Pay_Fname][EDT_HappyPath_Pay_Lname][EDT_HappyPath_Pay_PhoneNo][EDT_HappyPath_Pay_PhNo][EDT_HappyPath_Pay_Email][EDT_HappyPath_Pay_ConfirmEmail][EDT_HappyPath_Pay_Suburb][EDT_HappyPath_Pay_Street][EDT_HappyPath_Pay_Suburb][EDT_HappyPath_Pay_City][LST_HappyPath_Pay_State][EDT_HappyPath_Pay_AddPostCode][EDT_HappyPath_Pay_DOBDate][LST_HappyPath_Pay_DOBMonth][EDT_HappyPath_Pay_DOBYear][LST_HappyPath_Pay_IDType][LST_HappyPath_Pay_COI][EDT_HappyPath_Pay_IDNum][EDT_HappyPath_Pay_ConIDNum][EDT_HappyPath_Pay_CardExpDate][LST_HappyPath_Pay_CardExpMon][EDT_HappyPath_Pay_CardExpYear][EDT_HappyPath_Pay_MMN][EDT_HappyPath_Pay_AddressFinder][EDT_HappyPath_Pay_AddPostCode][BTN_Purchase_FindAddress][EDT_HappyPath_Pay_DOBDate][LST_HappyPath_Pay_DOBMonth][EDT_HappyPath_Pay_DOBYear][LST_HappyPath_Pay_CardType][EDT_HappyPath_Pay_CardNo][LST_HappyPath_Pay_CardMonth][LST_HappyPath_Pay_CardYear][EDT_HappyPath_Pay_CardSec][strTestCaseName][LST_HappyPath_Pay_Title][EDT_HappyPath_Pay_HouseNumber][strTestCountry][EDT_SSN1][EDT_SSN2][EDT_SSN3][LST_SecreteQUE][EDT_SecreteANS][LST_StateofIssue</t>
  </si>
  <si>
    <t>4012001011000771</t>
  </si>
  <si>
    <t>##R@v!</t>
  </si>
  <si>
    <t>K#@pr#&amp;^%!</t>
  </si>
  <si>
    <t>1ABC8790</t>
  </si>
  <si>
    <t>RT1008YHS</t>
  </si>
  <si>
    <t>Salt_login_UI][Copy_TC_to_TC][New_UI_Page1][New_UI_Page2][HappyPath_PaymentPage_New][HappyPath_ConfirmPg][POC_3DSecureTest][HappyPath_LastPage_Full][Salt_Login][Select_Country][POC_OrderSearch</t>
  </si>
  <si>
    <t>SALT_TravelexNZOnline_NZ</t>
  </si>
  <si>
    <t>LocalStore</t>
  </si>
  <si>
    <t>4000000000000010</t>
  </si>
  <si>
    <t>D</t>
  </si>
  <si>
    <t>NZ41016536</t>
  </si>
  <si>
    <t>Salt_Login][Select_Country][POC_PartnetSearch][Salt_Logout][Salt_login_UI][Copy_TC_to_TC][New_UI_Page1][New_UI_Page2][HappyPath_PaymentPage_New][HappyPath_ConfirmPg][POC_3DSecureTest][POC_StoreSearch][HappyPath_LastPage_Full][Salt_Login][Select_Country][POC_OrderSearch</t>
  </si>
  <si>
    <t>AirportStore</t>
  </si>
  <si>
    <t>Y</t>
  </si>
  <si>
    <t>Salt_Login][Select_Country][POC_CallCenterDashBoard][Salt_Logout</t>
  </si>
  <si>
    <t>000011</t>
  </si>
  <si>
    <t>Salt_Login][Select_Country][POC_PartnetSearch][POC_ApplyOnlineRateProfile][Salt_Logout</t>
  </si>
  <si>
    <t>Canberra HSBC</t>
  </si>
  <si>
    <t>AUS</t>
  </si>
  <si>
    <t>1234567890</t>
  </si>
  <si>
    <t>Visa ( Debit )</t>
  </si>
  <si>
    <t>Canberra</t>
  </si>
  <si>
    <t>Neil</t>
  </si>
  <si>
    <t>Bird</t>
  </si>
  <si>
    <t>Abcd</t>
  </si>
  <si>
    <t>http://buy.rgt.salt.travelex.com.au/au/Purchas</t>
  </si>
  <si>
    <t>0873 - Canberra HSBC</t>
  </si>
  <si>
    <t>AU41017070</t>
  </si>
  <si>
    <t>Salt_Login][Select_Country][POC_PartnetSearch][Salt_login_UI][Copy_TC_to_TC][New_UI_Page1][New_UI_Page2][HappyPath_PaymentPage_New][HappyPath_ConfirmPg][HappyPath_LastPage_Full][Salt_Login][Select_Country][POC_OrderSearch][Salt_Logout</t>
  </si>
  <si>
    <t>Salt_Login][Select_Country][POC_PartnetSearch][Salt_login_UI][Copy_TC_to_TC][New_UI_Page1][New_UI_Page2][HappyPath_PaymentPage_New][HappyPath_ConfirmPg][POC_3DSecureTest][POC_StoreSearch][HappyPath_LastPage_Full][Salt_Login][Select_Country][POC_OrderSearch][Salt_Logout</t>
  </si>
  <si>
    <t>Salt_login_UI][Copy_TC_to_TC][New_UI_Page1][New_UI_Page2][HappyPath_PaymentPage_New][HappyPath_ConfirmPg][POC_StoreSearch][HappyPath_LastPage_Full][Salt_Login][Select_Country][POC_OrderSearch][Salt_Logout</t>
  </si>
  <si>
    <t xml:space="preserve"> to be paid on collection
$ 514.24</t>
  </si>
  <si>
    <t>_x000D_
_x000D_
West Lakes</t>
  </si>
  <si>
    <t>StoreDashboard_1</t>
  </si>
  <si>
    <t>StoreDashboardOrdrtToPack</t>
  </si>
  <si>
    <t>US_ADM011</t>
  </si>
  <si>
    <t>US_ADM010</t>
  </si>
  <si>
    <t>StoreDashboardOrdrtToPickUp</t>
  </si>
  <si>
    <t>US_ADM012</t>
  </si>
  <si>
    <t>StoreDashboardOrdrtToUnPack</t>
  </si>
  <si>
    <t>US_ADM013</t>
  </si>
  <si>
    <t>OrderToPack11</t>
  </si>
  <si>
    <t>PackedOrder</t>
  </si>
  <si>
    <t>OrderID</t>
  </si>
  <si>
    <t>08 Apr 2015</t>
  </si>
  <si>
    <t>09 Apr 2015</t>
  </si>
  <si>
    <t xml:space="preserve">
308-1
CHESTER RIVER HTS
Canberra
VIC 7011</t>
  </si>
  <si>
    <t xml:space="preserve">
$ 514.24</t>
  </si>
  <si>
    <t xml:space="preserve">
308-1
Abcd
Canberra
VIC 7011</t>
  </si>
  <si>
    <t>AU41021007</t>
  </si>
  <si>
    <t>_x000D_
_x000D_
Adelaide Airport T1 Arrivals, Lower Level</t>
  </si>
  <si>
    <t>AU41021023</t>
  </si>
  <si>
    <t xml:space="preserve">
308-1
CHESTER RIVER HTS
Canberra
VIC 2504</t>
  </si>
  <si>
    <t>0:00:01:00</t>
  </si>
  <si>
    <t>0:00:01:02</t>
  </si>
  <si>
    <t>0:00:01:44</t>
  </si>
  <si>
    <t>AU41021049</t>
  </si>
  <si>
    <t>0:00:05:06</t>
  </si>
  <si>
    <t>AU41021056</t>
  </si>
  <si>
    <t>0:00:06:19</t>
  </si>
  <si>
    <t>0:00:06:56</t>
  </si>
  <si>
    <t>AU41021072</t>
  </si>
  <si>
    <t>0:00:05:59</t>
  </si>
  <si>
    <t>The combo box item 'Victoria' not found.:-:Total number of items: 247._x000D_
_x000D_
NameMapping.Sys.browser.Salt_FullSite_Payment.article_Id_Section.Section(0).Select("countryofissue"):-:HappyPath_PaymentPage_New][POC Store Search Page should be available:-:POC Store Search page is not available:-:POC_StoreSearch</t>
  </si>
  <si>
    <t>AU41021114</t>
  </si>
  <si>
    <t>0:00:22:13</t>
  </si>
  <si>
    <t>Start_Test</t>
  </si>
  <si>
    <t>US_ADM017</t>
  </si>
  <si>
    <t>US_ADM019</t>
  </si>
  <si>
    <t>OrderToPickupDetails</t>
  </si>
  <si>
    <t>OrderToUnPackDetails</t>
  </si>
  <si>
    <t>isStatus</t>
  </si>
  <si>
    <t>Salt_Login][Select_Country][StoreDashboard_1][StoreDashboardOrdrtToPack][Salt_Logout</t>
  </si>
  <si>
    <t>Salt_Login][Select_Country][StoreDashboard_1][StoreDashboardOrdrtToPickUp][Salt_Logout</t>
  </si>
  <si>
    <t>Salt_Login][Select_Country][StoreDashboard_1][StoreDashboardOrdrtToUnPack][Salt_Logout</t>
  </si>
  <si>
    <t>Salt_Login][Select_Country][StoreDashboard_1][OrderToPack11][Salt_Logout</t>
  </si>
  <si>
    <t>Salt_Login][Select_Country][StoreDashboard_1][OrderToPickupDetails][Salt_Logout</t>
  </si>
  <si>
    <t>Salt_Login][Select_Country][StoreDashboard_1][OrderToUnPackDetails][Salt_Logout</t>
  </si>
  <si>
    <t>C:\RaviK\SVN_Copy\SALT RunTime\Projects\SALT\Snapshots\TC_POC_003_IN-MU-LT-J27116\201557\18429\Iterator_1\</t>
  </si>
  <si>
    <t>US_ADM015</t>
  </si>
  <si>
    <t>DayEndOrderPackInSafe</t>
  </si>
  <si>
    <t>Salt_Login][Select_Country][StoreDashboard_1][DayEndOrderPackInSafe][Salt_Logout</t>
  </si>
  <si>
    <t>US_ADM025</t>
  </si>
  <si>
    <t>StoreDash_012</t>
  </si>
  <si>
    <t>Salt_Login][Select_Country][StoreDashboard_1][CallCenterOptions][CallCenterSubmitNewOrder][CloseAdminCallCenter][ShippingLocationForAdmin</t>
  </si>
  <si>
    <t>Salt_Login][Select_Country][ Admin_orderSearch][Admin_AccessOrder][Admin_ChangePickupdate][Salt_Logout</t>
  </si>
  <si>
    <t>US_ADM016</t>
  </si>
  <si>
    <t>Salt_Login][Select_Country][StoreDashboard_1][DayEndOrderCompleted][Salt_Logout</t>
  </si>
  <si>
    <t>DayEndOrderCompleted</t>
  </si>
  <si>
    <t>CallCenterSubmitNewOrder</t>
  </si>
  <si>
    <t>CallCenterOptions</t>
  </si>
  <si>
    <t>CloseAdminCallCenter</t>
  </si>
  <si>
    <t>ShippingLocationForAdmin</t>
  </si>
  <si>
    <t xml:space="preserve"> Admin_orderSearch</t>
  </si>
  <si>
    <t>Admin_ChangePickupdate</t>
  </si>
  <si>
    <t>Admin_AccessOrder</t>
  </si>
  <si>
    <t>Travelex123</t>
  </si>
  <si>
    <t>US_ADM021</t>
  </si>
  <si>
    <t>US_ADM028</t>
  </si>
  <si>
    <t>PackOrder_Test</t>
  </si>
  <si>
    <t>US_ADM020</t>
  </si>
  <si>
    <t>PackOrderPickUp_Test</t>
  </si>
  <si>
    <t>OrderPlacing_SP_Cash_UK</t>
  </si>
  <si>
    <t>Salt_Login][Select_Country][Copy_TC_to_TC][ Admin_orderSearch][Admin_AccessOrder][CancelStorePickupOrder][Salt_Logout</t>
  </si>
  <si>
    <t>Salt_Login][Select_Country][Copy_TC_to_TC][ Admin_orderSearch][Admin_AccessOrder][Admin_ChangePickupdate][Salt_Logout</t>
  </si>
  <si>
    <t>Salt_Login][Select_Country][Copy_TC_to_TC][ Admin_orderSearch][Admin_AccessOrder][Admin_CancelOrders][Salt_Logout</t>
  </si>
  <si>
    <t>Salt_Login][Select_Country][StoreDashboard_1][Copy_TC_to_TC][SearchCashOrderToPickUp][Salt_Logout</t>
  </si>
  <si>
    <t>PackOrderPickUp_MCP_Test</t>
  </si>
  <si>
    <t>Salt_login_fast][New_UI_Page1][SelectPaymentType][New_UI_Page2][HappyPath_PaymentPage_New][HappyPath_ConfirmPg][GetNewOrderNumber</t>
  </si>
  <si>
    <t>Salt_Login][Select_Country][StoreDashboard_1][Copy_TC_to_TC][SearchCashOrderTopack][Salt_Logout</t>
  </si>
  <si>
    <t>PackOrder_Test_MCP</t>
  </si>
  <si>
    <t>New_UI_Page1_POC</t>
  </si>
  <si>
    <t>New_UI_Page2_POC</t>
  </si>
  <si>
    <t>HappyPath_PaymentPage_New_POC</t>
  </si>
  <si>
    <t>HappyPath_LastPage_Full_POC</t>
  </si>
  <si>
    <t>HappyPath_ConfirmPg_POC</t>
  </si>
  <si>
    <t>FromDate][ToDate][isStatus</t>
  </si>
  <si>
    <t>isStatus][OrderNumber</t>
  </si>
  <si>
    <t>Salt_login_fast</t>
  </si>
  <si>
    <t>HomePage_URL</t>
  </si>
  <si>
    <t>HomePage_URL][Product_Type][EDT_Purchase_ForeignCurr][EDT_Purchase_LocalAmount][EDT_Purchase_ForeignAmount</t>
  </si>
  <si>
    <t>Product_Type][EDT_SALT_SearchStoreName][DeliveryType</t>
  </si>
  <si>
    <t>SelectPaymentType</t>
  </si>
  <si>
    <t>PaymentType][LST_HappyPath_Pay_Title][EDT_HappyPath_Pay_Fname][EDT_HappyPath_Pay_Lname][EDT_HappyPath_Pay_PhNo][EDT_HappyPath_Pay_PhoneNo][EDT_HappyPath_Pay_Email][EDT_HappyPath_Pay_ConfirmEmail][EDT_HappyPath_Pay_Street][EDT_HappyPath_Pay_Suburb][EDT_HappyPath_Pay_City][LST_HappyPath_Pay_State][EDT_HappyPath_Pay_BillingStreet][EDT_HappyPath_Pay_BillingSuburb][EDT_HappyPath_Pay_BillingCity][LST_HappyPath_Pay_BillingState][EDT_HappyPath_Pay_BillingPostCode][LST_HappyPath_Pay_FullAddress][EDT_HappyPath_Pay_PostCode][EDT_HappyPath_Pay_AddressFinder][EDT_HappyPath_Pay_AddPostCode][LST_HappyPath_Pay_CardType][EDT_HappyPath_Pay_CardNo][LST_HappyPath_Pay_CardMonth][LST_HappyPath_Pay_CardYear][EDT_HappyPath_Pay_CardSec][EDT_HappyPath_Pay_DOBDate][LST_HappyPath_Pay_DOBMonth][EDT_HappyPath_Pay_DOBYear][LBL_HappyPath_UseResAdd][LST_HappyPath_Pay{IDType}][LST_HappyPath_Pay{COI}][EDT_HappyPath_Pay_IDNum][EDT_HappyPath_Pay_ConIDNum][EDT_HappyPath_Pay_CardExpDate][LST_HappyPath_Pay_CardExpMon][EDT_HappyPath_Pay_CardExpYear][EDT_HappyPath_Pay_MMN</t>
  </si>
  <si>
    <t>LST_HappyPath_Pay_Title][EDT_HappyPath_Pay_Fname][EDT_HappyPath_Pay_Lname][EDT_HappyPath_Pay_PhoneNo][EDT_HappyPath_Pay_Email][EDT_HappyPath_Pay_AddressFinder][EDT_HappyPath_Pay_AddPostCode][LST_HappyPath_Pay_CardMonth][LST_HappyPath_Pay_CardYear][ConfirmPageCheck][Collection_Date</t>
  </si>
  <si>
    <t>GetNewOrderNumber</t>
  </si>
  <si>
    <t>SearchCashOrderTopack</t>
  </si>
  <si>
    <t>SearchCashOrderToPickUp</t>
  </si>
  <si>
    <t>Admin_CancelOrders</t>
  </si>
  <si>
    <t>CancelStorePickupOrder</t>
  </si>
  <si>
    <t>Product_Type</t>
  </si>
  <si>
    <t>EDT_Purchase_ForeignCurr</t>
  </si>
  <si>
    <t>EDT_Purchase_LocalAmount</t>
  </si>
  <si>
    <t>DeliveryType</t>
  </si>
  <si>
    <t>EDT_HappyPath_Pay_BillingStreet</t>
  </si>
  <si>
    <t>EDT_HappyPath_Pay_BillingSuburb</t>
  </si>
  <si>
    <t>EDT_HappyPath_Pay_BillingCity</t>
  </si>
  <si>
    <t>LST_HappyPath_Pay_BillingState</t>
  </si>
  <si>
    <t>EDT_HappyPath_Pay_BillingPostCode</t>
  </si>
  <si>
    <t>LST_HappyPath_Pay_FullAddress</t>
  </si>
  <si>
    <t>EDT_HappyPath_Pay_PostCode</t>
  </si>
  <si>
    <t>LBL_HappyPath_UseResAdd</t>
  </si>
  <si>
    <t>LST_HappyPath_Pay{IDType}</t>
  </si>
  <si>
    <t>LST_HappyPath_Pay{COI}</t>
  </si>
  <si>
    <t>ConfirmPageCheck</t>
  </si>
  <si>
    <r>
      <t>LST_HappyPath_Pay</t>
    </r>
    <r>
      <rPr>
        <b/>
        <sz val="10"/>
        <color theme="1"/>
        <rFont val="Calibri"/>
        <family val="2"/>
        <scheme val="minor"/>
      </rPr>
      <t>{IDType}</t>
    </r>
  </si>
  <si>
    <r>
      <t>LST_HappyPath_Pay</t>
    </r>
    <r>
      <rPr>
        <b/>
        <sz val="10"/>
        <color theme="1"/>
        <rFont val="Calibri"/>
        <family val="2"/>
        <scheme val="minor"/>
      </rPr>
      <t>{COI}</t>
    </r>
  </si>
  <si>
    <t>StoreDash_Reserv_001</t>
  </si>
  <si>
    <t>StoreDash_Reserv_002</t>
  </si>
  <si>
    <t>StoreDash_Reserv_003</t>
  </si>
  <si>
    <t>Salt_Login][Select_Country][StoreDashboard_1][ReservationSection][updateResrvationStatus][Salt_Logout</t>
  </si>
  <si>
    <t>US_ADM014</t>
  </si>
  <si>
    <t>Salt_Login][Select_Country][StoreDashboard_1][ReservationForPickUp][updateResrvationStatus][Salt_Logout</t>
  </si>
  <si>
    <t>updateResrvationStatus</t>
  </si>
  <si>
    <t>isStatus][OrderNumber][CheckUIStatus</t>
  </si>
  <si>
    <t>ReservationForPickUp</t>
  </si>
  <si>
    <t>CheckUIStatus</t>
  </si>
  <si>
    <t>ReservationSection</t>
  </si>
  <si>
    <t>CheckingReservationDetails</t>
  </si>
  <si>
    <t>saltsuperadmin1</t>
  </si>
  <si>
    <t>SANITY_EXEC</t>
  </si>
  <si>
    <t>Scheduled</t>
  </si>
  <si>
    <t>0:00:01:36</t>
  </si>
  <si>
    <t>0:00:01:42</t>
  </si>
  <si>
    <t>0:00:01:39</t>
  </si>
  <si>
    <t>0:00:01:54</t>
  </si>
  <si>
    <t>0:00:03:00</t>
  </si>
  <si>
    <t>0:00:03:09</t>
  </si>
  <si>
    <t>Pending Packing Store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</si>
</sst>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quot;£&quot;#,##0.00;[Red]\-&quot;£&quot;#,##0.00"/>
  </numFmts>
  <fonts count="23">
    <font>
      <sz val="11"/>
      <color theme="1"/>
      <name val="Calibri"/>
      <family val="2"/>
      <scheme val="minor"/>
    </font>
    <font>
      <sz val="11"/>
      <color theme="1"/>
      <name val="Calibri"/>
      <family val="2"/>
      <scheme val="minor"/>
    </font>
    <font>
      <sz val="10"/>
      <color theme="1"/>
      <name val="Arial"/>
      <family val="2"/>
    </font>
    <font>
      <b/>
      <sz val="10"/>
      <color theme="1"/>
      <name val="Calibri"/>
      <family val="2"/>
      <scheme val="minor"/>
    </font>
    <font>
      <sz val="10"/>
      <name val="Mic Shell Dlg"/>
      <charset val="1"/>
    </font>
    <font>
      <sz val="10"/>
      <name val="Arial"/>
      <family val="2"/>
    </font>
    <font>
      <b/>
      <sz val="10"/>
      <color theme="3"/>
      <name val="Calibri"/>
      <family val="2"/>
      <scheme val="minor"/>
    </font>
    <font>
      <b/>
      <sz val="10"/>
      <name val="Calibri"/>
      <family val="2"/>
      <scheme val="minor"/>
    </font>
    <font>
      <sz val="10"/>
      <color theme="1"/>
      <name val="Calibri"/>
      <family val="2"/>
      <scheme val="minor"/>
    </font>
    <font>
      <b/>
      <sz val="11"/>
      <color theme="1"/>
      <name val="Calibri"/>
      <family val="2"/>
      <scheme val="minor"/>
    </font>
    <font>
      <u/>
      <sz val="11"/>
      <color theme="10"/>
      <name val="Calibri"/>
      <family val="2"/>
      <scheme val="minor"/>
    </font>
    <font>
      <b/>
      <sz val="1"/>
      <color rgb="FFD9D9D9"/>
      <name val="Calibri"/>
      <family val="2"/>
      <scheme val="minor"/>
    </font>
    <font>
      <sz val="9"/>
      <color indexed="81"/>
      <name val="Tahoma"/>
      <family val="2"/>
    </font>
    <font>
      <b/>
      <sz val="9"/>
      <color indexed="81"/>
      <name val="Tahoma"/>
      <family val="2"/>
    </font>
    <font>
      <sz val="10"/>
      <color rgb="FFFF0000"/>
      <name val="Calibri"/>
      <family val="2"/>
      <scheme val="minor"/>
    </font>
    <font>
      <b/>
      <sz val="16"/>
      <color theme="0"/>
      <name val="Calibri"/>
      <family val="2"/>
      <scheme val="minor"/>
    </font>
    <font>
      <sz val="11"/>
      <name val="Calibri"/>
      <family val="2"/>
      <scheme val="minor"/>
    </font>
    <font>
      <sz val="11"/>
      <color rgb="FFFF0000"/>
      <name val="Calibri"/>
      <family val="2"/>
      <scheme val="minor"/>
    </font>
    <font>
      <sz val="10"/>
      <color theme="1"/>
      <name val="Tahoma"/>
      <family val="2"/>
    </font>
    <font>
      <sz val="10"/>
      <color theme="1"/>
      <name val="Verdana"/>
      <family val="2"/>
    </font>
    <font>
      <sz val="10"/>
      <name val="Calibri"/>
      <family val="2"/>
    </font>
    <font>
      <sz val="9"/>
      <name val="Bookman Old Style"/>
      <family val="1"/>
    </font>
    <font>
      <sz val="11"/>
      <name val="Calibri"/>
      <family val="2"/>
    </font>
  </fonts>
  <fills count="20">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0" tint="-0.14996795556505021"/>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2" tint="-0.49998474074526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s>
  <cellStyleXfs count="17">
    <xf numFmtId="0" fontId="0" fillId="0" borderId="0"/>
    <xf numFmtId="0" fontId="1" fillId="0" borderId="0"/>
    <xf numFmtId="0" fontId="2" fillId="0" borderId="0"/>
    <xf numFmtId="0" fontId="2" fillId="0" borderId="0"/>
    <xf numFmtId="0" fontId="4" fillId="0" borderId="0"/>
    <xf numFmtId="0" fontId="5" fillId="0" borderId="0"/>
    <xf numFmtId="0" fontId="1" fillId="0" borderId="0"/>
    <xf numFmtId="0" fontId="2" fillId="0" borderId="0"/>
    <xf numFmtId="0" fontId="2" fillId="0" borderId="0"/>
    <xf numFmtId="0" fontId="1" fillId="0" borderId="0"/>
    <xf numFmtId="0" fontId="2" fillId="0" borderId="0"/>
    <xf numFmtId="0" fontId="2" fillId="0" borderId="0"/>
    <xf numFmtId="0" fontId="2" fillId="0" borderId="0"/>
    <xf numFmtId="0" fontId="4" fillId="0" borderId="0"/>
    <xf numFmtId="0" fontId="5" fillId="0" borderId="0"/>
    <xf numFmtId="44" fontId="2" fillId="0" borderId="0" applyFont="0" applyFill="0" applyBorder="0" applyAlignment="0" applyProtection="0"/>
    <xf numFmtId="0" fontId="10" fillId="0" borderId="0" applyNumberFormat="0" applyFill="0" applyBorder="0" applyAlignment="0" applyProtection="0"/>
  </cellStyleXfs>
  <cellXfs count="274">
    <xf numFmtId="0" fontId="0" fillId="0" borderId="0" xfId="0"/>
    <xf numFmtId="0" fontId="0" fillId="0" borderId="1" xfId="0" applyBorder="1"/>
    <xf numFmtId="0" fontId="0" fillId="0" borderId="2" xfId="0" applyBorder="1"/>
    <xf numFmtId="0" fontId="0" fillId="0" borderId="0" xfId="0" applyBorder="1"/>
    <xf numFmtId="0" fontId="1" fillId="3" borderId="0" xfId="1" applyFill="1"/>
    <xf numFmtId="0" fontId="3" fillId="4" borderId="1" xfId="0" applyFont="1" applyFill="1" applyBorder="1" applyAlignment="1">
      <alignment horizontal="right"/>
    </xf>
    <xf numFmtId="0" fontId="8" fillId="0" borderId="1" xfId="0" quotePrefix="1" applyFont="1" applyFill="1" applyBorder="1"/>
    <xf numFmtId="0" fontId="0" fillId="0" borderId="1" xfId="0" quotePrefix="1" applyBorder="1"/>
    <xf numFmtId="14" fontId="0" fillId="0" borderId="1" xfId="0" applyNumberFormat="1" applyBorder="1"/>
    <xf numFmtId="0" fontId="9" fillId="0" borderId="1" xfId="0" applyFont="1" applyBorder="1"/>
    <xf numFmtId="0" fontId="0" fillId="0" borderId="1" xfId="0" applyBorder="1" applyAlignment="1">
      <alignment wrapText="1"/>
    </xf>
    <xf numFmtId="0" fontId="0" fillId="0" borderId="2" xfId="0" applyBorder="1" applyAlignment="1">
      <alignment wrapText="1"/>
    </xf>
    <xf numFmtId="0" fontId="0" fillId="7" borderId="0" xfId="0" applyFill="1"/>
    <xf numFmtId="0" fontId="0" fillId="0" borderId="0" xfId="0" quotePrefix="1" applyAlignment="1">
      <alignment wrapText="1"/>
    </xf>
    <xf numFmtId="0" fontId="0" fillId="8" borderId="0" xfId="0" applyFill="1"/>
    <xf numFmtId="0" fontId="0" fillId="0" borderId="2" xfId="0" quotePrefix="1" applyBorder="1" applyAlignment="1">
      <alignment wrapText="1"/>
    </xf>
    <xf numFmtId="0" fontId="0" fillId="0" borderId="0" xfId="0"/>
    <xf numFmtId="0" fontId="0" fillId="0" borderId="0" xfId="0" quotePrefix="1" applyFill="1"/>
    <xf numFmtId="0" fontId="0" fillId="0" borderId="0" xfId="0" applyFill="1"/>
    <xf numFmtId="0" fontId="3" fillId="4" borderId="4" xfId="0" applyFont="1" applyFill="1" applyBorder="1" applyAlignment="1">
      <alignment horizontal="right"/>
    </xf>
    <xf numFmtId="0" fontId="0" fillId="0" borderId="0" xfId="0" applyFill="1" applyAlignment="1">
      <alignment wrapText="1"/>
    </xf>
    <xf numFmtId="0" fontId="0" fillId="0" borderId="0" xfId="0" applyAlignment="1">
      <alignment horizontal="left" vertical="top" wrapText="1"/>
    </xf>
    <xf numFmtId="0" fontId="0" fillId="0" borderId="0" xfId="0" quotePrefix="1" applyAlignment="1">
      <alignment horizontal="left" vertical="top" wrapText="1"/>
    </xf>
    <xf numFmtId="0" fontId="10" fillId="0" borderId="0" xfId="16" applyAlignment="1">
      <alignment horizontal="left" vertical="top" wrapText="1" shrinkToFit="1"/>
    </xf>
    <xf numFmtId="0" fontId="0" fillId="0" borderId="1" xfId="0" applyFill="1" applyBorder="1"/>
    <xf numFmtId="0" fontId="0" fillId="0" borderId="5" xfId="0" applyFill="1" applyBorder="1"/>
    <xf numFmtId="0" fontId="0" fillId="0" borderId="0" xfId="0" applyBorder="1" applyAlignment="1">
      <alignment wrapText="1"/>
    </xf>
    <xf numFmtId="0" fontId="0" fillId="0" borderId="0" xfId="0" quotePrefix="1" applyBorder="1" applyAlignment="1">
      <alignment wrapText="1"/>
    </xf>
    <xf numFmtId="22" fontId="0" fillId="0" borderId="0" xfId="0" applyNumberFormat="1" applyAlignment="1">
      <alignment horizontal="left" vertical="top" wrapText="1"/>
    </xf>
    <xf numFmtId="0" fontId="0" fillId="0" borderId="0" xfId="0" quotePrefix="1" applyFill="1" applyAlignment="1">
      <alignment wrapText="1"/>
    </xf>
    <xf numFmtId="49" fontId="0" fillId="0" borderId="0" xfId="0" quotePrefix="1" applyNumberFormat="1" applyAlignment="1">
      <alignment horizontal="left" vertical="top" wrapText="1"/>
    </xf>
    <xf numFmtId="0" fontId="0" fillId="0" borderId="1" xfId="0" quotePrefix="1" applyFill="1" applyBorder="1"/>
    <xf numFmtId="0" fontId="14" fillId="0" borderId="1" xfId="0" quotePrefix="1" applyFont="1" applyFill="1" applyBorder="1" applyAlignment="1">
      <alignment wrapText="1"/>
    </xf>
    <xf numFmtId="0" fontId="0" fillId="0" borderId="0" xfId="0" quotePrefix="1" applyFill="1" applyBorder="1"/>
    <xf numFmtId="0" fontId="0" fillId="0" borderId="0" xfId="0" quotePrefix="1"/>
    <xf numFmtId="0" fontId="0" fillId="0" borderId="0" xfId="0" applyAlignment="1">
      <alignment vertical="top"/>
    </xf>
    <xf numFmtId="0" fontId="0" fillId="2" borderId="0" xfId="0" applyFill="1" applyAlignment="1">
      <alignment horizontal="left" vertical="top"/>
    </xf>
    <xf numFmtId="0" fontId="0" fillId="0" borderId="0" xfId="0" applyAlignment="1">
      <alignment horizontal="right" vertical="top" wrapText="1"/>
    </xf>
    <xf numFmtId="0" fontId="0" fillId="0" borderId="0" xfId="0" applyAlignment="1">
      <alignment vertical="top" wrapText="1"/>
    </xf>
    <xf numFmtId="0" fontId="0" fillId="0" borderId="0" xfId="0" applyAlignment="1">
      <alignment horizontal="left" vertical="top" wrapText="1" shrinkToFit="1"/>
    </xf>
    <xf numFmtId="0" fontId="0" fillId="0" borderId="0" xfId="0" quotePrefix="1" applyAlignment="1">
      <alignment vertical="top" wrapText="1"/>
    </xf>
    <xf numFmtId="14" fontId="0" fillId="0" borderId="0" xfId="0" quotePrefix="1" applyNumberFormat="1" applyAlignment="1">
      <alignment horizontal="left" vertical="top" wrapText="1"/>
    </xf>
    <xf numFmtId="0" fontId="10" fillId="0" borderId="0" xfId="16" quotePrefix="1" applyAlignment="1">
      <alignment horizontal="left" vertical="top" wrapText="1"/>
    </xf>
    <xf numFmtId="0" fontId="0" fillId="0" borderId="0" xfId="0" applyBorder="1" applyAlignment="1">
      <alignment vertical="top" wrapText="1" shrinkToFit="1"/>
    </xf>
    <xf numFmtId="0" fontId="0" fillId="0" borderId="0" xfId="0" applyFill="1" applyAlignment="1">
      <alignment vertical="top"/>
    </xf>
    <xf numFmtId="0" fontId="8" fillId="0" borderId="0" xfId="0" quotePrefix="1" applyFont="1" applyAlignment="1">
      <alignment vertical="top" wrapText="1"/>
    </xf>
    <xf numFmtId="0" fontId="0" fillId="0" borderId="0" xfId="0" quotePrefix="1" applyNumberFormat="1" applyAlignment="1">
      <alignment horizontal="left" vertical="top" wrapText="1"/>
    </xf>
    <xf numFmtId="4" fontId="0" fillId="0" borderId="0" xfId="0" applyNumberFormat="1" applyAlignment="1">
      <alignment horizontal="left" vertical="top" wrapText="1"/>
    </xf>
    <xf numFmtId="164" fontId="0" fillId="0" borderId="0" xfId="0" applyNumberFormat="1" applyAlignment="1">
      <alignment horizontal="left" vertical="top" wrapText="1"/>
    </xf>
    <xf numFmtId="0" fontId="0" fillId="0" borderId="0" xfId="0" applyBorder="1" applyAlignment="1">
      <alignment horizontal="left" vertical="top" wrapText="1" shrinkToFit="1"/>
    </xf>
    <xf numFmtId="0" fontId="10" fillId="0" borderId="0" xfId="16" quotePrefix="1" applyAlignment="1">
      <alignment horizontal="left" vertical="top" wrapText="1" shrinkToFit="1"/>
    </xf>
    <xf numFmtId="0" fontId="10" fillId="0" borderId="0" xfId="16" applyAlignment="1">
      <alignment horizontal="left" vertical="top" wrapText="1"/>
    </xf>
    <xf numFmtId="0" fontId="0" fillId="0" borderId="0" xfId="0" applyBorder="1" applyAlignment="1">
      <alignment horizontal="left" vertical="top" wrapText="1"/>
    </xf>
    <xf numFmtId="0" fontId="0" fillId="0" borderId="0" xfId="0" quotePrefix="1" applyBorder="1" applyAlignment="1">
      <alignment horizontal="left" vertical="top" wrapText="1"/>
    </xf>
    <xf numFmtId="0" fontId="0" fillId="0" borderId="0" xfId="0" applyBorder="1" applyAlignment="1">
      <alignment horizontal="right" vertical="top" wrapText="1" shrinkToFit="1"/>
    </xf>
    <xf numFmtId="0" fontId="8" fillId="0" borderId="1" xfId="0" quotePrefix="1" applyFont="1" applyFill="1" applyBorder="1" applyAlignment="1">
      <alignment vertical="top"/>
    </xf>
    <xf numFmtId="0" fontId="0" fillId="9" borderId="0" xfId="0" applyFill="1" applyAlignment="1">
      <alignment horizontal="left" vertical="top"/>
    </xf>
    <xf numFmtId="0" fontId="15" fillId="10" borderId="0" xfId="0" applyFont="1" applyFill="1" applyAlignment="1">
      <alignment horizontal="right" vertical="top" wrapText="1"/>
    </xf>
    <xf numFmtId="0" fontId="15" fillId="10" borderId="0" xfId="0" applyFont="1" applyFill="1" applyBorder="1" applyAlignment="1">
      <alignment horizontal="left" vertical="top" wrapText="1" shrinkToFit="1"/>
    </xf>
    <xf numFmtId="0" fontId="0" fillId="0" borderId="0" xfId="0" quotePrefix="1" applyFill="1" applyBorder="1" applyAlignment="1">
      <alignment vertical="top" wrapText="1"/>
    </xf>
    <xf numFmtId="0" fontId="0" fillId="0" borderId="0" xfId="0" applyAlignment="1">
      <alignment horizontal="left" vertical="top"/>
    </xf>
    <xf numFmtId="0" fontId="0" fillId="0" borderId="0" xfId="0" applyAlignment="1">
      <alignment horizontal="left" vertical="top" shrinkToFit="1"/>
    </xf>
    <xf numFmtId="0" fontId="0" fillId="0" borderId="0" xfId="0" applyAlignment="1">
      <alignment horizontal="right" vertical="top"/>
    </xf>
    <xf numFmtId="0" fontId="6" fillId="5" borderId="1" xfId="0" applyFont="1" applyFill="1" applyBorder="1" applyAlignment="1">
      <alignment horizontal="right" vertical="top"/>
    </xf>
    <xf numFmtId="0" fontId="6" fillId="5" borderId="1" xfId="0" applyFont="1" applyFill="1" applyBorder="1" applyAlignment="1">
      <alignment horizontal="right" vertical="top" wrapText="1"/>
    </xf>
    <xf numFmtId="0" fontId="6" fillId="5" borderId="1" xfId="0" applyFont="1" applyFill="1" applyBorder="1" applyAlignment="1">
      <alignment horizontal="right" vertical="top" shrinkToFit="1"/>
    </xf>
    <xf numFmtId="0" fontId="3" fillId="4" borderId="3" xfId="0" applyFont="1" applyFill="1" applyBorder="1" applyAlignment="1">
      <alignment horizontal="right" vertical="top"/>
    </xf>
    <xf numFmtId="0" fontId="3" fillId="4" borderId="2" xfId="0" applyFont="1" applyFill="1" applyBorder="1" applyAlignment="1">
      <alignment horizontal="right" vertical="top"/>
    </xf>
    <xf numFmtId="0" fontId="11" fillId="4" borderId="2" xfId="0" applyFont="1" applyFill="1" applyBorder="1" applyAlignment="1">
      <alignment horizontal="right" vertical="top"/>
    </xf>
    <xf numFmtId="0" fontId="3" fillId="4" borderId="1" xfId="0" applyFont="1" applyFill="1" applyBorder="1" applyAlignment="1">
      <alignment horizontal="right" vertical="top"/>
    </xf>
    <xf numFmtId="0" fontId="0" fillId="0" borderId="0" xfId="0" applyFill="1" applyBorder="1" applyAlignment="1">
      <alignment horizontal="right" vertical="top" wrapText="1" shrinkToFit="1"/>
    </xf>
    <xf numFmtId="0" fontId="0" fillId="0" borderId="0" xfId="0" applyFill="1" applyBorder="1" applyAlignment="1">
      <alignment vertical="top" wrapText="1" shrinkToFit="1"/>
    </xf>
    <xf numFmtId="0" fontId="0" fillId="0" borderId="0" xfId="0" applyFill="1" applyAlignment="1">
      <alignment horizontal="left" vertical="top" wrapText="1"/>
    </xf>
    <xf numFmtId="0" fontId="0" fillId="0" borderId="0" xfId="0" quotePrefix="1" applyFill="1" applyAlignment="1">
      <alignment horizontal="left" vertical="top" wrapText="1"/>
    </xf>
    <xf numFmtId="0" fontId="2" fillId="0" borderId="0" xfId="0" applyFont="1" applyFill="1" applyAlignment="1">
      <alignment vertical="top"/>
    </xf>
    <xf numFmtId="22" fontId="0" fillId="0" borderId="0" xfId="0" applyNumberFormat="1" applyFill="1" applyAlignment="1">
      <alignment horizontal="left" vertical="top" wrapText="1"/>
    </xf>
    <xf numFmtId="0" fontId="0" fillId="0" borderId="0" xfId="0" quotePrefix="1" applyFill="1" applyAlignment="1">
      <alignment horizontal="left" vertical="top"/>
    </xf>
    <xf numFmtId="0" fontId="0" fillId="0" borderId="0" xfId="0" quotePrefix="1" applyAlignment="1">
      <alignment horizontal="left" vertical="top"/>
    </xf>
    <xf numFmtId="15" fontId="0" fillId="0" borderId="0" xfId="0" quotePrefix="1" applyNumberFormat="1" applyAlignment="1">
      <alignment horizontal="left" vertical="top" wrapText="1"/>
    </xf>
    <xf numFmtId="0" fontId="0" fillId="7" borderId="0" xfId="0" applyFill="1" applyAlignment="1">
      <alignment vertical="top"/>
    </xf>
    <xf numFmtId="14" fontId="0" fillId="0" borderId="0" xfId="0" applyNumberFormat="1" applyAlignment="1">
      <alignment horizontal="left" vertical="top" wrapText="1"/>
    </xf>
    <xf numFmtId="0" fontId="14" fillId="0" borderId="1" xfId="0" quotePrefix="1" applyFont="1" applyFill="1" applyBorder="1" applyAlignment="1">
      <alignment vertical="top" wrapText="1"/>
    </xf>
    <xf numFmtId="0" fontId="0" fillId="0" borderId="1" xfId="0" applyFill="1" applyBorder="1" applyAlignment="1">
      <alignment vertical="top"/>
    </xf>
    <xf numFmtId="0" fontId="0" fillId="0" borderId="0" xfId="0" applyAlignment="1">
      <alignment horizontal="left" wrapText="1"/>
    </xf>
    <xf numFmtId="0" fontId="0" fillId="0" borderId="0" xfId="0" quotePrefix="1" applyAlignment="1">
      <alignment horizontal="left" wrapText="1"/>
    </xf>
    <xf numFmtId="14" fontId="0" fillId="0" borderId="0" xfId="0" quotePrefix="1" applyNumberFormat="1" applyAlignment="1">
      <alignment horizontal="left" wrapText="1"/>
    </xf>
    <xf numFmtId="0" fontId="0" fillId="12" borderId="0" xfId="0" quotePrefix="1" applyFill="1" applyAlignment="1">
      <alignment wrapText="1"/>
    </xf>
    <xf numFmtId="0" fontId="0" fillId="12" borderId="0" xfId="0" quotePrefix="1" applyFill="1"/>
    <xf numFmtId="0" fontId="0" fillId="12" borderId="0" xfId="0" applyFill="1" applyAlignment="1">
      <alignment wrapText="1"/>
    </xf>
    <xf numFmtId="0" fontId="0" fillId="12" borderId="1" xfId="0" quotePrefix="1" applyFill="1" applyBorder="1"/>
    <xf numFmtId="0" fontId="0" fillId="12" borderId="0" xfId="0" applyFill="1"/>
    <xf numFmtId="0" fontId="3" fillId="4" borderId="2" xfId="0" applyFont="1" applyFill="1" applyBorder="1" applyAlignment="1">
      <alignment horizontal="right" vertical="top" wrapText="1"/>
    </xf>
    <xf numFmtId="0" fontId="8" fillId="3" borderId="1" xfId="0" quotePrefix="1" applyFont="1" applyFill="1" applyBorder="1"/>
    <xf numFmtId="0" fontId="0" fillId="0" borderId="0" xfId="0" applyFill="1" applyBorder="1"/>
    <xf numFmtId="0" fontId="0" fillId="0" borderId="0" xfId="0" applyFill="1" applyBorder="1" applyAlignment="1">
      <alignment vertical="top"/>
    </xf>
    <xf numFmtId="0" fontId="0" fillId="0" borderId="0" xfId="0" quotePrefix="1" applyFill="1" applyBorder="1" applyAlignment="1">
      <alignment vertical="top"/>
    </xf>
    <xf numFmtId="0" fontId="0" fillId="0" borderId="0" xfId="0" quotePrefix="1" applyFill="1" applyAlignment="1">
      <alignment vertical="top" wrapText="1"/>
    </xf>
    <xf numFmtId="0" fontId="0" fillId="0" borderId="0" xfId="0" quotePrefix="1" applyFill="1" applyAlignment="1">
      <alignment vertical="top"/>
    </xf>
    <xf numFmtId="0" fontId="0" fillId="0" borderId="0" xfId="0" applyFill="1" applyAlignment="1">
      <alignment vertical="top" wrapText="1"/>
    </xf>
    <xf numFmtId="4" fontId="0" fillId="0" borderId="0" xfId="0" applyNumberFormat="1" applyAlignment="1">
      <alignment horizontal="left" wrapText="1"/>
    </xf>
    <xf numFmtId="0" fontId="0" fillId="13" borderId="0" xfId="0" applyFill="1" applyAlignment="1">
      <alignment wrapText="1"/>
    </xf>
    <xf numFmtId="0" fontId="0" fillId="0" borderId="0" xfId="0" applyBorder="1" applyAlignment="1">
      <alignment vertical="top"/>
    </xf>
    <xf numFmtId="0" fontId="0" fillId="0" borderId="0" xfId="0" applyAlignment="1">
      <alignment horizontal="center" vertical="top" wrapText="1"/>
    </xf>
    <xf numFmtId="0" fontId="0" fillId="7" borderId="0" xfId="0" applyFill="1" applyAlignment="1">
      <alignment horizontal="center"/>
    </xf>
    <xf numFmtId="0" fontId="0" fillId="0" borderId="0" xfId="0" applyAlignment="1">
      <alignment horizontal="left" vertical="top" wrapText="1"/>
    </xf>
    <xf numFmtId="0" fontId="0" fillId="7" borderId="0" xfId="0" applyFill="1" applyAlignment="1">
      <alignment vertical="top"/>
    </xf>
    <xf numFmtId="0" fontId="0" fillId="0" borderId="0" xfId="0"/>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applyAlignment="1">
      <alignment horizontal="left" vertical="top" wrapText="1"/>
    </xf>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quotePrefix="1" applyNumberFormat="1" applyAlignment="1">
      <alignment horizontal="left" vertical="top" wrapText="1"/>
    </xf>
    <xf numFmtId="0" fontId="0" fillId="0" borderId="0" xfId="0" applyAlignment="1">
      <alignment horizontal="left" wrapText="1"/>
    </xf>
    <xf numFmtId="0" fontId="0" fillId="0" borderId="0" xfId="0" quotePrefix="1" applyAlignment="1">
      <alignment horizontal="left" wrapText="1"/>
    </xf>
    <xf numFmtId="14" fontId="0" fillId="0" borderId="0" xfId="0" quotePrefix="1" applyNumberFormat="1" applyAlignment="1">
      <alignment horizontal="left" wrapText="1"/>
    </xf>
    <xf numFmtId="0" fontId="0" fillId="0" borderId="0" xfId="0" quotePrefix="1" applyNumberFormat="1" applyAlignment="1">
      <alignment horizontal="left" wrapText="1"/>
    </xf>
    <xf numFmtId="0" fontId="0" fillId="2" borderId="0" xfId="0" applyFill="1" applyAlignment="1">
      <alignment horizontal="left"/>
    </xf>
    <xf numFmtId="0" fontId="10" fillId="0" borderId="0" xfId="16" applyAlignment="1">
      <alignment horizontal="left" wrapText="1" shrinkToFit="1"/>
    </xf>
    <xf numFmtId="0" fontId="8" fillId="0" borderId="0" xfId="0" quotePrefix="1" applyFont="1" applyAlignment="1">
      <alignment wrapText="1"/>
    </xf>
    <xf numFmtId="22" fontId="0" fillId="0" borderId="0" xfId="0" applyNumberFormat="1" applyAlignment="1">
      <alignment horizontal="left" wrapText="1"/>
    </xf>
    <xf numFmtId="0" fontId="0" fillId="13" borderId="0" xfId="0" applyFill="1" applyAlignment="1">
      <alignment horizontal="left" wrapText="1"/>
    </xf>
    <xf numFmtId="0" fontId="0" fillId="0" borderId="6" xfId="0" applyFill="1" applyBorder="1" applyAlignment="1">
      <alignment horizontal="center" vertical="center"/>
    </xf>
    <xf numFmtId="0" fontId="8" fillId="14" borderId="1" xfId="0" quotePrefix="1" applyFont="1" applyFill="1" applyBorder="1" applyAlignment="1">
      <alignment vertical="top"/>
    </xf>
    <xf numFmtId="0" fontId="0" fillId="14" borderId="6" xfId="0" applyFill="1" applyBorder="1" applyAlignment="1">
      <alignment horizontal="center" vertical="center"/>
    </xf>
    <xf numFmtId="0" fontId="8" fillId="0" borderId="1" xfId="0" quotePrefix="1" applyFont="1" applyFill="1" applyBorder="1" applyAlignment="1">
      <alignment vertical="top" wrapText="1"/>
    </xf>
    <xf numFmtId="0" fontId="0" fillId="0" borderId="0" xfId="0" applyFill="1" applyAlignment="1">
      <alignment horizontal="left" vertical="top" wrapText="1"/>
    </xf>
    <xf numFmtId="0" fontId="0" fillId="0" borderId="0" xfId="0" quotePrefix="1" applyFill="1" applyAlignment="1">
      <alignment horizontal="left" vertical="top"/>
    </xf>
    <xf numFmtId="0" fontId="0" fillId="12" borderId="0" xfId="0" applyFill="1" applyAlignment="1">
      <alignment horizontal="left" wrapText="1"/>
    </xf>
    <xf numFmtId="0" fontId="0" fillId="12" borderId="0" xfId="0" quotePrefix="1" applyFill="1" applyAlignment="1">
      <alignment horizontal="left" wrapText="1"/>
    </xf>
    <xf numFmtId="0" fontId="10" fillId="12" borderId="0" xfId="16" applyFill="1" applyAlignment="1">
      <alignment horizontal="left" wrapText="1" shrinkToFit="1"/>
    </xf>
    <xf numFmtId="14" fontId="0" fillId="12" borderId="0" xfId="0" quotePrefix="1" applyNumberFormat="1" applyFill="1" applyAlignment="1">
      <alignment horizontal="left" wrapText="1"/>
    </xf>
    <xf numFmtId="4" fontId="0" fillId="12" borderId="0" xfId="0" applyNumberFormat="1" applyFill="1" applyAlignment="1">
      <alignment horizontal="left" wrapText="1"/>
    </xf>
    <xf numFmtId="0" fontId="0" fillId="12" borderId="0" xfId="0" quotePrefix="1" applyNumberFormat="1" applyFill="1" applyAlignment="1">
      <alignment horizontal="left" wrapText="1"/>
    </xf>
    <xf numFmtId="0" fontId="0" fillId="13" borderId="0" xfId="0" quotePrefix="1" applyFill="1" applyAlignment="1">
      <alignment horizontal="left" wrapText="1"/>
    </xf>
    <xf numFmtId="0" fontId="10" fillId="13" borderId="0" xfId="16" applyFill="1" applyAlignment="1">
      <alignment horizontal="left" wrapText="1" shrinkToFit="1"/>
    </xf>
    <xf numFmtId="0" fontId="0" fillId="13" borderId="0" xfId="0" applyFill="1"/>
    <xf numFmtId="14" fontId="0" fillId="13" borderId="0" xfId="0" quotePrefix="1" applyNumberFormat="1" applyFill="1" applyAlignment="1">
      <alignment horizontal="left" wrapText="1"/>
    </xf>
    <xf numFmtId="164" fontId="0" fillId="13" borderId="0" xfId="0" applyNumberFormat="1" applyFill="1" applyAlignment="1">
      <alignment horizontal="left" wrapText="1"/>
    </xf>
    <xf numFmtId="4" fontId="0" fillId="13" borderId="0" xfId="0" applyNumberFormat="1" applyFill="1" applyAlignment="1">
      <alignment horizontal="left" wrapText="1"/>
    </xf>
    <xf numFmtId="0" fontId="0" fillId="13" borderId="0" xfId="0" quotePrefix="1" applyNumberFormat="1" applyFill="1" applyAlignment="1">
      <alignment horizontal="left" wrapText="1"/>
    </xf>
    <xf numFmtId="0" fontId="8" fillId="12" borderId="0" xfId="0" quotePrefix="1" applyFont="1" applyFill="1" applyAlignment="1">
      <alignment wrapText="1"/>
    </xf>
    <xf numFmtId="22" fontId="0" fillId="12" borderId="0" xfId="0" applyNumberFormat="1" applyFill="1" applyAlignment="1">
      <alignment horizontal="left" wrapText="1"/>
    </xf>
    <xf numFmtId="0" fontId="0" fillId="13" borderId="0" xfId="0" quotePrefix="1" applyFill="1" applyAlignment="1">
      <alignment wrapText="1"/>
    </xf>
    <xf numFmtId="0" fontId="0" fillId="0" borderId="1" xfId="0" applyFill="1" applyBorder="1" applyAlignment="1">
      <alignment wrapText="1"/>
    </xf>
    <xf numFmtId="0" fontId="0" fillId="0" borderId="1" xfId="0" applyFill="1" applyBorder="1" applyAlignment="1">
      <alignment horizontal="center" vertical="center"/>
    </xf>
    <xf numFmtId="0" fontId="0" fillId="0" borderId="1" xfId="0" applyFill="1" applyBorder="1" applyAlignment="1">
      <alignment horizontal="center" vertical="top"/>
    </xf>
    <xf numFmtId="0" fontId="0" fillId="0" borderId="0" xfId="0" quotePrefix="1" applyAlignment="1">
      <alignment vertical="top"/>
    </xf>
    <xf numFmtId="0" fontId="0" fillId="7" borderId="1" xfId="0" applyFill="1" applyBorder="1"/>
    <xf numFmtId="0" fontId="3" fillId="6" borderId="11" xfId="0" applyFont="1" applyFill="1" applyBorder="1" applyAlignment="1">
      <alignment horizontal="center" vertical="center"/>
    </xf>
    <xf numFmtId="0" fontId="3" fillId="6" borderId="12" xfId="0" applyFont="1" applyFill="1" applyBorder="1" applyAlignment="1">
      <alignment horizontal="center" vertical="center"/>
    </xf>
    <xf numFmtId="49" fontId="3" fillId="6" borderId="12" xfId="0" applyNumberFormat="1" applyFont="1" applyFill="1" applyBorder="1" applyAlignment="1">
      <alignment horizontal="center" vertical="center"/>
    </xf>
    <xf numFmtId="0" fontId="3" fillId="6" borderId="12" xfId="0" applyFont="1" applyFill="1" applyBorder="1" applyAlignment="1">
      <alignment horizontal="center" vertical="center" wrapText="1"/>
    </xf>
    <xf numFmtId="0" fontId="3" fillId="6" borderId="13" xfId="0" applyFont="1" applyFill="1" applyBorder="1" applyAlignment="1">
      <alignment horizontal="center" vertical="center"/>
    </xf>
    <xf numFmtId="0" fontId="0" fillId="7" borderId="7" xfId="0" applyFill="1" applyBorder="1"/>
    <xf numFmtId="0" fontId="0" fillId="7" borderId="8" xfId="0" applyFill="1" applyBorder="1"/>
    <xf numFmtId="0" fontId="10" fillId="7" borderId="8" xfId="16" applyFill="1" applyBorder="1"/>
    <xf numFmtId="0" fontId="0" fillId="7" borderId="9" xfId="0" applyFill="1" applyBorder="1"/>
    <xf numFmtId="0" fontId="0" fillId="7" borderId="10" xfId="0" applyFill="1" applyBorder="1"/>
    <xf numFmtId="0" fontId="0" fillId="7" borderId="6" xfId="0" applyFill="1" applyBorder="1"/>
    <xf numFmtId="0" fontId="11" fillId="4" borderId="2" xfId="0" quotePrefix="1" applyFont="1" applyFill="1" applyBorder="1" applyAlignment="1">
      <alignment horizontal="right" vertical="top"/>
    </xf>
    <xf numFmtId="0" fontId="0" fillId="15" borderId="0" xfId="0" applyFill="1" applyAlignment="1">
      <alignment wrapText="1"/>
    </xf>
    <xf numFmtId="0" fontId="0" fillId="15" borderId="0" xfId="0" quotePrefix="1" applyFill="1" applyBorder="1" applyAlignment="1">
      <alignment vertical="top"/>
    </xf>
    <xf numFmtId="0" fontId="8" fillId="0" borderId="1" xfId="0" quotePrefix="1" applyFont="1" applyFill="1" applyBorder="1" applyAlignment="1">
      <alignment horizontal="center" vertical="center"/>
    </xf>
    <xf numFmtId="0" fontId="0" fillId="0" borderId="0" xfId="0" applyFill="1" applyAlignment="1">
      <alignment horizontal="center" vertical="center"/>
    </xf>
    <xf numFmtId="0" fontId="3" fillId="4" borderId="2" xfId="0" quotePrefix="1" applyFont="1" applyFill="1" applyBorder="1" applyAlignment="1">
      <alignment horizontal="right" vertical="top"/>
    </xf>
    <xf numFmtId="49" fontId="0" fillId="0" borderId="0" xfId="0" quotePrefix="1" applyNumberFormat="1" applyAlignment="1">
      <alignment vertical="center" wrapText="1"/>
    </xf>
    <xf numFmtId="49" fontId="0" fillId="0" borderId="0" xfId="0" quotePrefix="1" applyNumberFormat="1" applyAlignment="1">
      <alignment vertical="top" wrapText="1"/>
    </xf>
    <xf numFmtId="0" fontId="14" fillId="0" borderId="6" xfId="0" quotePrefix="1" applyFont="1" applyFill="1" applyBorder="1" applyAlignment="1">
      <alignment vertical="top" wrapText="1"/>
    </xf>
    <xf numFmtId="0" fontId="0" fillId="0" borderId="6" xfId="0" applyFill="1" applyBorder="1" applyAlignment="1">
      <alignment vertical="top"/>
    </xf>
    <xf numFmtId="0" fontId="0" fillId="15" borderId="0" xfId="0" applyFill="1" applyAlignment="1">
      <alignment horizontal="left" wrapText="1"/>
    </xf>
    <xf numFmtId="0" fontId="0" fillId="14" borderId="0" xfId="0" quotePrefix="1" applyFill="1" applyAlignment="1">
      <alignment horizontal="left" wrapText="1"/>
    </xf>
    <xf numFmtId="4" fontId="0" fillId="14" borderId="0" xfId="0" applyNumberFormat="1" applyFill="1" applyAlignment="1">
      <alignment horizontal="left" wrapText="1"/>
    </xf>
    <xf numFmtId="0" fontId="0" fillId="16" borderId="0" xfId="0" applyFill="1" applyAlignment="1">
      <alignment horizontal="left" wrapText="1"/>
    </xf>
    <xf numFmtId="0" fontId="0" fillId="16" borderId="0" xfId="0" quotePrefix="1" applyFill="1" applyAlignment="1">
      <alignment horizontal="left" wrapText="1"/>
    </xf>
    <xf numFmtId="0" fontId="10" fillId="16" borderId="0" xfId="16" applyFill="1" applyAlignment="1">
      <alignment horizontal="left" wrapText="1" shrinkToFit="1"/>
    </xf>
    <xf numFmtId="14" fontId="0" fillId="16" borderId="0" xfId="0" quotePrefix="1" applyNumberFormat="1" applyFill="1" applyAlignment="1">
      <alignment horizontal="left" wrapText="1"/>
    </xf>
    <xf numFmtId="4" fontId="0" fillId="16" borderId="0" xfId="0" applyNumberFormat="1" applyFill="1" applyAlignment="1">
      <alignment horizontal="left" wrapText="1"/>
    </xf>
    <xf numFmtId="4" fontId="0" fillId="0" borderId="0" xfId="0" quotePrefix="1" applyNumberFormat="1" applyAlignment="1">
      <alignment horizontal="left" vertical="top" wrapText="1"/>
    </xf>
    <xf numFmtId="0" fontId="11" fillId="4" borderId="3" xfId="0" applyFont="1" applyFill="1" applyBorder="1" applyAlignment="1">
      <alignment horizontal="right" vertical="top"/>
    </xf>
    <xf numFmtId="0" fontId="11" fillId="4" borderId="1" xfId="0" applyFont="1" applyFill="1" applyBorder="1" applyAlignment="1">
      <alignment horizontal="right" vertical="top"/>
    </xf>
    <xf numFmtId="0" fontId="3" fillId="4" borderId="4" xfId="0" applyFont="1" applyFill="1" applyBorder="1" applyAlignment="1">
      <alignment horizontal="right" vertical="top"/>
    </xf>
    <xf numFmtId="49" fontId="0" fillId="0" borderId="0" xfId="0" applyNumberFormat="1" applyAlignment="1">
      <alignment horizontal="left" vertical="top"/>
    </xf>
    <xf numFmtId="49" fontId="0" fillId="0" borderId="0" xfId="0" applyNumberFormat="1" applyAlignment="1">
      <alignment horizontal="left" vertical="top" wrapText="1"/>
    </xf>
    <xf numFmtId="49" fontId="3" fillId="4" borderId="2" xfId="0" applyNumberFormat="1" applyFont="1" applyFill="1" applyBorder="1" applyAlignment="1">
      <alignment horizontal="right" vertical="top"/>
    </xf>
    <xf numFmtId="0" fontId="0" fillId="0" borderId="0" xfId="0" applyFill="1" applyAlignment="1">
      <alignment horizontal="left" wrapText="1"/>
    </xf>
    <xf numFmtId="0" fontId="0" fillId="0" borderId="0" xfId="0" applyFill="1" applyBorder="1" applyAlignment="1">
      <alignment wrapText="1" shrinkToFit="1"/>
    </xf>
    <xf numFmtId="0" fontId="0" fillId="0" borderId="0" xfId="0" applyFill="1" applyAlignment="1">
      <alignment horizontal="right" wrapText="1"/>
    </xf>
    <xf numFmtId="0" fontId="10" fillId="0" borderId="0" xfId="0" applyFont="1" applyAlignment="1">
      <alignment horizontal="left" vertical="top" wrapText="1" shrinkToFit="1"/>
    </xf>
    <xf numFmtId="0" fontId="8" fillId="0" borderId="6" xfId="0" quotePrefix="1" applyFont="1" applyFill="1" applyBorder="1" applyAlignment="1">
      <alignment vertical="top"/>
    </xf>
    <xf numFmtId="0" fontId="8" fillId="0" borderId="10" xfId="0" quotePrefix="1" applyFont="1" applyFill="1" applyBorder="1" applyAlignment="1">
      <alignment horizontal="center" vertical="center"/>
    </xf>
    <xf numFmtId="0" fontId="7" fillId="11" borderId="16" xfId="0" applyFont="1" applyFill="1" applyBorder="1" applyAlignment="1">
      <alignment horizontal="center" vertical="center" wrapText="1"/>
    </xf>
    <xf numFmtId="0" fontId="7" fillId="11" borderId="17" xfId="0" applyFont="1" applyFill="1" applyBorder="1" applyAlignment="1">
      <alignment horizontal="center" vertical="center"/>
    </xf>
    <xf numFmtId="0" fontId="7" fillId="11" borderId="17" xfId="0" applyFont="1" applyFill="1" applyBorder="1" applyAlignment="1">
      <alignment horizontal="center" vertical="center" wrapText="1"/>
    </xf>
    <xf numFmtId="0" fontId="14" fillId="11" borderId="18" xfId="0" quotePrefix="1" applyFont="1" applyFill="1" applyBorder="1" applyAlignment="1">
      <alignment wrapText="1"/>
    </xf>
    <xf numFmtId="0" fontId="8" fillId="0" borderId="7" xfId="0" quotePrefix="1" applyFont="1" applyFill="1" applyBorder="1" applyAlignment="1">
      <alignment horizontal="center" vertical="center"/>
    </xf>
    <xf numFmtId="0" fontId="8" fillId="0" borderId="8" xfId="0" quotePrefix="1" applyFont="1" applyFill="1" applyBorder="1" applyAlignment="1">
      <alignment vertical="top"/>
    </xf>
    <xf numFmtId="0" fontId="14" fillId="0" borderId="9" xfId="0" quotePrefix="1" applyFont="1" applyFill="1" applyBorder="1" applyAlignment="1">
      <alignment vertical="top" wrapText="1"/>
    </xf>
    <xf numFmtId="0" fontId="0" fillId="15" borderId="0" xfId="0" applyFill="1" applyAlignment="1">
      <alignment horizontal="right" wrapText="1"/>
    </xf>
    <xf numFmtId="0" fontId="0" fillId="15" borderId="0" xfId="0" applyFill="1" applyBorder="1" applyAlignment="1">
      <alignment wrapText="1" shrinkToFit="1"/>
    </xf>
    <xf numFmtId="0" fontId="8" fillId="13" borderId="10" xfId="0" quotePrefix="1" applyFont="1" applyFill="1" applyBorder="1" applyAlignment="1">
      <alignment horizontal="center" vertical="center"/>
    </xf>
    <xf numFmtId="0" fontId="9" fillId="13" borderId="1" xfId="0" applyFont="1" applyFill="1" applyBorder="1" applyAlignment="1">
      <alignment vertical="top"/>
    </xf>
    <xf numFmtId="0" fontId="0" fillId="13" borderId="1" xfId="0" applyFill="1" applyBorder="1" applyAlignment="1">
      <alignment vertical="top"/>
    </xf>
    <xf numFmtId="0" fontId="0" fillId="13" borderId="6" xfId="0" applyFill="1" applyBorder="1" applyAlignment="1">
      <alignment vertical="top"/>
    </xf>
    <xf numFmtId="0" fontId="8" fillId="13" borderId="14" xfId="0" quotePrefix="1" applyFont="1" applyFill="1" applyBorder="1" applyAlignment="1">
      <alignment horizontal="center" vertical="center"/>
    </xf>
    <xf numFmtId="0" fontId="9" fillId="13" borderId="5" xfId="0" applyFont="1" applyFill="1" applyBorder="1" applyAlignment="1">
      <alignment vertical="top"/>
    </xf>
    <xf numFmtId="0" fontId="0" fillId="13" borderId="5" xfId="0" applyFill="1" applyBorder="1" applyAlignment="1">
      <alignment vertical="top"/>
    </xf>
    <xf numFmtId="0" fontId="0" fillId="13" borderId="15" xfId="0" applyFill="1" applyBorder="1" applyAlignment="1">
      <alignment vertical="top"/>
    </xf>
    <xf numFmtId="0" fontId="0" fillId="0" borderId="1" xfId="0" applyFont="1" applyFill="1" applyBorder="1" applyAlignment="1">
      <alignment vertical="top" wrapText="1"/>
    </xf>
    <xf numFmtId="0" fontId="0" fillId="0" borderId="1" xfId="0" quotePrefix="1" applyFont="1" applyFill="1" applyBorder="1" applyAlignment="1">
      <alignment vertical="top" wrapText="1"/>
    </xf>
    <xf numFmtId="0" fontId="9" fillId="0" borderId="0" xfId="0" applyFont="1" applyAlignment="1">
      <alignment horizontal="left" vertical="top" wrapText="1"/>
    </xf>
    <xf numFmtId="0" fontId="0" fillId="3" borderId="0" xfId="0" applyFill="1" applyAlignment="1">
      <alignment horizontal="right" wrapText="1"/>
    </xf>
    <xf numFmtId="0" fontId="0" fillId="3" borderId="0" xfId="0" applyFill="1" applyBorder="1" applyAlignment="1">
      <alignment wrapText="1" shrinkToFit="1"/>
    </xf>
    <xf numFmtId="0" fontId="0" fillId="3" borderId="0" xfId="0" applyFill="1" applyAlignment="1">
      <alignment horizontal="left" wrapText="1"/>
    </xf>
    <xf numFmtId="0" fontId="0" fillId="3" borderId="0" xfId="0" applyFill="1"/>
    <xf numFmtId="0" fontId="0" fillId="3" borderId="0" xfId="0" quotePrefix="1" applyFill="1" applyAlignment="1">
      <alignment horizontal="left" wrapText="1"/>
    </xf>
    <xf numFmtId="14" fontId="0" fillId="3" borderId="0" xfId="0" quotePrefix="1" applyNumberFormat="1" applyFill="1" applyAlignment="1">
      <alignment horizontal="left" wrapText="1"/>
    </xf>
    <xf numFmtId="164" fontId="0" fillId="3" borderId="0" xfId="0" applyNumberFormat="1" applyFill="1" applyAlignment="1">
      <alignment horizontal="left" wrapText="1"/>
    </xf>
    <xf numFmtId="4" fontId="0" fillId="3" borderId="0" xfId="0" applyNumberFormat="1" applyFill="1" applyAlignment="1">
      <alignment horizontal="left" wrapText="1"/>
    </xf>
    <xf numFmtId="0" fontId="0" fillId="3" borderId="0" xfId="0" applyFill="1" applyAlignment="1">
      <alignment horizontal="left" vertical="top" wrapText="1"/>
    </xf>
    <xf numFmtId="0" fontId="0" fillId="0" borderId="0" xfId="0" quotePrefix="1" applyBorder="1" applyAlignment="1">
      <alignment vertical="top"/>
    </xf>
    <xf numFmtId="0" fontId="10" fillId="0" borderId="0" xfId="16" applyFill="1" applyAlignment="1">
      <alignment horizontal="left" vertical="top" wrapText="1" shrinkToFit="1"/>
    </xf>
    <xf numFmtId="0" fontId="8" fillId="15" borderId="10" xfId="0" quotePrefix="1" applyFont="1" applyFill="1" applyBorder="1" applyAlignment="1">
      <alignment horizontal="center" vertical="center"/>
    </xf>
    <xf numFmtId="0" fontId="0" fillId="15" borderId="1" xfId="0" applyFill="1" applyBorder="1" applyAlignment="1">
      <alignment vertical="top"/>
    </xf>
    <xf numFmtId="0" fontId="0" fillId="15" borderId="0" xfId="0" applyFill="1" applyAlignment="1">
      <alignment horizontal="center" vertical="center"/>
    </xf>
    <xf numFmtId="0" fontId="0" fillId="15" borderId="1" xfId="0" applyFill="1" applyBorder="1" applyAlignment="1">
      <alignment horizontal="center" vertical="center"/>
    </xf>
    <xf numFmtId="0" fontId="0" fillId="15" borderId="6" xfId="0" applyFill="1" applyBorder="1" applyAlignment="1">
      <alignment vertical="top"/>
    </xf>
    <xf numFmtId="0" fontId="0" fillId="16" borderId="19" xfId="0" applyFill="1" applyBorder="1" applyAlignment="1">
      <alignment vertical="top"/>
    </xf>
    <xf numFmtId="0" fontId="10" fillId="0" borderId="0" xfId="16" quotePrefix="1" applyAlignment="1">
      <alignment horizontal="left" wrapText="1" shrinkToFit="1"/>
    </xf>
    <xf numFmtId="0" fontId="10" fillId="3" borderId="0" xfId="16" applyFill="1" applyAlignment="1">
      <alignment horizontal="left" wrapText="1" shrinkToFit="1"/>
    </xf>
    <xf numFmtId="0" fontId="10" fillId="0" borderId="0" xfId="16" quotePrefix="1" applyFill="1" applyAlignment="1">
      <alignment horizontal="left" vertical="top" wrapText="1" shrinkToFit="1"/>
    </xf>
    <xf numFmtId="0" fontId="0" fillId="13" borderId="0" xfId="0" quotePrefix="1" applyFill="1"/>
    <xf numFmtId="0" fontId="16" fillId="7" borderId="0" xfId="0" quotePrefix="1" applyFont="1" applyFill="1" applyAlignment="1">
      <alignment horizontal="center"/>
    </xf>
    <xf numFmtId="15" fontId="0" fillId="0" borderId="0" xfId="0" applyNumberFormat="1" applyAlignment="1">
      <alignment horizontal="left" vertical="top" wrapText="1"/>
    </xf>
    <xf numFmtId="0" fontId="17" fillId="17" borderId="0" xfId="0" applyFont="1" applyFill="1" applyAlignment="1">
      <alignment vertical="top"/>
    </xf>
    <xf numFmtId="0" fontId="0" fillId="7" borderId="1" xfId="0" applyFill="1" applyBorder="1" applyAlignment="1">
      <alignment horizontal="left" vertical="top"/>
    </xf>
    <xf numFmtId="0" fontId="0" fillId="0" borderId="0" xfId="0" applyFont="1" applyFill="1" applyAlignment="1">
      <alignment horizontal="left" vertical="center" wrapText="1"/>
    </xf>
    <xf numFmtId="0" fontId="0" fillId="0" borderId="0" xfId="0" quotePrefix="1" applyFont="1" applyFill="1" applyAlignment="1">
      <alignment horizontal="left" vertical="center" wrapText="1"/>
    </xf>
    <xf numFmtId="0" fontId="10" fillId="0" borderId="0" xfId="16"/>
    <xf numFmtId="0" fontId="17" fillId="0" borderId="0" xfId="0" quotePrefix="1" applyFont="1" applyFill="1" applyAlignment="1">
      <alignment wrapText="1"/>
    </xf>
    <xf numFmtId="0" fontId="17" fillId="0" borderId="0" xfId="0" applyFont="1" applyFill="1" applyAlignment="1">
      <alignment wrapText="1"/>
    </xf>
    <xf numFmtId="0" fontId="16" fillId="0" borderId="0" xfId="0" quotePrefix="1" applyFont="1" applyFill="1" applyAlignment="1">
      <alignment wrapText="1"/>
    </xf>
    <xf numFmtId="0" fontId="16" fillId="0" borderId="0" xfId="0" quotePrefix="1" applyFont="1" applyAlignment="1">
      <alignment vertical="top" wrapText="1"/>
    </xf>
    <xf numFmtId="0" fontId="18" fillId="0" borderId="0" xfId="0" quotePrefix="1" applyFont="1"/>
    <xf numFmtId="0" fontId="0" fillId="0" borderId="0" xfId="0" quotePrefix="1" applyAlignment="1">
      <alignment horizontal="right" vertical="top" wrapText="1"/>
    </xf>
    <xf numFmtId="0" fontId="2" fillId="0" borderId="0" xfId="0" applyFont="1"/>
    <xf numFmtId="0" fontId="19" fillId="0" borderId="0" xfId="0" applyFont="1"/>
    <xf numFmtId="0" fontId="20" fillId="0" borderId="1" xfId="0" applyFont="1" applyFill="1" applyBorder="1" applyAlignment="1">
      <alignment horizontal="left" vertical="top"/>
    </xf>
    <xf numFmtId="0" fontId="20" fillId="0" borderId="1" xfId="0" applyFont="1" applyFill="1" applyBorder="1" applyAlignment="1">
      <alignment vertical="top"/>
    </xf>
    <xf numFmtId="0" fontId="0" fillId="0" borderId="1" xfId="0" quotePrefix="1" applyFill="1" applyBorder="1" applyAlignment="1">
      <alignment vertical="center" wrapText="1"/>
    </xf>
    <xf numFmtId="0" fontId="16" fillId="0" borderId="0" xfId="0" quotePrefix="1" applyFont="1" applyFill="1" applyAlignment="1">
      <alignment horizontal="center"/>
    </xf>
    <xf numFmtId="0" fontId="21" fillId="0" borderId="0" xfId="0" quotePrefix="1" applyFont="1" applyFill="1" applyBorder="1" applyAlignment="1">
      <alignment horizontal="center"/>
    </xf>
    <xf numFmtId="0" fontId="16" fillId="7" borderId="0" xfId="0" quotePrefix="1" applyFont="1" applyFill="1" applyBorder="1" applyAlignment="1">
      <alignment horizontal="center"/>
    </xf>
    <xf numFmtId="0" fontId="0" fillId="0" borderId="0" xfId="0" quotePrefix="1" applyFill="1" applyAlignment="1"/>
    <xf numFmtId="0" fontId="0" fillId="18" borderId="0" xfId="0" applyFill="1" applyAlignment="1">
      <alignment vertical="top" wrapText="1"/>
    </xf>
    <xf numFmtId="0" fontId="0" fillId="0" borderId="0" xfId="0" quotePrefix="1" applyFill="1" applyAlignment="1">
      <alignment horizontal="left"/>
    </xf>
    <xf numFmtId="0" fontId="0" fillId="2" borderId="0" xfId="0" applyFill="1" applyAlignment="1">
      <alignment horizontal="right" vertical="top" wrapText="1"/>
    </xf>
    <xf numFmtId="0" fontId="0" fillId="2" borderId="0" xfId="0" applyFill="1" applyAlignment="1">
      <alignment vertical="top" wrapText="1"/>
    </xf>
    <xf numFmtId="0" fontId="0" fillId="2" borderId="0" xfId="0" applyFont="1" applyFill="1" applyAlignment="1">
      <alignment vertical="top"/>
    </xf>
    <xf numFmtId="0" fontId="0" fillId="2" borderId="0" xfId="0" applyFont="1" applyFill="1"/>
    <xf numFmtId="0" fontId="0" fillId="2" borderId="0" xfId="0" applyFont="1" applyFill="1" applyBorder="1" applyAlignment="1">
      <alignment vertical="top" wrapText="1"/>
    </xf>
    <xf numFmtId="0" fontId="0" fillId="2" borderId="0" xfId="0" applyFont="1" applyFill="1" applyBorder="1" applyAlignment="1">
      <alignment wrapText="1"/>
    </xf>
    <xf numFmtId="0" fontId="22" fillId="2" borderId="0" xfId="0" applyFont="1" applyFill="1" applyBorder="1" applyAlignment="1">
      <alignment horizontal="left" vertical="top"/>
    </xf>
    <xf numFmtId="0" fontId="0" fillId="15" borderId="0" xfId="0" applyFill="1" applyAlignment="1">
      <alignment horizontal="right" vertical="top" wrapText="1"/>
    </xf>
    <xf numFmtId="0" fontId="0" fillId="15" borderId="0" xfId="0" applyFill="1" applyAlignment="1">
      <alignment vertical="top"/>
    </xf>
    <xf numFmtId="0" fontId="9" fillId="0" borderId="1" xfId="0" applyFont="1" applyFill="1" applyBorder="1" applyAlignment="1">
      <alignment horizontal="center"/>
    </xf>
    <xf numFmtId="0" fontId="9" fillId="0" borderId="1" xfId="0" applyFont="1" applyFill="1" applyBorder="1" applyAlignment="1">
      <alignment horizontal="center" vertical="top"/>
    </xf>
    <xf numFmtId="0" fontId="9" fillId="19" borderId="1" xfId="0" applyFont="1" applyFill="1" applyBorder="1" applyAlignment="1">
      <alignment horizontal="center"/>
    </xf>
    <xf numFmtId="0" fontId="9" fillId="2" borderId="1" xfId="0" applyFont="1" applyFill="1" applyBorder="1" applyAlignment="1">
      <alignment horizontal="center" vertical="top"/>
    </xf>
    <xf numFmtId="0" fontId="0" fillId="0" borderId="1" xfId="0" quotePrefix="1" applyFill="1" applyBorder="1" applyAlignment="1">
      <alignment horizontal="center" vertical="center" wrapText="1"/>
    </xf>
    <xf numFmtId="0" fontId="0" fillId="2" borderId="0" xfId="0" applyFill="1" applyAlignment="1">
      <alignment vertical="top"/>
    </xf>
  </cellXfs>
  <cellStyles count="17">
    <cellStyle name="Currency 2" xfId="15"/>
    <cellStyle name="Hyperlink" xfId="16" builtinId="8"/>
    <cellStyle name="Normal" xfId="0" builtinId="0"/>
    <cellStyle name="Normal 2" xfId="3"/>
    <cellStyle name="Normal 2 2" xfId="8"/>
    <cellStyle name="Normal 2 3" xfId="12"/>
    <cellStyle name="Normal 3" xfId="4"/>
    <cellStyle name="Normal 3 2" xfId="13"/>
    <cellStyle name="Normal 3 3" xfId="6"/>
    <cellStyle name="Normal 4" xfId="1"/>
    <cellStyle name="Normal 5" xfId="9"/>
    <cellStyle name="Normal 6" xfId="5"/>
    <cellStyle name="Normal 6 2" xfId="14"/>
    <cellStyle name="Normal 6 3" xfId="7"/>
    <cellStyle name="Normal 7" xfId="10"/>
    <cellStyle name="Normal 8" xfId="11"/>
    <cellStyle name="Normal 9" xfId="2"/>
  </cellStyles>
  <dxfs count="0"/>
  <tableStyles count="1" defaultTableStyle="TableStyleMedium2" defaultPivotStyle="PivotStyleLight16">
    <tableStyle name="Table Style 1" pivot="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10"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xdr:colOff>
          <xdr:row>0</xdr:row>
          <xdr:rowOff>-50</xdr:rowOff>
        </xdr:from>
        <xdr:to>
          <xdr:col>0</xdr:col>
          <xdr:colOff>3457582</xdr:colOff>
          <xdr:row>1</xdr:row>
          <xdr:rowOff>152351</xdr:rowOff>
        </xdr:to>
        <xdr:grpSp>
          <xdr:nvGrpSpPr>
            <xdr:cNvPr id="4" name="Group 3"/>
            <xdr:cNvGrpSpPr>
              <a:grpSpLocks noChangeAspect="1"/>
            </xdr:cNvGrpSpPr>
          </xdr:nvGrpSpPr>
          <xdr:grpSpPr>
            <a:xfrm>
              <a:off x="1" y="-50"/>
              <a:ext cx="3457581" cy="342901"/>
              <a:chOff x="-10447511" y="-5520956"/>
              <a:chExt cx="2814484" cy="64035"/>
            </a:xfrm>
          </xdr:grpSpPr>
          <xdr:sp macro="" textlink="">
            <xdr:nvSpPr>
              <xdr:cNvPr id="3083" name="CmbBCName" hidden="1">
                <a:extLst>
                  <a:ext uri="{63B3BB69-23CF-44E3-9099-C40C66FF867C}">
                    <a14:compatExt spid="_x0000_s3083"/>
                  </a:ext>
                </a:extLst>
              </xdr:cNvPr>
              <xdr:cNvSpPr/>
            </xdr:nvSpPr>
            <xdr:spPr>
              <a:xfrm>
                <a:off x="-10447506" y="-5513754"/>
                <a:ext cx="2814479" cy="49801"/>
              </a:xfrm>
              <a:prstGeom prst="rect">
                <a:avLst/>
              </a:prstGeom>
            </xdr:spPr>
          </xdr:sp>
          <xdr:sp macro="" textlink="">
            <xdr:nvSpPr>
              <xdr:cNvPr id="3084" name="cmdFindTest" hidden="1">
                <a:extLst>
                  <a:ext uri="{63B3BB69-23CF-44E3-9099-C40C66FF867C}">
                    <a14:compatExt spid="_x0000_s3084"/>
                  </a:ext>
                </a:extLst>
              </xdr:cNvPr>
              <xdr:cNvSpPr/>
            </xdr:nvSpPr>
            <xdr:spPr>
              <a:xfrm>
                <a:off x="-10447511" y="-5520864"/>
                <a:ext cx="659038" cy="62256"/>
              </a:xfrm>
              <a:prstGeom prst="rect">
                <a:avLst/>
              </a:prstGeom>
            </xdr:spPr>
          </xdr:sp>
          <xdr:sp macro="" textlink="">
            <xdr:nvSpPr>
              <xdr:cNvPr id="3085" name="cmdFindBC" hidden="1">
                <a:extLst>
                  <a:ext uri="{63B3BB69-23CF-44E3-9099-C40C66FF867C}">
                    <a14:compatExt spid="_x0000_s3085"/>
                  </a:ext>
                </a:extLst>
              </xdr:cNvPr>
              <xdr:cNvSpPr/>
            </xdr:nvSpPr>
            <xdr:spPr>
              <a:xfrm>
                <a:off x="-10447511" y="-5520864"/>
                <a:ext cx="697805" cy="60477"/>
              </a:xfrm>
              <a:prstGeom prst="rect">
                <a:avLst/>
              </a:prstGeom>
            </xdr:spPr>
          </xdr:sp>
          <xdr:sp macro="" textlink="">
            <xdr:nvSpPr>
              <xdr:cNvPr id="3086" name="cmdNext" hidden="1">
                <a:extLst>
                  <a:ext uri="{63B3BB69-23CF-44E3-9099-C40C66FF867C}">
                    <a14:compatExt spid="_x0000_s3086"/>
                  </a:ext>
                </a:extLst>
              </xdr:cNvPr>
              <xdr:cNvSpPr/>
            </xdr:nvSpPr>
            <xdr:spPr>
              <a:xfrm>
                <a:off x="-10447510" y="-5520956"/>
                <a:ext cx="628024" cy="64035"/>
              </a:xfrm>
              <a:prstGeom prst="rect">
                <a:avLst/>
              </a:prstGeom>
            </xdr:spPr>
          </xdr:sp>
          <xdr:sp macro="" textlink="">
            <xdr:nvSpPr>
              <xdr:cNvPr id="3089" name="cmdImportHeaders" hidden="1">
                <a:extLst>
                  <a:ext uri="{63B3BB69-23CF-44E3-9099-C40C66FF867C}">
                    <a14:compatExt spid="_x0000_s3089"/>
                  </a:ext>
                </a:extLst>
              </xdr:cNvPr>
              <xdr:cNvSpPr/>
            </xdr:nvSpPr>
            <xdr:spPr>
              <a:xfrm>
                <a:off x="-10447507" y="-5520864"/>
                <a:ext cx="876133" cy="55141"/>
              </a:xfrm>
              <a:prstGeom prst="rect">
                <a:avLst/>
              </a:prstGeom>
            </xdr:spPr>
          </xdr:sp>
          <xdr:sp macro="" textlink="">
            <xdr:nvSpPr>
              <xdr:cNvPr id="3088" name="cmdShowAllCol" hidden="1">
                <a:extLst>
                  <a:ext uri="{63B3BB69-23CF-44E3-9099-C40C66FF867C}">
                    <a14:compatExt spid="_x0000_s3088"/>
                  </a:ext>
                </a:extLst>
              </xdr:cNvPr>
              <xdr:cNvSpPr/>
            </xdr:nvSpPr>
            <xdr:spPr>
              <a:xfrm>
                <a:off x="-10447508" y="-5520867"/>
                <a:ext cx="814106" cy="49805"/>
              </a:xfrm>
              <a:prstGeom prst="rect">
                <a:avLst/>
              </a:prstGeom>
            </xdr:spPr>
          </xdr:sp>
          <xdr:sp macro="" textlink="">
            <xdr:nvSpPr>
              <xdr:cNvPr id="3087" name="cmdPrevious" hidden="1">
                <a:extLst>
                  <a:ext uri="{63B3BB69-23CF-44E3-9099-C40C66FF867C}">
                    <a14:compatExt spid="_x0000_s3087"/>
                  </a:ext>
                </a:extLst>
              </xdr:cNvPr>
              <xdr:cNvSpPr/>
            </xdr:nvSpPr>
            <xdr:spPr>
              <a:xfrm>
                <a:off x="-10447509" y="-5519089"/>
                <a:ext cx="806352" cy="60477"/>
              </a:xfrm>
              <a:prstGeom prst="rect">
                <a:avLst/>
              </a:prstGeom>
            </xdr:spPr>
          </xdr:sp>
          <xdr:sp macro="" textlink="">
            <xdr:nvSpPr>
              <xdr:cNvPr id="3082" name="cmbTestCase" hidden="1">
                <a:extLst>
                  <a:ext uri="{63B3BB69-23CF-44E3-9099-C40C66FF867C}">
                    <a14:compatExt spid="_x0000_s3082"/>
                  </a:ext>
                </a:extLst>
              </xdr:cNvPr>
              <xdr:cNvSpPr/>
            </xdr:nvSpPr>
            <xdr:spPr>
              <a:xfrm>
                <a:off x="-10400981" y="-5511965"/>
                <a:ext cx="2752453" cy="53358"/>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0</xdr:col>
          <xdr:colOff>1704975</xdr:colOff>
          <xdr:row>1</xdr:row>
          <xdr:rowOff>152400</xdr:rowOff>
        </xdr:to>
        <xdr:sp macro="" textlink="">
          <xdr:nvSpPr>
            <xdr:cNvPr id="3090" name="cmdDeletedCol" hidden="1">
              <a:extLst>
                <a:ext uri="{63B3BB69-23CF-44E3-9099-C40C66FF867C}">
                  <a14:compatExt spid="_x0000_s3090"/>
                </a:ext>
              </a:extLst>
            </xdr:cNvPr>
            <xdr:cNvSpPr/>
          </xdr:nvSpPr>
          <xdr:spPr>
            <a:xfrm>
              <a:off x="0" y="0"/>
              <a:ext cx="0" cy="0"/>
            </a:xfrm>
            <a:prstGeom prst="rect">
              <a:avLst/>
            </a:prstGeom>
          </xdr:spPr>
        </xdr:sp>
        <xdr:clientData/>
      </xdr:twoCellAnchor>
    </mc:Choice>
    <mc:Fallback/>
  </mc:AlternateContent>
  <xdr:twoCellAnchor editAs="absolute">
    <xdr:from>
      <xdr:col>0</xdr:col>
      <xdr:colOff>0</xdr:colOff>
      <xdr:row>20</xdr:row>
      <xdr:rowOff>107156</xdr:rowOff>
    </xdr:from>
    <xdr:to>
      <xdr:col>0</xdr:col>
      <xdr:colOff>3333750</xdr:colOff>
      <xdr:row>21</xdr:row>
      <xdr:rowOff>321816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488656"/>
          <a:ext cx="3333750" cy="40516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0</xdr:col>
          <xdr:colOff>838200</xdr:colOff>
          <xdr:row>1</xdr:row>
          <xdr:rowOff>104775</xdr:rowOff>
        </xdr:to>
        <xdr:sp macro="" textlink="">
          <xdr:nvSpPr>
            <xdr:cNvPr id="3094" name="cmdTCExecutionTime" hidden="1">
              <a:extLst>
                <a:ext uri="{63B3BB69-23CF-44E3-9099-C40C66FF867C}">
                  <a14:compatExt spid="_x0000_s309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866775</xdr:colOff>
          <xdr:row>0</xdr:row>
          <xdr:rowOff>76200</xdr:rowOff>
        </xdr:from>
        <xdr:to>
          <xdr:col>2</xdr:col>
          <xdr:colOff>1209675</xdr:colOff>
          <xdr:row>12</xdr:row>
          <xdr:rowOff>47625</xdr:rowOff>
        </xdr:to>
        <xdr:sp macro="" textlink="">
          <xdr:nvSpPr>
            <xdr:cNvPr id="7171" name="cmdDone" hidden="1">
              <a:extLst>
                <a:ext uri="{63B3BB69-23CF-44E3-9099-C40C66FF867C}">
                  <a14:compatExt spid="_x0000_s717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hajekarr/AppData/Local/Microsoft/Windows/Temporary%20Internet%20Files/Content.Outlook/NV9AT0DG/Datasheet_Salt_Two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Application_Environment"/>
      <sheetName val="DataSheet"/>
      <sheetName val="Mapping"/>
      <sheetName val="TabData"/>
      <sheetName val="Version Control"/>
      <sheetName val="Sheet1"/>
    </sheetNames>
    <sheetDataSet>
      <sheetData sheetId="0"/>
      <sheetData sheetId="1"/>
      <sheetData sheetId="2"/>
      <sheetData sheetId="3"/>
      <sheetData sheetId="4"/>
      <sheetData sheetId="5"/>
      <sheetData sheetId="6">
        <row r="2">
          <cell r="H2" t="str">
            <v>Settle</v>
          </cell>
        </row>
        <row r="3">
          <cell r="H3" t="str">
            <v>Reject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printerSettings" Target="../printerSettings/printerSettings10.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hyperlink" Target="http://buy.rgt.salt.travelex.com.au/au/Purchas" TargetMode="External"/><Relationship Id="rId5" Type="http://schemas.openxmlformats.org/officeDocument/2006/relationships/hyperlink" Target="http://admin.rgt.salt.travelex.com/Login.aspx" TargetMode="External"/><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13" Type="http://schemas.openxmlformats.org/officeDocument/2006/relationships/hyperlink" Target="mailto:durvesh.naik@travelex.com" TargetMode="External"/><Relationship Id="rId18" Type="http://schemas.openxmlformats.org/officeDocument/2006/relationships/hyperlink" Target="file:///\\gb-pb-gec-vt5\Batch\Swift\AU\Unprocessed" TargetMode="External"/><Relationship Id="rId26" Type="http://schemas.openxmlformats.org/officeDocument/2006/relationships/hyperlink" Target="mailto:ravi.khapre@travelex.com" TargetMode="External"/><Relationship Id="rId39" Type="http://schemas.openxmlformats.org/officeDocument/2006/relationships/hyperlink" Target="http://buy.rgt.salt.travelex.com.au/au/Purchas" TargetMode="External"/><Relationship Id="rId21" Type="http://schemas.openxmlformats.org/officeDocument/2006/relationships/hyperlink" Target="mailto:ravi.khapre@travelex.com" TargetMode="External"/><Relationship Id="rId34" Type="http://schemas.openxmlformats.org/officeDocument/2006/relationships/hyperlink" Target="mailto:ravi.khapre@travelex.com" TargetMode="External"/><Relationship Id="rId42" Type="http://schemas.openxmlformats.org/officeDocument/2006/relationships/printerSettings" Target="../printerSettings/printerSettings15.bin"/><Relationship Id="rId47" Type="http://schemas.openxmlformats.org/officeDocument/2006/relationships/control" Target="../activeX/activeX2.xml"/><Relationship Id="rId50" Type="http://schemas.openxmlformats.org/officeDocument/2006/relationships/image" Target="../media/image3.emf"/><Relationship Id="rId55" Type="http://schemas.openxmlformats.org/officeDocument/2006/relationships/control" Target="../activeX/activeX6.xml"/><Relationship Id="rId63" Type="http://schemas.openxmlformats.org/officeDocument/2006/relationships/control" Target="../activeX/activeX10.xml"/><Relationship Id="rId7" Type="http://schemas.openxmlformats.org/officeDocument/2006/relationships/hyperlink" Target="mailto:krishnamraju.k@travelex.com" TargetMode="External"/><Relationship Id="rId2" Type="http://schemas.openxmlformats.org/officeDocument/2006/relationships/printerSettings" Target="../printerSettings/printerSettings12.bin"/><Relationship Id="rId16" Type="http://schemas.openxmlformats.org/officeDocument/2006/relationships/hyperlink" Target="http://admin.rgt.salt.travelex.com/Login.aspx" TargetMode="External"/><Relationship Id="rId20" Type="http://schemas.openxmlformats.org/officeDocument/2006/relationships/hyperlink" Target="file:///\\gb-pb-gec-vt5\Batch\BPay\AU\Import" TargetMode="External"/><Relationship Id="rId29" Type="http://schemas.openxmlformats.org/officeDocument/2006/relationships/hyperlink" Target="mailto:##R@v!" TargetMode="External"/><Relationship Id="rId41" Type="http://schemas.openxmlformats.org/officeDocument/2006/relationships/hyperlink" Target="http://buy.rgt.salt.travelex.com.au/au/Purchas" TargetMode="External"/><Relationship Id="rId54" Type="http://schemas.openxmlformats.org/officeDocument/2006/relationships/image" Target="../media/image5.emf"/><Relationship Id="rId62" Type="http://schemas.openxmlformats.org/officeDocument/2006/relationships/image" Target="../media/image9.emf"/><Relationship Id="rId1" Type="http://schemas.openxmlformats.org/officeDocument/2006/relationships/printerSettings" Target="../printerSettings/printerSettings11.bin"/><Relationship Id="rId6" Type="http://schemas.openxmlformats.org/officeDocument/2006/relationships/hyperlink" Target="mailto:krishnamraju.k@travelex.com" TargetMode="External"/><Relationship Id="rId11" Type="http://schemas.openxmlformats.org/officeDocument/2006/relationships/hyperlink" Target="file:///\\gb-pb-gec-vt5\Batch\BPay\AU\Import" TargetMode="External"/><Relationship Id="rId24" Type="http://schemas.openxmlformats.org/officeDocument/2006/relationships/hyperlink" Target="mailto:ravi.khapre@travelex.com" TargetMode="External"/><Relationship Id="rId32" Type="http://schemas.openxmlformats.org/officeDocument/2006/relationships/hyperlink" Target="http://buy.rgt.salt.travelex.com.au/au/Purchas" TargetMode="External"/><Relationship Id="rId37" Type="http://schemas.openxmlformats.org/officeDocument/2006/relationships/hyperlink" Target="http://buy.rgt.salt.travelex.com.au/au/Purchas" TargetMode="External"/><Relationship Id="rId40" Type="http://schemas.openxmlformats.org/officeDocument/2006/relationships/hyperlink" Target="http://buy.rgt.salt.travelex.com.au/au/Purchas" TargetMode="External"/><Relationship Id="rId45" Type="http://schemas.openxmlformats.org/officeDocument/2006/relationships/control" Target="../activeX/activeX1.xml"/><Relationship Id="rId53" Type="http://schemas.openxmlformats.org/officeDocument/2006/relationships/control" Target="../activeX/activeX5.xml"/><Relationship Id="rId58" Type="http://schemas.openxmlformats.org/officeDocument/2006/relationships/image" Target="../media/image7.emf"/><Relationship Id="rId5" Type="http://schemas.openxmlformats.org/officeDocument/2006/relationships/hyperlink" Target="mailto:krishnamraju.k@travelex.com" TargetMode="External"/><Relationship Id="rId15" Type="http://schemas.openxmlformats.org/officeDocument/2006/relationships/hyperlink" Target="mailto:durvesh.naik@travelex.com" TargetMode="External"/><Relationship Id="rId23" Type="http://schemas.openxmlformats.org/officeDocument/2006/relationships/hyperlink" Target="mailto:ravi.khapre@travelex.com" TargetMode="External"/><Relationship Id="rId28" Type="http://schemas.openxmlformats.org/officeDocument/2006/relationships/hyperlink" Target="mailto:ravi.khapre@travelex.com" TargetMode="External"/><Relationship Id="rId36" Type="http://schemas.openxmlformats.org/officeDocument/2006/relationships/hyperlink" Target="http://buy.rgt.salt.travelex.com.au/au/Purchas" TargetMode="External"/><Relationship Id="rId49" Type="http://schemas.openxmlformats.org/officeDocument/2006/relationships/control" Target="../activeX/activeX3.xml"/><Relationship Id="rId57" Type="http://schemas.openxmlformats.org/officeDocument/2006/relationships/control" Target="../activeX/activeX7.xml"/><Relationship Id="rId61" Type="http://schemas.openxmlformats.org/officeDocument/2006/relationships/control" Target="../activeX/activeX9.xml"/><Relationship Id="rId10" Type="http://schemas.openxmlformats.org/officeDocument/2006/relationships/hyperlink" Target="file:///\\gb-pb-gec-vt5\Batch\BPay\AU\Import" TargetMode="External"/><Relationship Id="rId19" Type="http://schemas.openxmlformats.org/officeDocument/2006/relationships/hyperlink" Target="file:///\\gb-pb-gec-vt5\Batch\BPay\AU\Import" TargetMode="External"/><Relationship Id="rId31" Type="http://schemas.openxmlformats.org/officeDocument/2006/relationships/hyperlink" Target="mailto:ravi.khapre@travelex.com" TargetMode="External"/><Relationship Id="rId44" Type="http://schemas.openxmlformats.org/officeDocument/2006/relationships/vmlDrawing" Target="../drawings/vmlDrawing1.vml"/><Relationship Id="rId52" Type="http://schemas.openxmlformats.org/officeDocument/2006/relationships/image" Target="../media/image4.emf"/><Relationship Id="rId60" Type="http://schemas.openxmlformats.org/officeDocument/2006/relationships/image" Target="../media/image8.emf"/><Relationship Id="rId65" Type="http://schemas.openxmlformats.org/officeDocument/2006/relationships/comments" Target="../comments1.xml"/><Relationship Id="rId4" Type="http://schemas.openxmlformats.org/officeDocument/2006/relationships/printerSettings" Target="../printerSettings/printerSettings14.bin"/><Relationship Id="rId9" Type="http://schemas.openxmlformats.org/officeDocument/2006/relationships/hyperlink" Target="file:///\\gb-pb-gec-vt5\Batch\BPay\AU\Import" TargetMode="External"/><Relationship Id="rId14" Type="http://schemas.openxmlformats.org/officeDocument/2006/relationships/hyperlink" Target="mailto:durvesh.naik@travelex.com" TargetMode="External"/><Relationship Id="rId22" Type="http://schemas.openxmlformats.org/officeDocument/2006/relationships/hyperlink" Target="mailto:ravi.khapre@travelex.com" TargetMode="External"/><Relationship Id="rId27" Type="http://schemas.openxmlformats.org/officeDocument/2006/relationships/hyperlink" Target="mailto:ravi.khapre@travelex.com" TargetMode="External"/><Relationship Id="rId30" Type="http://schemas.openxmlformats.org/officeDocument/2006/relationships/hyperlink" Target="mailto:K#@pr#&amp;^%!" TargetMode="External"/><Relationship Id="rId35" Type="http://schemas.openxmlformats.org/officeDocument/2006/relationships/hyperlink" Target="mailto:ravi.khapre@travelex.com" TargetMode="External"/><Relationship Id="rId43" Type="http://schemas.openxmlformats.org/officeDocument/2006/relationships/drawing" Target="../drawings/drawing1.xml"/><Relationship Id="rId48" Type="http://schemas.openxmlformats.org/officeDocument/2006/relationships/image" Target="../media/image2.emf"/><Relationship Id="rId56" Type="http://schemas.openxmlformats.org/officeDocument/2006/relationships/image" Target="../media/image6.emf"/><Relationship Id="rId64" Type="http://schemas.openxmlformats.org/officeDocument/2006/relationships/image" Target="../media/image10.emf"/><Relationship Id="rId8" Type="http://schemas.openxmlformats.org/officeDocument/2006/relationships/hyperlink" Target="mailto:krishnamraju.k@travelex.com" TargetMode="External"/><Relationship Id="rId51" Type="http://schemas.openxmlformats.org/officeDocument/2006/relationships/control" Target="../activeX/activeX4.xml"/><Relationship Id="rId3" Type="http://schemas.openxmlformats.org/officeDocument/2006/relationships/printerSettings" Target="../printerSettings/printerSettings13.bin"/><Relationship Id="rId12" Type="http://schemas.openxmlformats.org/officeDocument/2006/relationships/hyperlink" Target="mailto:durvesh.naik@travelex.com" TargetMode="External"/><Relationship Id="rId17" Type="http://schemas.openxmlformats.org/officeDocument/2006/relationships/hyperlink" Target="file:///\\gb-pb-gec-vt5\Batch\BPay\AU\Import" TargetMode="External"/><Relationship Id="rId25" Type="http://schemas.openxmlformats.org/officeDocument/2006/relationships/hyperlink" Target="mailto:ravi.khapre@travelex.com" TargetMode="External"/><Relationship Id="rId33" Type="http://schemas.openxmlformats.org/officeDocument/2006/relationships/hyperlink" Target="mailto:ravi.khapre@travelex.com" TargetMode="External"/><Relationship Id="rId38" Type="http://schemas.openxmlformats.org/officeDocument/2006/relationships/hyperlink" Target="http://buy.rgt.salt.travelex.com.au/au/Purchas" TargetMode="External"/><Relationship Id="rId46" Type="http://schemas.openxmlformats.org/officeDocument/2006/relationships/image" Target="../media/image1.emf"/><Relationship Id="rId59"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printerSettings" Target="../printerSettings/printerSettings23.bin"/><Relationship Id="rId7" Type="http://schemas.openxmlformats.org/officeDocument/2006/relationships/vmlDrawing" Target="../drawings/vmlDrawing2.v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drawing" Target="../drawings/drawing2.xml"/><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57"/>
  <sheetViews>
    <sheetView topLeftCell="A58" zoomScaleNormal="100" workbookViewId="0">
      <selection activeCell="C62" sqref="C62"/>
    </sheetView>
  </sheetViews>
  <sheetFormatPr defaultRowHeight="15"/>
  <cols>
    <col min="1" max="1" width="9.140625" style="18"/>
    <col min="2" max="2" width="43.85546875" style="18" customWidth="1"/>
    <col min="3" max="3" width="7.5703125" style="167" bestFit="1" customWidth="1"/>
    <col min="4" max="4" width="28.85546875" style="18" customWidth="1"/>
    <col min="5" max="5" width="7.85546875" style="18" customWidth="1"/>
    <col min="6" max="6" width="36.5703125" style="32" bestFit="1" customWidth="1"/>
    <col min="7" max="7" width="9.140625" style="18"/>
    <col min="8" max="8" width="25" style="18" customWidth="1"/>
    <col min="9" max="16384" width="9.140625" style="18"/>
  </cols>
  <sheetData>
    <row r="1" spans="1:8" ht="15.75" thickBot="1">
      <c r="A1" s="194" t="s">
        <v>14</v>
      </c>
      <c r="B1" s="195" t="s">
        <v>15</v>
      </c>
      <c r="C1" s="195" t="s">
        <v>795</v>
      </c>
      <c r="D1" s="196" t="s">
        <v>203</v>
      </c>
      <c r="E1" s="196"/>
      <c r="F1" s="197"/>
      <c r="H1" s="270" t="s">
        <v>1698</v>
      </c>
    </row>
    <row r="2" spans="1:8" s="44" customFormat="1">
      <c r="A2" s="198">
        <v>1</v>
      </c>
      <c r="B2" s="199" t="s">
        <v>310</v>
      </c>
      <c r="C2" s="167"/>
      <c r="D2" s="199"/>
      <c r="E2" s="199"/>
      <c r="F2" s="200"/>
      <c r="H2" s="269"/>
    </row>
    <row r="3" spans="1:8" s="44" customFormat="1" ht="25.5">
      <c r="A3" s="193">
        <v>2</v>
      </c>
      <c r="B3" s="55" t="s">
        <v>204</v>
      </c>
      <c r="C3" s="167"/>
      <c r="D3" s="55" t="s">
        <v>310</v>
      </c>
      <c r="E3" s="148">
        <v>1</v>
      </c>
      <c r="F3" s="171" t="s">
        <v>305</v>
      </c>
      <c r="H3" s="269"/>
    </row>
    <row r="4" spans="1:8" s="44" customFormat="1">
      <c r="A4" s="193">
        <v>3</v>
      </c>
      <c r="B4" s="55" t="s">
        <v>205</v>
      </c>
      <c r="C4" s="167"/>
      <c r="D4" s="55" t="s">
        <v>310</v>
      </c>
      <c r="E4" s="148">
        <v>1</v>
      </c>
      <c r="F4" s="171"/>
      <c r="H4" s="269"/>
    </row>
    <row r="5" spans="1:8" s="44" customFormat="1">
      <c r="A5" s="193">
        <v>4</v>
      </c>
      <c r="B5" s="55" t="s">
        <v>206</v>
      </c>
      <c r="C5" s="167"/>
      <c r="D5" s="55" t="s">
        <v>310</v>
      </c>
      <c r="E5" s="148">
        <v>2</v>
      </c>
      <c r="F5" s="171"/>
      <c r="H5" s="269"/>
    </row>
    <row r="6" spans="1:8" s="44" customFormat="1">
      <c r="A6" s="193">
        <v>5</v>
      </c>
      <c r="B6" s="55" t="s">
        <v>207</v>
      </c>
      <c r="C6" s="167"/>
      <c r="D6" s="55" t="s">
        <v>310</v>
      </c>
      <c r="E6" s="148">
        <v>3</v>
      </c>
      <c r="F6" s="171"/>
      <c r="H6" s="269"/>
    </row>
    <row r="7" spans="1:8" s="44" customFormat="1">
      <c r="A7" s="193">
        <v>6</v>
      </c>
      <c r="B7" s="55" t="s">
        <v>208</v>
      </c>
      <c r="C7" s="167"/>
      <c r="D7" s="55" t="s">
        <v>310</v>
      </c>
      <c r="E7" s="148">
        <v>3</v>
      </c>
      <c r="F7" s="171"/>
      <c r="H7" s="269"/>
    </row>
    <row r="8" spans="1:8" s="44" customFormat="1">
      <c r="A8" s="193">
        <v>7</v>
      </c>
      <c r="B8" s="55" t="s">
        <v>211</v>
      </c>
      <c r="C8" s="167"/>
      <c r="D8" s="55" t="s">
        <v>310</v>
      </c>
      <c r="E8" s="166">
        <v>4</v>
      </c>
      <c r="F8" s="171"/>
      <c r="H8" s="269"/>
    </row>
    <row r="9" spans="1:8" s="44" customFormat="1">
      <c r="A9" s="193">
        <v>8</v>
      </c>
      <c r="B9" s="55" t="s">
        <v>213</v>
      </c>
      <c r="C9" s="167"/>
      <c r="D9" s="55" t="s">
        <v>310</v>
      </c>
      <c r="E9" s="166">
        <v>10</v>
      </c>
      <c r="F9" s="171"/>
      <c r="H9" s="269"/>
    </row>
    <row r="10" spans="1:8" s="44" customFormat="1">
      <c r="A10" s="193">
        <v>9</v>
      </c>
      <c r="B10" s="55" t="s">
        <v>214</v>
      </c>
      <c r="C10" s="167"/>
      <c r="D10" s="55" t="s">
        <v>310</v>
      </c>
      <c r="E10" s="148">
        <v>4</v>
      </c>
      <c r="F10" s="171"/>
      <c r="H10" s="269"/>
    </row>
    <row r="11" spans="1:8" s="44" customFormat="1">
      <c r="A11" s="193">
        <v>10</v>
      </c>
      <c r="B11" s="55" t="s">
        <v>212</v>
      </c>
      <c r="C11" s="167"/>
      <c r="D11" s="55" t="s">
        <v>996</v>
      </c>
      <c r="E11" s="55"/>
      <c r="F11" s="171"/>
      <c r="H11" s="269"/>
    </row>
    <row r="12" spans="1:8" s="44" customFormat="1" ht="25.5">
      <c r="A12" s="193">
        <v>11</v>
      </c>
      <c r="B12" s="55" t="s">
        <v>218</v>
      </c>
      <c r="C12" s="167"/>
      <c r="D12" s="55" t="s">
        <v>310</v>
      </c>
      <c r="E12" s="149">
        <v>6</v>
      </c>
      <c r="F12" s="171" t="s">
        <v>734</v>
      </c>
      <c r="H12" s="269"/>
    </row>
    <row r="13" spans="1:8" s="44" customFormat="1" ht="25.5">
      <c r="A13" s="193">
        <v>12</v>
      </c>
      <c r="B13" s="128" t="s">
        <v>216</v>
      </c>
      <c r="C13" s="167"/>
      <c r="D13" s="55" t="s">
        <v>310</v>
      </c>
      <c r="E13" s="148">
        <v>4</v>
      </c>
      <c r="F13" s="171" t="s">
        <v>733</v>
      </c>
      <c r="H13" s="269"/>
    </row>
    <row r="14" spans="1:8" s="44" customFormat="1" ht="25.5">
      <c r="A14" s="193">
        <v>13</v>
      </c>
      <c r="B14" s="128" t="s">
        <v>217</v>
      </c>
      <c r="C14" s="167"/>
      <c r="D14" s="55" t="s">
        <v>310</v>
      </c>
      <c r="E14" s="148">
        <v>6</v>
      </c>
      <c r="F14" s="171" t="s">
        <v>733</v>
      </c>
      <c r="H14" s="269"/>
    </row>
    <row r="15" spans="1:8" s="44" customFormat="1">
      <c r="A15" s="193">
        <v>14</v>
      </c>
      <c r="B15" s="55" t="s">
        <v>220</v>
      </c>
      <c r="C15" s="167"/>
      <c r="D15" s="55" t="s">
        <v>310</v>
      </c>
      <c r="E15" s="148">
        <v>8</v>
      </c>
      <c r="F15" s="171"/>
      <c r="H15" s="269"/>
    </row>
    <row r="16" spans="1:8" s="44" customFormat="1">
      <c r="A16" s="193">
        <v>15</v>
      </c>
      <c r="B16" s="55" t="s">
        <v>221</v>
      </c>
      <c r="C16" s="167"/>
      <c r="D16" s="55" t="s">
        <v>310</v>
      </c>
      <c r="E16" s="148">
        <v>9</v>
      </c>
      <c r="F16" s="171"/>
      <c r="H16" s="269"/>
    </row>
    <row r="17" spans="1:8" s="44" customFormat="1">
      <c r="A17" s="193">
        <v>16</v>
      </c>
      <c r="B17" s="55" t="s">
        <v>308</v>
      </c>
      <c r="C17" s="167"/>
      <c r="D17" s="82"/>
      <c r="E17" s="82"/>
      <c r="F17" s="171"/>
      <c r="H17" s="269"/>
    </row>
    <row r="18" spans="1:8" s="44" customFormat="1">
      <c r="A18" s="193">
        <v>17</v>
      </c>
      <c r="B18" s="55" t="s">
        <v>309</v>
      </c>
      <c r="C18" s="167"/>
      <c r="D18" s="55" t="s">
        <v>310</v>
      </c>
      <c r="E18" s="148">
        <v>11</v>
      </c>
      <c r="F18" s="171"/>
      <c r="G18" s="44" t="s">
        <v>1187</v>
      </c>
      <c r="H18" s="269"/>
    </row>
    <row r="19" spans="1:8" s="44" customFormat="1">
      <c r="A19" s="193">
        <v>18</v>
      </c>
      <c r="B19" s="92" t="s">
        <v>935</v>
      </c>
      <c r="C19" s="167"/>
      <c r="D19" s="82" t="s">
        <v>1005</v>
      </c>
      <c r="E19" s="82"/>
      <c r="F19" s="172"/>
      <c r="H19" s="269"/>
    </row>
    <row r="20" spans="1:8" s="44" customFormat="1">
      <c r="A20" s="193">
        <v>19</v>
      </c>
      <c r="B20" s="92" t="s">
        <v>936</v>
      </c>
      <c r="C20" s="167"/>
      <c r="D20" s="82" t="s">
        <v>1006</v>
      </c>
      <c r="E20" s="82"/>
      <c r="F20" s="172"/>
      <c r="H20" s="269"/>
    </row>
    <row r="21" spans="1:8" s="44" customFormat="1">
      <c r="A21" s="193">
        <v>20</v>
      </c>
      <c r="B21" s="92" t="s">
        <v>979</v>
      </c>
      <c r="C21" s="167"/>
      <c r="D21" s="148"/>
      <c r="E21" s="82"/>
      <c r="F21" s="172"/>
      <c r="H21" s="269"/>
    </row>
    <row r="22" spans="1:8" s="44" customFormat="1">
      <c r="A22" s="193">
        <v>21</v>
      </c>
      <c r="B22" s="92" t="s">
        <v>1007</v>
      </c>
      <c r="C22" s="167"/>
      <c r="D22" s="82"/>
      <c r="E22" s="82"/>
      <c r="F22" s="172"/>
      <c r="H22" s="269"/>
    </row>
    <row r="23" spans="1:8" s="44" customFormat="1">
      <c r="A23" s="193">
        <v>22</v>
      </c>
      <c r="B23" s="92" t="s">
        <v>978</v>
      </c>
      <c r="C23" s="167"/>
      <c r="D23" s="82" t="s">
        <v>1008</v>
      </c>
      <c r="E23" s="82"/>
      <c r="F23" s="172"/>
      <c r="H23" s="269"/>
    </row>
    <row r="24" spans="1:8" s="44" customFormat="1">
      <c r="A24" s="193">
        <v>23</v>
      </c>
      <c r="B24" s="92" t="s">
        <v>938</v>
      </c>
      <c r="C24" s="167"/>
      <c r="D24" s="82"/>
      <c r="E24" s="82"/>
      <c r="F24" s="172"/>
      <c r="H24" s="269"/>
    </row>
    <row r="25" spans="1:8" s="44" customFormat="1">
      <c r="A25" s="193">
        <v>24</v>
      </c>
      <c r="B25" s="92" t="s">
        <v>1011</v>
      </c>
      <c r="C25" s="167"/>
      <c r="D25" s="82"/>
      <c r="E25" s="82"/>
      <c r="F25" s="172"/>
      <c r="H25" s="269"/>
    </row>
    <row r="26" spans="1:8" s="44" customFormat="1">
      <c r="A26" s="193">
        <v>25</v>
      </c>
      <c r="B26" s="55" t="s">
        <v>1039</v>
      </c>
      <c r="C26" s="167"/>
      <c r="D26" s="55"/>
      <c r="E26" s="55"/>
      <c r="F26" s="192"/>
      <c r="H26" s="269"/>
    </row>
    <row r="27" spans="1:8" s="44" customFormat="1">
      <c r="A27" s="193">
        <v>26</v>
      </c>
      <c r="B27" s="55" t="s">
        <v>1041</v>
      </c>
      <c r="C27" s="167"/>
      <c r="D27" s="55"/>
      <c r="E27" s="55"/>
      <c r="F27" s="192"/>
      <c r="H27" s="269"/>
    </row>
    <row r="28" spans="1:8" s="44" customFormat="1">
      <c r="A28" s="193">
        <v>27</v>
      </c>
      <c r="B28" s="55" t="s">
        <v>1046</v>
      </c>
      <c r="C28" s="167"/>
      <c r="D28" s="55"/>
      <c r="E28" s="55"/>
      <c r="F28" s="192"/>
      <c r="H28" s="269"/>
    </row>
    <row r="29" spans="1:8" s="44" customFormat="1">
      <c r="A29" s="193">
        <v>28</v>
      </c>
      <c r="B29" s="82" t="s">
        <v>1093</v>
      </c>
      <c r="C29" s="167"/>
      <c r="D29" s="82"/>
      <c r="E29" s="82"/>
      <c r="F29" s="172"/>
      <c r="H29" s="269"/>
    </row>
    <row r="30" spans="1:8" s="44" customFormat="1">
      <c r="A30" s="193">
        <v>29</v>
      </c>
      <c r="B30" s="82" t="s">
        <v>324</v>
      </c>
      <c r="C30" s="167"/>
      <c r="D30" s="82" t="s">
        <v>310</v>
      </c>
      <c r="E30" s="148">
        <v>12</v>
      </c>
      <c r="F30" s="172"/>
      <c r="H30" s="269"/>
    </row>
    <row r="31" spans="1:8" s="44" customFormat="1">
      <c r="A31" s="225">
        <v>30</v>
      </c>
      <c r="B31" s="226" t="s">
        <v>1188</v>
      </c>
      <c r="C31" s="227"/>
      <c r="D31" s="226" t="s">
        <v>310</v>
      </c>
      <c r="E31" s="228">
        <v>13</v>
      </c>
      <c r="F31" s="229" t="s">
        <v>1311</v>
      </c>
      <c r="H31" s="269"/>
    </row>
    <row r="32" spans="1:8" s="44" customFormat="1">
      <c r="A32" s="203">
        <v>31</v>
      </c>
      <c r="B32" s="204" t="s">
        <v>1194</v>
      </c>
      <c r="C32" s="167"/>
      <c r="D32" s="205"/>
      <c r="E32" s="205"/>
      <c r="F32" s="206"/>
      <c r="H32" s="269"/>
    </row>
    <row r="33" spans="1:8" s="44" customFormat="1">
      <c r="A33" s="203">
        <v>32</v>
      </c>
      <c r="B33" s="204" t="s">
        <v>1195</v>
      </c>
      <c r="C33" s="167"/>
      <c r="D33" s="205"/>
      <c r="E33" s="205"/>
      <c r="F33" s="206"/>
      <c r="H33" s="269"/>
    </row>
    <row r="34" spans="1:8" s="44" customFormat="1">
      <c r="A34" s="203">
        <v>33</v>
      </c>
      <c r="B34" s="204" t="s">
        <v>1196</v>
      </c>
      <c r="C34" s="167"/>
      <c r="D34" s="205"/>
      <c r="E34" s="205"/>
      <c r="F34" s="206"/>
      <c r="H34" s="269"/>
    </row>
    <row r="35" spans="1:8" s="44" customFormat="1">
      <c r="A35" s="203">
        <v>34</v>
      </c>
      <c r="B35" s="204" t="s">
        <v>1197</v>
      </c>
      <c r="C35" s="167"/>
      <c r="D35" s="205"/>
      <c r="E35" s="205"/>
      <c r="F35" s="206"/>
      <c r="H35" s="269"/>
    </row>
    <row r="36" spans="1:8" s="44" customFormat="1">
      <c r="A36" s="203">
        <v>35</v>
      </c>
      <c r="B36" s="204" t="s">
        <v>1198</v>
      </c>
      <c r="C36" s="167"/>
      <c r="D36" s="205"/>
      <c r="E36" s="205"/>
      <c r="F36" s="206"/>
      <c r="H36" s="269"/>
    </row>
    <row r="37" spans="1:8" s="44" customFormat="1" ht="15.75" thickBot="1">
      <c r="A37" s="207">
        <v>36</v>
      </c>
      <c r="B37" s="208" t="s">
        <v>1199</v>
      </c>
      <c r="C37" s="167"/>
      <c r="D37" s="209"/>
      <c r="E37" s="209"/>
      <c r="F37" s="210"/>
      <c r="H37" s="269"/>
    </row>
    <row r="38" spans="1:8" s="44" customFormat="1">
      <c r="A38" s="44">
        <v>37</v>
      </c>
      <c r="B38" s="38" t="s">
        <v>1290</v>
      </c>
      <c r="C38" s="167"/>
      <c r="H38" s="269"/>
    </row>
    <row r="39" spans="1:8" s="44" customFormat="1">
      <c r="A39" s="44">
        <v>38</v>
      </c>
      <c r="B39" s="44" t="s">
        <v>1294</v>
      </c>
      <c r="C39" s="167"/>
      <c r="H39" s="269"/>
    </row>
    <row r="40" spans="1:8" s="44" customFormat="1">
      <c r="A40" s="44">
        <v>39</v>
      </c>
      <c r="B40" s="44" t="s">
        <v>1312</v>
      </c>
      <c r="C40" s="167"/>
      <c r="H40" s="269"/>
    </row>
    <row r="41" spans="1:8" s="44" customFormat="1">
      <c r="A41" s="44">
        <v>40</v>
      </c>
      <c r="B41" s="239" t="s">
        <v>1497</v>
      </c>
      <c r="C41" s="167"/>
      <c r="H41" s="269"/>
    </row>
    <row r="42" spans="1:8" s="44" customFormat="1">
      <c r="A42" s="44">
        <v>41</v>
      </c>
      <c r="B42" s="237" t="s">
        <v>1414</v>
      </c>
      <c r="C42" s="167"/>
      <c r="H42" s="269"/>
    </row>
    <row r="43" spans="1:8" s="44" customFormat="1">
      <c r="A43" s="44">
        <v>42</v>
      </c>
      <c r="B43" s="40" t="s">
        <v>1474</v>
      </c>
      <c r="C43" s="167"/>
      <c r="H43" s="269"/>
    </row>
    <row r="44" spans="1:8" s="44" customFormat="1">
      <c r="A44" s="44">
        <v>43</v>
      </c>
      <c r="B44" s="29" t="s">
        <v>1475</v>
      </c>
      <c r="C44" s="167"/>
      <c r="H44" s="269"/>
    </row>
    <row r="45" spans="1:8" s="44" customFormat="1">
      <c r="A45" s="44">
        <v>44</v>
      </c>
      <c r="B45" s="20" t="s">
        <v>1491</v>
      </c>
      <c r="C45" s="167"/>
      <c r="H45" s="269"/>
    </row>
    <row r="46" spans="1:8" s="44" customFormat="1">
      <c r="B46" s="40" t="s">
        <v>1498</v>
      </c>
      <c r="C46" s="167"/>
      <c r="H46" s="269"/>
    </row>
    <row r="47" spans="1:8" s="44" customFormat="1">
      <c r="B47" s="20" t="s">
        <v>1501</v>
      </c>
      <c r="C47" s="167"/>
      <c r="H47" s="269"/>
    </row>
    <row r="48" spans="1:8" s="44" customFormat="1">
      <c r="B48" s="29" t="s">
        <v>1502</v>
      </c>
      <c r="C48" s="167"/>
      <c r="H48" s="269"/>
    </row>
    <row r="49" spans="1:8" s="44" customFormat="1">
      <c r="B49" s="29" t="s">
        <v>1503</v>
      </c>
      <c r="C49" s="167"/>
      <c r="H49" s="269"/>
    </row>
    <row r="50" spans="1:8" s="44" customFormat="1">
      <c r="B50" s="29" t="s">
        <v>1505</v>
      </c>
      <c r="C50" s="167"/>
      <c r="H50" s="269"/>
    </row>
    <row r="51" spans="1:8" s="44" customFormat="1">
      <c r="B51" s="29" t="s">
        <v>1504</v>
      </c>
      <c r="C51" s="167"/>
      <c r="H51" s="269"/>
    </row>
    <row r="52" spans="1:8" s="44" customFormat="1">
      <c r="B52" s="257" t="s">
        <v>1640</v>
      </c>
      <c r="C52" s="167"/>
      <c r="H52" s="269"/>
    </row>
    <row r="53" spans="1:8" s="44" customFormat="1">
      <c r="A53" s="261"/>
      <c r="B53" s="263" t="s">
        <v>1574</v>
      </c>
      <c r="C53" s="167" t="s">
        <v>1551</v>
      </c>
      <c r="H53" s="271"/>
    </row>
    <row r="54" spans="1:8" s="44" customFormat="1">
      <c r="A54" s="261"/>
      <c r="B54" s="263" t="s">
        <v>1573</v>
      </c>
      <c r="C54" s="167" t="s">
        <v>1551</v>
      </c>
      <c r="H54" s="271"/>
    </row>
    <row r="55" spans="1:8" s="44" customFormat="1">
      <c r="A55" s="261"/>
      <c r="B55" s="263" t="s">
        <v>1576</v>
      </c>
      <c r="C55" s="167" t="s">
        <v>1551</v>
      </c>
      <c r="H55" s="269"/>
    </row>
    <row r="56" spans="1:8" s="44" customFormat="1">
      <c r="A56" s="261"/>
      <c r="B56" s="263" t="s">
        <v>1624</v>
      </c>
      <c r="C56" s="167" t="s">
        <v>1551</v>
      </c>
      <c r="H56" s="269"/>
    </row>
    <row r="57" spans="1:8" s="44" customFormat="1">
      <c r="A57" s="261"/>
      <c r="B57" s="263" t="s">
        <v>1617</v>
      </c>
      <c r="C57" s="167" t="s">
        <v>1551</v>
      </c>
      <c r="H57" s="269"/>
    </row>
    <row r="58" spans="1:8" s="44" customFormat="1">
      <c r="A58" s="261"/>
      <c r="B58" s="265" t="s">
        <v>1605</v>
      </c>
      <c r="C58" s="167" t="s">
        <v>1551</v>
      </c>
      <c r="H58" s="269"/>
    </row>
    <row r="59" spans="1:8" s="44" customFormat="1">
      <c r="A59" s="261"/>
      <c r="B59" s="264" t="s">
        <v>1578</v>
      </c>
      <c r="C59" s="167" t="s">
        <v>1551</v>
      </c>
      <c r="H59" s="269"/>
    </row>
    <row r="60" spans="1:8" s="44" customFormat="1">
      <c r="A60" s="261"/>
      <c r="B60" s="264" t="s">
        <v>1689</v>
      </c>
      <c r="C60" s="167" t="s">
        <v>1551</v>
      </c>
      <c r="H60" s="269"/>
    </row>
    <row r="61" spans="1:8" s="44" customFormat="1">
      <c r="A61" s="261"/>
      <c r="B61" s="264" t="s">
        <v>1638</v>
      </c>
      <c r="C61" s="167" t="s">
        <v>1551</v>
      </c>
      <c r="H61" s="269"/>
    </row>
    <row r="62" spans="1:8" s="44" customFormat="1">
      <c r="A62" s="261"/>
      <c r="B62" s="264" t="s">
        <v>1635</v>
      </c>
      <c r="C62" s="167"/>
      <c r="H62" s="269"/>
    </row>
    <row r="63" spans="1:8">
      <c r="A63" s="262"/>
      <c r="B63" s="264" t="s">
        <v>1606</v>
      </c>
      <c r="C63" s="167" t="s">
        <v>1551</v>
      </c>
      <c r="F63" s="18"/>
      <c r="H63" s="268"/>
    </row>
    <row r="64" spans="1:8">
      <c r="F64" s="18"/>
    </row>
    <row r="65" spans="6:6">
      <c r="F65" s="18"/>
    </row>
    <row r="66" spans="6:6">
      <c r="F66" s="18"/>
    </row>
    <row r="67" spans="6:6">
      <c r="F67" s="18"/>
    </row>
    <row r="68" spans="6:6">
      <c r="F68" s="18"/>
    </row>
    <row r="69" spans="6:6">
      <c r="F69" s="18"/>
    </row>
    <row r="70" spans="6:6">
      <c r="F70" s="18"/>
    </row>
    <row r="71" spans="6:6">
      <c r="F71" s="18"/>
    </row>
    <row r="72" spans="6:6">
      <c r="F72" s="18"/>
    </row>
    <row r="73" spans="6:6">
      <c r="F73" s="18"/>
    </row>
    <row r="74" spans="6:6">
      <c r="F74" s="18"/>
    </row>
    <row r="75" spans="6:6">
      <c r="F75" s="18"/>
    </row>
    <row r="76" spans="6:6">
      <c r="F76" s="18"/>
    </row>
    <row r="77" spans="6:6">
      <c r="F77" s="18"/>
    </row>
    <row r="78" spans="6:6">
      <c r="F78" s="18"/>
    </row>
    <row r="79" spans="6:6">
      <c r="F79" s="18"/>
    </row>
    <row r="80" spans="6:6">
      <c r="F80" s="18"/>
    </row>
    <row r="81" spans="6:6">
      <c r="F81" s="18"/>
    </row>
    <row r="82" spans="6:6">
      <c r="F82" s="18"/>
    </row>
    <row r="83" spans="6:6">
      <c r="F83" s="18"/>
    </row>
    <row r="84" spans="6:6">
      <c r="F84" s="18"/>
    </row>
    <row r="85" spans="6:6">
      <c r="F85" s="18"/>
    </row>
    <row r="86" spans="6:6">
      <c r="F86" s="18"/>
    </row>
    <row r="87" spans="6:6">
      <c r="F87" s="18"/>
    </row>
    <row r="88" spans="6:6">
      <c r="F88" s="18"/>
    </row>
    <row r="89" spans="6:6">
      <c r="F89" s="18"/>
    </row>
    <row r="90" spans="6:6">
      <c r="F90" s="18"/>
    </row>
    <row r="91" spans="6:6">
      <c r="F91" s="18"/>
    </row>
    <row r="92" spans="6:6">
      <c r="F92" s="18"/>
    </row>
    <row r="93" spans="6:6">
      <c r="F93" s="18"/>
    </row>
    <row r="94" spans="6:6">
      <c r="F94" s="18"/>
    </row>
    <row r="95" spans="6:6">
      <c r="F95" s="18"/>
    </row>
    <row r="96" spans="6:6">
      <c r="F96" s="18"/>
    </row>
    <row r="97" spans="6:6">
      <c r="F97" s="18"/>
    </row>
    <row r="98" spans="6:6">
      <c r="F98" s="18"/>
    </row>
    <row r="99" spans="6:6">
      <c r="F99" s="18"/>
    </row>
    <row r="100" spans="6:6">
      <c r="F100" s="18"/>
    </row>
    <row r="101" spans="6:6">
      <c r="F101" s="18"/>
    </row>
    <row r="102" spans="6:6">
      <c r="F102" s="18"/>
    </row>
    <row r="103" spans="6:6">
      <c r="F103" s="18"/>
    </row>
    <row r="104" spans="6:6">
      <c r="F104" s="18"/>
    </row>
    <row r="105" spans="6:6">
      <c r="F105" s="18"/>
    </row>
    <row r="106" spans="6:6">
      <c r="F106" s="18"/>
    </row>
    <row r="107" spans="6:6">
      <c r="F107" s="18"/>
    </row>
    <row r="108" spans="6:6">
      <c r="F108" s="18"/>
    </row>
    <row r="109" spans="6:6">
      <c r="F109" s="18"/>
    </row>
    <row r="110" spans="6:6">
      <c r="F110" s="18"/>
    </row>
    <row r="111" spans="6:6">
      <c r="F111" s="18"/>
    </row>
    <row r="112" spans="6:6">
      <c r="F112" s="18"/>
    </row>
    <row r="113" spans="6:6">
      <c r="F113" s="18"/>
    </row>
    <row r="114" spans="6:6">
      <c r="F114" s="18"/>
    </row>
    <row r="115" spans="6:6">
      <c r="F115" s="18"/>
    </row>
    <row r="116" spans="6:6">
      <c r="F116" s="18"/>
    </row>
    <row r="117" spans="6:6">
      <c r="F117" s="18"/>
    </row>
    <row r="118" spans="6:6">
      <c r="F118" s="18"/>
    </row>
    <row r="119" spans="6:6">
      <c r="F119" s="18"/>
    </row>
    <row r="120" spans="6:6">
      <c r="F120" s="18"/>
    </row>
    <row r="121" spans="6:6">
      <c r="F121" s="18"/>
    </row>
    <row r="122" spans="6:6">
      <c r="F122" s="18"/>
    </row>
    <row r="123" spans="6:6">
      <c r="F123" s="18"/>
    </row>
    <row r="124" spans="6:6">
      <c r="F124" s="18"/>
    </row>
    <row r="125" spans="6:6">
      <c r="F125" s="18"/>
    </row>
    <row r="126" spans="6:6">
      <c r="F126" s="18"/>
    </row>
    <row r="127" spans="6:6">
      <c r="F127" s="18"/>
    </row>
    <row r="128" spans="6:6">
      <c r="F128" s="18"/>
    </row>
    <row r="129" spans="6:6">
      <c r="F129" s="18"/>
    </row>
    <row r="130" spans="6:6">
      <c r="F130" s="18"/>
    </row>
    <row r="131" spans="6:6">
      <c r="F131" s="18"/>
    </row>
    <row r="132" spans="6:6">
      <c r="F132" s="18"/>
    </row>
    <row r="133" spans="6:6">
      <c r="F133" s="18"/>
    </row>
    <row r="134" spans="6:6">
      <c r="F134" s="18"/>
    </row>
    <row r="135" spans="6:6">
      <c r="F135" s="18"/>
    </row>
    <row r="136" spans="6:6">
      <c r="F136" s="18"/>
    </row>
    <row r="137" spans="6:6">
      <c r="F137" s="18"/>
    </row>
    <row r="138" spans="6:6">
      <c r="F138" s="18"/>
    </row>
    <row r="139" spans="6:6">
      <c r="F139" s="18"/>
    </row>
    <row r="140" spans="6:6">
      <c r="F140" s="18"/>
    </row>
    <row r="141" spans="6:6">
      <c r="F141" s="18"/>
    </row>
    <row r="142" spans="6:6">
      <c r="F142" s="18"/>
    </row>
    <row r="143" spans="6:6">
      <c r="F143" s="18"/>
    </row>
    <row r="144" spans="6:6">
      <c r="F144" s="18"/>
    </row>
    <row r="145" spans="6:6">
      <c r="F145" s="18"/>
    </row>
    <row r="146" spans="6:6">
      <c r="F146" s="18"/>
    </row>
    <row r="147" spans="6:6">
      <c r="F147" s="18"/>
    </row>
    <row r="148" spans="6:6">
      <c r="F148" s="18"/>
    </row>
    <row r="149" spans="6:6">
      <c r="F149" s="18"/>
    </row>
    <row r="150" spans="6:6">
      <c r="F150" s="18"/>
    </row>
    <row r="151" spans="6:6">
      <c r="F151" s="18"/>
    </row>
    <row r="152" spans="6:6">
      <c r="F152" s="18"/>
    </row>
    <row r="153" spans="6:6">
      <c r="F153" s="18"/>
    </row>
    <row r="154" spans="6:6">
      <c r="F154" s="18"/>
    </row>
    <row r="155" spans="6:6">
      <c r="F155" s="18"/>
    </row>
    <row r="156" spans="6:6">
      <c r="F156" s="18"/>
    </row>
    <row r="157" spans="6:6">
      <c r="F157" s="18"/>
    </row>
    <row r="158" spans="6:6">
      <c r="F158" s="18"/>
    </row>
    <row r="159" spans="6:6">
      <c r="F159" s="18"/>
    </row>
    <row r="160" spans="6:6">
      <c r="F160" s="18"/>
    </row>
    <row r="161" spans="6:6">
      <c r="F161" s="18"/>
    </row>
    <row r="162" spans="6:6">
      <c r="F162" s="18"/>
    </row>
    <row r="163" spans="6:6">
      <c r="F163" s="18"/>
    </row>
    <row r="164" spans="6:6">
      <c r="F164" s="18"/>
    </row>
    <row r="165" spans="6:6">
      <c r="F165" s="18"/>
    </row>
    <row r="166" spans="6:6">
      <c r="F166" s="18"/>
    </row>
    <row r="167" spans="6:6">
      <c r="F167" s="18"/>
    </row>
    <row r="168" spans="6:6">
      <c r="F168" s="18"/>
    </row>
    <row r="169" spans="6:6">
      <c r="F169" s="18"/>
    </row>
    <row r="170" spans="6:6">
      <c r="F170" s="18"/>
    </row>
    <row r="171" spans="6:6">
      <c r="F171" s="18"/>
    </row>
    <row r="172" spans="6:6">
      <c r="F172" s="18"/>
    </row>
    <row r="173" spans="6:6">
      <c r="F173" s="18"/>
    </row>
    <row r="174" spans="6:6">
      <c r="F174" s="18"/>
    </row>
    <row r="175" spans="6:6">
      <c r="F175" s="18"/>
    </row>
    <row r="176" spans="6:6">
      <c r="F176" s="18"/>
    </row>
    <row r="177" spans="6:6">
      <c r="F177" s="18"/>
    </row>
    <row r="178" spans="6:6">
      <c r="F178" s="18"/>
    </row>
    <row r="179" spans="6:6">
      <c r="F179" s="18"/>
    </row>
    <row r="180" spans="6:6">
      <c r="F180" s="18"/>
    </row>
    <row r="181" spans="6:6">
      <c r="F181" s="18"/>
    </row>
    <row r="182" spans="6:6">
      <c r="F182" s="18"/>
    </row>
    <row r="183" spans="6:6">
      <c r="F183" s="18"/>
    </row>
    <row r="184" spans="6:6">
      <c r="F184" s="18"/>
    </row>
    <row r="185" spans="6:6">
      <c r="F185" s="18"/>
    </row>
    <row r="186" spans="6:6">
      <c r="F186" s="18"/>
    </row>
    <row r="187" spans="6:6">
      <c r="F187" s="18"/>
    </row>
    <row r="188" spans="6:6">
      <c r="F188" s="18"/>
    </row>
    <row r="189" spans="6:6">
      <c r="F189" s="18"/>
    </row>
    <row r="190" spans="6:6">
      <c r="F190" s="18"/>
    </row>
    <row r="191" spans="6:6">
      <c r="F191" s="18"/>
    </row>
    <row r="192" spans="6:6">
      <c r="F192" s="18"/>
    </row>
    <row r="193" spans="6:6">
      <c r="F193" s="18"/>
    </row>
    <row r="194" spans="6:6">
      <c r="F194" s="18"/>
    </row>
    <row r="195" spans="6:6">
      <c r="F195" s="18"/>
    </row>
    <row r="196" spans="6:6">
      <c r="F196" s="18"/>
    </row>
    <row r="197" spans="6:6">
      <c r="F197" s="18"/>
    </row>
    <row r="198" spans="6:6">
      <c r="F198" s="18"/>
    </row>
    <row r="199" spans="6:6">
      <c r="F199" s="18"/>
    </row>
    <row r="200" spans="6:6">
      <c r="F200" s="18"/>
    </row>
    <row r="201" spans="6:6">
      <c r="F201" s="18"/>
    </row>
    <row r="202" spans="6:6">
      <c r="F202" s="18"/>
    </row>
    <row r="203" spans="6:6">
      <c r="F203" s="18"/>
    </row>
    <row r="204" spans="6:6">
      <c r="F204" s="18"/>
    </row>
    <row r="205" spans="6:6">
      <c r="F205" s="18"/>
    </row>
    <row r="206" spans="6:6">
      <c r="F206" s="18"/>
    </row>
    <row r="207" spans="6:6">
      <c r="F207" s="18"/>
    </row>
    <row r="208" spans="6:6">
      <c r="F208" s="18"/>
    </row>
    <row r="209" spans="6:6">
      <c r="F209" s="18"/>
    </row>
    <row r="210" spans="6:6">
      <c r="F210" s="18"/>
    </row>
    <row r="211" spans="6:6">
      <c r="F211" s="18"/>
    </row>
    <row r="212" spans="6:6">
      <c r="F212" s="18"/>
    </row>
    <row r="213" spans="6:6">
      <c r="F213" s="18"/>
    </row>
    <row r="214" spans="6:6">
      <c r="F214" s="18"/>
    </row>
    <row r="215" spans="6:6">
      <c r="F215" s="18"/>
    </row>
    <row r="216" spans="6:6">
      <c r="F216" s="18"/>
    </row>
    <row r="217" spans="6:6">
      <c r="F217" s="18"/>
    </row>
    <row r="218" spans="6:6">
      <c r="F218" s="18"/>
    </row>
    <row r="219" spans="6:6">
      <c r="F219" s="18"/>
    </row>
    <row r="220" spans="6:6">
      <c r="F220" s="18"/>
    </row>
    <row r="221" spans="6:6">
      <c r="F221" s="18"/>
    </row>
    <row r="222" spans="6:6">
      <c r="F222" s="18"/>
    </row>
    <row r="223" spans="6:6">
      <c r="F223" s="18"/>
    </row>
    <row r="224" spans="6:6">
      <c r="F224" s="18"/>
    </row>
    <row r="225" spans="6:6">
      <c r="F225" s="18"/>
    </row>
    <row r="226" spans="6:6">
      <c r="F226" s="18"/>
    </row>
    <row r="227" spans="6:6">
      <c r="F227" s="18"/>
    </row>
    <row r="228" spans="6:6">
      <c r="F228" s="18"/>
    </row>
    <row r="229" spans="6:6">
      <c r="F229" s="18"/>
    </row>
    <row r="230" spans="6:6">
      <c r="F230" s="18"/>
    </row>
    <row r="231" spans="6:6">
      <c r="F231" s="18"/>
    </row>
    <row r="232" spans="6:6">
      <c r="F232" s="18"/>
    </row>
    <row r="233" spans="6:6">
      <c r="F233" s="18"/>
    </row>
    <row r="234" spans="6:6">
      <c r="F234" s="18"/>
    </row>
    <row r="235" spans="6:6">
      <c r="F235" s="18"/>
    </row>
    <row r="236" spans="6:6">
      <c r="F236" s="18"/>
    </row>
    <row r="237" spans="6:6">
      <c r="F237" s="18"/>
    </row>
    <row r="238" spans="6:6">
      <c r="F238" s="18"/>
    </row>
    <row r="239" spans="6:6">
      <c r="F239" s="18"/>
    </row>
    <row r="240" spans="6:6">
      <c r="F240" s="18"/>
    </row>
    <row r="241" spans="6:6">
      <c r="F241" s="18"/>
    </row>
    <row r="242" spans="6:6">
      <c r="F242" s="18"/>
    </row>
    <row r="243" spans="6:6">
      <c r="F243" s="18"/>
    </row>
    <row r="244" spans="6:6">
      <c r="F244" s="18"/>
    </row>
    <row r="245" spans="6:6">
      <c r="F245" s="18"/>
    </row>
    <row r="246" spans="6:6">
      <c r="F246" s="18"/>
    </row>
    <row r="247" spans="6:6">
      <c r="F247" s="18"/>
    </row>
    <row r="248" spans="6:6">
      <c r="F248" s="18"/>
    </row>
    <row r="249" spans="6:6">
      <c r="F249" s="18"/>
    </row>
    <row r="250" spans="6:6">
      <c r="F250" s="18"/>
    </row>
    <row r="251" spans="6:6">
      <c r="F251" s="18"/>
    </row>
    <row r="252" spans="6:6">
      <c r="F252" s="18"/>
    </row>
    <row r="253" spans="6:6">
      <c r="F253" s="18"/>
    </row>
    <row r="254" spans="6:6">
      <c r="F254" s="18"/>
    </row>
    <row r="255" spans="6:6">
      <c r="F255" s="18"/>
    </row>
    <row r="256" spans="6:6">
      <c r="F256" s="18"/>
    </row>
    <row r="257" spans="6:6">
      <c r="F257" s="18"/>
    </row>
  </sheetData>
  <protectedRanges>
    <protectedRange sqref="B6 A1:C1 A2:A37" name="Range1_1"/>
  </protectedRanges>
  <dataConsolidate/>
  <customSheetViews>
    <customSheetView guid="{D354225D-2C82-4417-8BA4-5EFA1D96D332}" topLeftCell="A22">
      <selection activeCell="B48" sqref="B48"/>
      <pageMargins left="0.7" right="0.7" top="0.75" bottom="0.75" header="0.3" footer="0.3"/>
      <pageSetup orientation="portrait" r:id="rId1"/>
    </customSheetView>
    <customSheetView guid="{A8F9189F-30EC-448E-8FA3-1F1B01D22A46}" topLeftCell="A33">
      <selection activeCell="C35" sqref="C35"/>
      <pageMargins left="0.7" right="0.7" top="0.75" bottom="0.75" header="0.3" footer="0.3"/>
      <pageSetup orientation="portrait" r:id="rId2"/>
    </customSheetView>
    <customSheetView guid="{CF42ED2D-1073-4AB2-96F1-563C90B8192E}">
      <selection activeCell="B34" sqref="B34"/>
      <pageMargins left="0.7" right="0.7" top="0.75" bottom="0.75" header="0.3" footer="0.3"/>
      <pageSetup orientation="portrait" r:id="rId3"/>
    </customSheetView>
    <customSheetView guid="{038EA038-5A0E-4BA1-B2F5-E3A3B7AA82FA}" topLeftCell="A4">
      <selection activeCell="H23" sqref="H23"/>
      <pageMargins left="0.7" right="0.7" top="0.75" bottom="0.75" header="0.3" footer="0.3"/>
      <pageSetup orientation="portrait" r:id="rId4"/>
    </customSheetView>
  </customSheetView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
  <sheetViews>
    <sheetView workbookViewId="0">
      <selection activeCell="G2" sqref="G2"/>
    </sheetView>
  </sheetViews>
  <sheetFormatPr defaultRowHeight="15"/>
  <cols>
    <col min="1" max="1" width="9.7109375" style="16" bestFit="1" customWidth="1"/>
    <col min="2" max="2" width="11.5703125" style="16" bestFit="1" customWidth="1"/>
    <col min="3" max="3" width="46.85546875" style="16" customWidth="1"/>
    <col min="4" max="4" width="7.5703125" style="16" bestFit="1" customWidth="1"/>
    <col min="5" max="5" width="8.28515625" style="16" bestFit="1" customWidth="1"/>
    <col min="6" max="6" width="15.7109375" style="16" customWidth="1"/>
    <col min="7" max="7" width="12.42578125" style="16" bestFit="1" customWidth="1"/>
    <col min="8" max="8" width="10.28515625" style="16" bestFit="1" customWidth="1"/>
    <col min="9" max="9" width="13.7109375" style="16" bestFit="1" customWidth="1"/>
    <col min="10" max="16384" width="9.140625" style="16"/>
  </cols>
  <sheetData>
    <row r="1" spans="1:9" ht="15.75" thickBot="1">
      <c r="A1" s="152" t="s">
        <v>12</v>
      </c>
      <c r="B1" s="153" t="s">
        <v>10</v>
      </c>
      <c r="C1" s="154" t="s">
        <v>16</v>
      </c>
      <c r="D1" s="155" t="s">
        <v>17</v>
      </c>
      <c r="E1" s="153" t="s">
        <v>13</v>
      </c>
      <c r="F1" s="153" t="s">
        <v>18</v>
      </c>
      <c r="G1" s="153" t="s">
        <v>19</v>
      </c>
      <c r="H1" s="153" t="s">
        <v>20</v>
      </c>
      <c r="I1" s="156" t="s">
        <v>21</v>
      </c>
    </row>
    <row r="2" spans="1:9" s="18" customFormat="1" ht="12.75" customHeight="1">
      <c r="A2" s="157" t="s">
        <v>58</v>
      </c>
      <c r="B2" s="158" t="s">
        <v>96</v>
      </c>
      <c r="C2" s="159" t="s">
        <v>715</v>
      </c>
      <c r="D2" s="158">
        <v>0</v>
      </c>
      <c r="E2" s="158" t="s">
        <v>22</v>
      </c>
      <c r="F2" s="248" t="s">
        <v>1697</v>
      </c>
      <c r="G2" s="249" t="s">
        <v>1634</v>
      </c>
      <c r="H2" s="158" t="s">
        <v>23</v>
      </c>
      <c r="I2" s="160" t="s">
        <v>223</v>
      </c>
    </row>
    <row r="3" spans="1:9">
      <c r="A3" s="161" t="s">
        <v>58</v>
      </c>
      <c r="B3" s="151" t="s">
        <v>351</v>
      </c>
      <c r="C3" s="241" t="s">
        <v>1563</v>
      </c>
      <c r="D3" s="151">
        <v>0</v>
      </c>
      <c r="E3" s="151" t="s">
        <v>22</v>
      </c>
      <c r="F3" s="151"/>
      <c r="G3" s="151"/>
      <c r="H3" s="151" t="s">
        <v>23</v>
      </c>
      <c r="I3" s="162" t="s">
        <v>223</v>
      </c>
    </row>
  </sheetData>
  <dataConsolidate/>
  <customSheetViews>
    <customSheetView guid="{D354225D-2C82-4417-8BA4-5EFA1D96D332}">
      <selection activeCell="C26" sqref="C26"/>
      <pageMargins left="0.7" right="0.7" top="0.75" bottom="0.75" header="0.3" footer="0.3"/>
      <pageSetup paperSize="157" orientation="portrait" horizontalDpi="203" verticalDpi="203" r:id="rId1"/>
    </customSheetView>
    <customSheetView guid="{A8F9189F-30EC-448E-8FA3-1F1B01D22A46}">
      <selection activeCell="C21" sqref="C21"/>
      <pageMargins left="0.7" right="0.7" top="0.75" bottom="0.75" header="0.3" footer="0.3"/>
      <pageSetup paperSize="157" orientation="portrait" horizontalDpi="203" verticalDpi="203" r:id="rId2"/>
    </customSheetView>
    <customSheetView guid="{CF42ED2D-1073-4AB2-96F1-563C90B8192E}">
      <selection activeCell="E21" sqref="E21"/>
      <pageMargins left="0.7" right="0.7" top="0.75" bottom="0.75" header="0.3" footer="0.3"/>
      <pageSetup paperSize="157" orientation="portrait" horizontalDpi="203" verticalDpi="203" r:id="rId3"/>
    </customSheetView>
    <customSheetView guid="{038EA038-5A0E-4BA1-B2F5-E3A3B7AA82FA}">
      <selection activeCell="C19" sqref="C19"/>
      <pageMargins left="0.7" right="0.7" top="0.75" bottom="0.75" header="0.3" footer="0.3"/>
      <pageSetup paperSize="157" orientation="portrait" horizontalDpi="203" verticalDpi="203" r:id="rId4"/>
    </customSheetView>
  </customSheetViews>
  <hyperlinks>
    <hyperlink ref="C2" r:id="rId5"/>
    <hyperlink ref="C3" r:id="rId6"/>
  </hyperlinks>
  <pageMargins left="0.7" right="0.7" top="0.75" bottom="0.75" header="0.3" footer="0.3"/>
  <pageSetup paperSize="157" orientation="portrait" horizontalDpi="203" verticalDpi="203"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I158"/>
  <sheetViews>
    <sheetView tabSelected="1" topLeftCell="A136" zoomScale="90" zoomScaleNormal="90" workbookViewId="0">
      <pane xSplit="1" topLeftCell="B1" activePane="topRight" state="frozen"/>
      <selection pane="topRight" activeCell="A149" sqref="A149"/>
    </sheetView>
  </sheetViews>
  <sheetFormatPr defaultRowHeight="15"/>
  <cols>
    <col min="1" max="1" width="52.85546875" style="36" customWidth="1"/>
    <col min="2" max="2" width="9.5703125" style="37" customWidth="1"/>
    <col min="3" max="3" width="39.7109375" style="38" customWidth="1"/>
    <col min="4" max="4" width="13.5703125" style="21" customWidth="1"/>
    <col min="5" max="5" width="12.7109375" style="21" customWidth="1"/>
    <col min="6" max="6" width="14.140625" style="39" customWidth="1"/>
    <col min="7" max="7" width="12.7109375" style="39" customWidth="1"/>
    <col min="8" max="8" width="9.85546875" style="21" customWidth="1"/>
    <col min="9" max="9" width="15.5703125" style="21" customWidth="1"/>
    <col min="10" max="10" width="16.28515625" style="21" customWidth="1"/>
    <col min="11" max="11" width="16" style="21" customWidth="1"/>
    <col min="12" max="12" width="12.28515625" style="21" customWidth="1"/>
    <col min="13" max="13" width="18.85546875" style="21" customWidth="1"/>
    <col min="14" max="14" width="10.85546875" style="21" customWidth="1"/>
    <col min="15" max="15" width="15.85546875" style="21" customWidth="1"/>
    <col min="16" max="16" width="28.7109375" style="21" customWidth="1"/>
    <col min="17" max="17" width="17.140625" style="21" customWidth="1"/>
    <col min="18" max="18" width="16" style="21" customWidth="1"/>
    <col min="19" max="19" width="19.42578125" style="21" customWidth="1"/>
    <col min="20" max="20" width="18.7109375" style="21" customWidth="1"/>
    <col min="21" max="21" width="24.85546875" style="21" customWidth="1"/>
    <col min="22" max="22" width="16.5703125" style="21" customWidth="1"/>
    <col min="23" max="23" width="22.7109375" style="21" customWidth="1"/>
    <col min="24" max="24" width="24.28515625" style="21" customWidth="1"/>
    <col min="25" max="25" width="8.7109375" style="21" customWidth="1"/>
    <col min="26" max="26" width="8" style="21" customWidth="1"/>
    <col min="27" max="27" width="13.5703125" style="21" customWidth="1"/>
    <col min="28" max="28" width="39.42578125" style="21" customWidth="1"/>
    <col min="29" max="29" width="36.42578125" style="21" customWidth="1"/>
    <col min="30" max="30" width="42.140625" style="21" customWidth="1"/>
    <col min="31" max="31" width="43.5703125" style="21" customWidth="1"/>
    <col min="32" max="32" width="16.7109375" style="21" customWidth="1"/>
    <col min="33" max="33" width="37.7109375" style="21" customWidth="1"/>
    <col min="34" max="34" width="34.42578125" style="21" customWidth="1"/>
    <col min="35" max="35" width="40.140625" style="21" customWidth="1"/>
    <col min="36" max="36" width="18.140625" style="21" customWidth="1"/>
    <col min="37" max="37" width="21.5703125" style="21" customWidth="1"/>
    <col min="38" max="38" width="12.42578125" style="21" customWidth="1"/>
    <col min="39" max="39" width="12.7109375" style="21" customWidth="1"/>
    <col min="40" max="40" width="10.5703125" style="21" customWidth="1"/>
    <col min="41" max="41" width="7.140625" style="21" customWidth="1"/>
    <col min="42" max="42" width="13.140625" style="21" customWidth="1"/>
    <col min="43" max="43" width="16" style="21" customWidth="1"/>
    <col min="44" max="44" width="11.7109375" style="21" customWidth="1"/>
    <col min="45" max="45" width="11" style="21" customWidth="1"/>
    <col min="46" max="46" width="12.7109375" style="21" customWidth="1"/>
    <col min="47" max="47" width="15.7109375" style="21" customWidth="1"/>
    <col min="48" max="48" width="17.140625" style="21" customWidth="1"/>
    <col min="49" max="49" width="10.140625" style="186" customWidth="1"/>
    <col min="50" max="50" width="5.5703125" style="21" customWidth="1"/>
    <col min="51" max="51" width="9.85546875" style="21" customWidth="1"/>
    <col min="52" max="52" width="15.140625" style="21" customWidth="1"/>
    <col min="53" max="53" width="14.42578125" style="21" customWidth="1"/>
    <col min="54" max="54" width="20.5703125" style="21" customWidth="1"/>
    <col min="55" max="55" width="12.28515625" style="21" customWidth="1"/>
    <col min="56" max="56" width="12.42578125" style="21" customWidth="1"/>
    <col min="57" max="57" width="16.5703125" style="21" customWidth="1"/>
    <col min="58" max="58" width="16.7109375" style="21" customWidth="1"/>
    <col min="59" max="59" width="39.5703125" style="21" customWidth="1"/>
    <col min="60" max="60" width="33.140625" style="21" customWidth="1"/>
    <col min="61" max="61" width="46.42578125" style="21" customWidth="1"/>
    <col min="62" max="62" width="9.5703125" style="21" customWidth="1"/>
    <col min="63" max="63" width="16.5703125" style="21" customWidth="1"/>
    <col min="64" max="64" width="27.85546875" style="21" customWidth="1"/>
    <col min="65" max="65" width="14.42578125" style="21" customWidth="1"/>
    <col min="66" max="66" width="41.42578125" style="21" customWidth="1"/>
    <col min="67" max="67" width="31.42578125" style="21" customWidth="1"/>
    <col min="68" max="68" width="39.5703125" style="21" customWidth="1"/>
    <col min="69" max="69" width="28.42578125" style="21" customWidth="1"/>
    <col min="70" max="70" width="29.42578125" style="21" customWidth="1"/>
    <col min="71" max="71" width="18.7109375" style="21" customWidth="1"/>
    <col min="72" max="72" width="13" style="21" customWidth="1"/>
    <col min="73" max="73" width="28.85546875" style="21" customWidth="1"/>
    <col min="74" max="74" width="14.85546875" style="21" customWidth="1"/>
    <col min="75" max="75" width="19.5703125" style="21" customWidth="1"/>
    <col min="76" max="76" width="22.140625" style="21" customWidth="1"/>
    <col min="77" max="78" width="19.28515625" style="21" customWidth="1"/>
    <col min="79" max="79" width="18" style="21" customWidth="1"/>
    <col min="80" max="80" width="20" style="21" customWidth="1"/>
    <col min="81" max="82" width="30.5703125" style="21" customWidth="1"/>
    <col min="83" max="83" width="19.42578125" style="21" customWidth="1"/>
    <col min="84" max="84" width="17.7109375" style="21" customWidth="1"/>
    <col min="85" max="85" width="23.85546875" style="21" customWidth="1"/>
    <col min="86" max="86" width="20.7109375" style="21" customWidth="1"/>
    <col min="87" max="87" width="27.7109375" style="21" customWidth="1"/>
    <col min="88" max="88" width="22.42578125" style="21" customWidth="1"/>
    <col min="89" max="89" width="21.42578125" style="21" customWidth="1"/>
    <col min="90" max="90" width="23.42578125" style="21" customWidth="1"/>
    <col min="91" max="91" width="15.140625" style="21" customWidth="1"/>
    <col min="92" max="92" width="24.140625" style="21" customWidth="1"/>
    <col min="93" max="93" width="28.42578125" style="21" customWidth="1"/>
    <col min="94" max="94" width="14.28515625" style="21" customWidth="1"/>
    <col min="95" max="95" width="15.28515625" style="21" customWidth="1"/>
    <col min="96" max="96" width="13.42578125" style="21" customWidth="1"/>
    <col min="97" max="97" width="19.85546875" style="21" customWidth="1"/>
    <col min="98" max="98" width="22.7109375" style="21" customWidth="1"/>
    <col min="99" max="99" width="24.42578125" style="21" customWidth="1"/>
    <col min="100" max="100" width="24.140625" style="21" customWidth="1"/>
    <col min="101" max="101" width="23.42578125" style="21" customWidth="1"/>
    <col min="102" max="102" width="24.5703125" style="21" customWidth="1"/>
    <col min="103" max="103" width="25.28515625" style="21" customWidth="1"/>
    <col min="104" max="104" width="30" style="21" customWidth="1"/>
    <col min="105" max="105" width="23.5703125" style="21" customWidth="1"/>
    <col min="106" max="106" width="30.5703125" style="21" customWidth="1"/>
    <col min="107" max="108" width="32.140625" style="21" customWidth="1"/>
    <col min="109" max="109" width="27.42578125" style="21" customWidth="1"/>
    <col min="110" max="110" width="30.140625" style="21" customWidth="1"/>
    <col min="111" max="111" width="33.7109375" style="21" customWidth="1"/>
    <col min="112" max="112" width="20.28515625" style="21" customWidth="1"/>
    <col min="113" max="113" width="16" style="21" customWidth="1"/>
    <col min="114" max="114" width="20.85546875" style="21" customWidth="1"/>
    <col min="115" max="115" width="20.5703125" style="21" customWidth="1"/>
    <col min="116" max="116" width="14.85546875" style="21" customWidth="1"/>
    <col min="117" max="117" width="16.5703125" style="21" customWidth="1"/>
    <col min="118" max="118" width="15.5703125" style="21" customWidth="1"/>
    <col min="119" max="119" width="29.5703125" style="21" customWidth="1"/>
    <col min="120" max="120" width="25.28515625" style="21" customWidth="1"/>
    <col min="121" max="121" width="12.42578125" style="21" customWidth="1"/>
    <col min="122" max="122" width="27.85546875" style="21" customWidth="1"/>
    <col min="123" max="123" width="43.140625" style="21" customWidth="1"/>
    <col min="124" max="124" width="28.42578125" style="21" customWidth="1"/>
    <col min="125" max="125" width="43.85546875" style="21" customWidth="1"/>
    <col min="126" max="126" width="13.42578125" style="21" customWidth="1"/>
    <col min="127" max="127" width="35.28515625" style="21" customWidth="1"/>
    <col min="128" max="128" width="27.42578125" style="21" customWidth="1"/>
    <col min="129" max="129" width="25.7109375" style="21" customWidth="1"/>
    <col min="130" max="130" width="29.42578125" style="21" customWidth="1"/>
    <col min="131" max="131" width="23.7109375" style="21" customWidth="1"/>
    <col min="132" max="132" width="33.140625" style="21" customWidth="1"/>
    <col min="133" max="133" width="28.5703125" style="21" customWidth="1"/>
    <col min="134" max="134" width="10" style="21" customWidth="1"/>
    <col min="135" max="135" width="12.28515625" style="21" customWidth="1"/>
    <col min="136" max="136" width="9.5703125" style="21" customWidth="1"/>
    <col min="137" max="137" width="11.42578125" style="21" customWidth="1"/>
    <col min="138" max="138" width="9.42578125" style="21" customWidth="1"/>
    <col min="139" max="139" width="10" style="21" customWidth="1"/>
    <col min="140" max="140" width="8.85546875" style="21" customWidth="1"/>
    <col min="141" max="141" width="13.5703125" style="21" customWidth="1"/>
    <col min="142" max="142" width="17.7109375" style="21" customWidth="1"/>
    <col min="143" max="143" width="20.5703125" style="21" customWidth="1"/>
    <col min="144" max="144" width="18.5703125" style="21" customWidth="1"/>
    <col min="145" max="145" width="18.85546875" style="21" customWidth="1"/>
    <col min="146" max="146" width="21.5703125" style="21" customWidth="1"/>
    <col min="147" max="147" width="19.5703125" style="21" customWidth="1"/>
    <col min="148" max="148" width="19.28515625" style="21" customWidth="1"/>
    <col min="149" max="149" width="21" style="21" customWidth="1"/>
    <col min="150" max="150" width="21.7109375" style="21" customWidth="1"/>
    <col min="151" max="151" width="12.42578125" style="21" customWidth="1"/>
    <col min="152" max="152" width="13.140625" style="21" customWidth="1"/>
    <col min="153" max="153" width="23.7109375" style="21" customWidth="1"/>
    <col min="154" max="154" width="21.5703125" style="21" customWidth="1"/>
    <col min="155" max="155" width="189.28515625" style="21" customWidth="1"/>
    <col min="156" max="156" width="16.5703125" style="21" customWidth="1"/>
    <col min="157" max="157" width="11.7109375" style="21" customWidth="1"/>
    <col min="158" max="158" width="11.42578125" style="21" customWidth="1"/>
    <col min="159" max="159" width="12.140625" style="21" customWidth="1"/>
    <col min="160" max="160" width="13.140625" style="21" customWidth="1"/>
    <col min="161" max="161" width="13.5703125" style="21" customWidth="1"/>
    <col min="162" max="162" width="17.140625" style="21" customWidth="1"/>
    <col min="163" max="163" width="19.5703125" style="21" customWidth="1"/>
    <col min="164" max="164" width="20.5703125" style="21" customWidth="1"/>
    <col min="165" max="165" width="17.140625" style="21" customWidth="1"/>
    <col min="166" max="167" width="17.7109375" style="21" customWidth="1"/>
    <col min="168" max="168" width="16.42578125" style="21" customWidth="1"/>
    <col min="169" max="169" width="17.42578125" style="21" customWidth="1"/>
    <col min="170" max="170" width="15.7109375" style="21" customWidth="1"/>
    <col min="171" max="171" width="20.28515625" style="21" customWidth="1"/>
    <col min="172" max="172" width="21.7109375" style="21" customWidth="1"/>
    <col min="173" max="173" width="20.140625" style="21" customWidth="1"/>
    <col min="174" max="174" width="19.5703125" style="21" customWidth="1"/>
    <col min="175" max="176" width="17.140625" style="21" customWidth="1"/>
    <col min="177" max="177" width="19.85546875" style="21" customWidth="1"/>
    <col min="178" max="178" width="20.5703125" style="21" customWidth="1"/>
    <col min="179" max="179" width="15.85546875" style="21" customWidth="1"/>
    <col min="180" max="180" width="17.7109375" style="21" customWidth="1"/>
    <col min="181" max="181" width="25.140625" style="21" customWidth="1"/>
    <col min="182" max="182" width="24.140625" style="21" customWidth="1"/>
    <col min="183" max="183" width="25.28515625" style="21" customWidth="1"/>
    <col min="184" max="184" width="21" style="21" customWidth="1"/>
    <col min="185" max="185" width="22.140625" style="21" customWidth="1"/>
    <col min="186" max="186" width="24.42578125" style="21" customWidth="1"/>
    <col min="187" max="187" width="14.5703125" customWidth="1"/>
    <col min="188" max="188" width="23.7109375" style="21" customWidth="1"/>
    <col min="189" max="189" width="17" style="21" customWidth="1"/>
    <col min="190" max="190" width="17.85546875" style="21" customWidth="1"/>
    <col min="191" max="191" width="15.5703125" style="21" customWidth="1"/>
    <col min="192" max="192" width="19.85546875" style="21" customWidth="1"/>
    <col min="193" max="193" width="22.140625" style="21" customWidth="1"/>
    <col min="194" max="194" width="19.42578125" style="21" customWidth="1"/>
    <col min="195" max="195" width="183" style="21" customWidth="1"/>
    <col min="196" max="196" width="20.7109375" style="21" customWidth="1"/>
    <col min="197" max="197" width="17.85546875" style="21" customWidth="1"/>
    <col min="198" max="198" width="18.7109375" style="21" customWidth="1"/>
    <col min="199" max="199" width="20.7109375" style="21" customWidth="1"/>
    <col min="200" max="200" width="25.85546875" style="21" customWidth="1"/>
    <col min="201" max="201" width="20.7109375" style="21" customWidth="1"/>
    <col min="202" max="202" width="9.140625" style="21" customWidth="1"/>
    <col min="203" max="203" width="11.7109375" style="21" customWidth="1"/>
    <col min="204" max="204" width="11.28515625" style="21" customWidth="1"/>
    <col min="205" max="205" width="15.140625" style="21" customWidth="1"/>
    <col min="206" max="206" width="18.7109375" style="21" customWidth="1"/>
    <col min="207" max="207" width="12.7109375" style="21" customWidth="1"/>
    <col min="208" max="208" width="15.140625" style="21" customWidth="1"/>
    <col min="209" max="209" width="20.85546875" style="21" customWidth="1"/>
    <col min="210" max="210" width="18.85546875" style="21" customWidth="1"/>
    <col min="211" max="211" width="29.28515625" style="21" customWidth="1"/>
    <col min="212" max="212" width="213.5703125" style="21" customWidth="1"/>
    <col min="213" max="213" width="30.140625" style="21" customWidth="1"/>
    <col min="214" max="214" width="66.28515625" style="21" customWidth="1"/>
    <col min="215" max="215" width="34.5703125" style="21" customWidth="1"/>
    <col min="216" max="216" width="40.140625" style="21" customWidth="1"/>
    <col min="217" max="217" width="18.85546875" style="21" customWidth="1"/>
    <col min="218" max="218" width="179.85546875" style="21" customWidth="1"/>
    <col min="219" max="219" width="198" style="21" customWidth="1"/>
    <col min="220" max="220" width="168.140625" style="21" customWidth="1"/>
    <col min="221" max="222" width="255.7109375" style="21" customWidth="1"/>
    <col min="223" max="223" width="17.28515625" style="21" customWidth="1"/>
    <col min="224" max="224" width="20.140625" style="21" customWidth="1"/>
    <col min="225" max="225" width="18" style="21" customWidth="1"/>
    <col min="226" max="226" width="28.42578125" style="21" customWidth="1"/>
    <col min="227" max="227" width="20.7109375" style="21" customWidth="1"/>
    <col min="228" max="228" width="23.5703125" style="21" customWidth="1"/>
    <col min="229" max="229" width="21.42578125" style="21" customWidth="1"/>
    <col min="230" max="230" width="15.7109375" style="21" customWidth="1"/>
    <col min="231" max="231" width="15.28515625" style="21" customWidth="1"/>
    <col min="232" max="232" width="25.5703125" style="21" customWidth="1"/>
    <col min="233" max="233" width="23.5703125" style="21" customWidth="1"/>
    <col min="234" max="234" width="23.42578125" style="21" customWidth="1"/>
    <col min="235" max="235" width="28.140625" style="21" customWidth="1"/>
    <col min="236" max="236" width="22" style="21" customWidth="1"/>
    <col min="237" max="237" width="19.28515625" style="21" customWidth="1"/>
    <col min="238" max="238" width="24.28515625" style="21" customWidth="1"/>
    <col min="239" max="239" width="23.85546875" style="21" customWidth="1"/>
    <col min="240" max="240" width="34.140625" style="21" customWidth="1"/>
    <col min="241" max="241" width="33.42578125" style="21" customWidth="1"/>
    <col min="242" max="242" width="255.7109375" style="21" customWidth="1"/>
    <col min="243" max="243" width="23.5703125" style="21" customWidth="1"/>
    <col min="244" max="245" width="255.7109375" style="21" customWidth="1"/>
    <col min="246" max="246" width="38.7109375" style="21" customWidth="1"/>
    <col min="247" max="247" width="15" style="21" customWidth="1"/>
    <col min="248" max="248" width="15.28515625" style="21" customWidth="1"/>
    <col min="249" max="249" width="20.7109375" style="21" customWidth="1"/>
    <col min="250" max="251" width="24.28515625" style="21" customWidth="1"/>
    <col min="252" max="252" width="20.28515625" style="21" customWidth="1"/>
    <col min="253" max="253" width="25" style="21" customWidth="1"/>
    <col min="254" max="254" width="12.140625" style="21" customWidth="1"/>
    <col min="255" max="255" width="17" style="21" customWidth="1"/>
    <col min="256" max="256" width="19.5703125" style="21" customWidth="1"/>
    <col min="257" max="258" width="16.5703125" style="21" customWidth="1"/>
    <col min="259" max="259" width="15.5703125" style="21" customWidth="1"/>
    <col min="260" max="260" width="17.28515625" style="21" customWidth="1"/>
    <col min="261" max="261" width="15.140625" style="21" customWidth="1"/>
    <col min="262" max="262" width="21.28515625" style="21" customWidth="1"/>
    <col min="263" max="263" width="18" style="21" customWidth="1"/>
    <col min="264" max="264" width="25" style="21" customWidth="1"/>
    <col min="265" max="265" width="20" style="21" customWidth="1"/>
    <col min="266" max="266" width="18.85546875" style="21" customWidth="1"/>
    <col min="267" max="267" width="20.7109375" style="21" customWidth="1"/>
    <col min="268" max="268" width="27.7109375" style="21" customWidth="1"/>
    <col min="269" max="269" width="18" style="21" customWidth="1"/>
    <col min="270" max="270" width="20" style="21" customWidth="1"/>
    <col min="271" max="272" width="28.5703125" style="21" customWidth="1"/>
    <col min="273" max="273" width="25" style="21" customWidth="1"/>
    <col min="274" max="274" width="25.7109375" style="21" customWidth="1"/>
    <col min="275" max="275" width="11.5703125" style="21" customWidth="1"/>
    <col min="276" max="276" width="18.7109375" style="21" customWidth="1"/>
    <col min="277" max="277" width="10.85546875" style="21" customWidth="1"/>
    <col min="278" max="278" width="17.140625" style="21" customWidth="1"/>
    <col min="279" max="279" width="20.140625" style="21" customWidth="1"/>
    <col min="280" max="280" width="21.7109375" style="21" customWidth="1"/>
    <col min="281" max="281" width="21.42578125" style="21" customWidth="1"/>
    <col min="282" max="282" width="20.7109375" style="21" customWidth="1"/>
    <col min="283" max="283" width="22" style="21" customWidth="1"/>
    <col min="284" max="284" width="22.7109375" style="21" customWidth="1"/>
    <col min="285" max="285" width="20.28515625" style="21" customWidth="1"/>
    <col min="286" max="286" width="26.28515625" style="21" customWidth="1"/>
    <col min="287" max="287" width="11" style="21" customWidth="1"/>
    <col min="288" max="288" width="8.5703125" style="21" customWidth="1"/>
    <col min="289" max="289" width="41.42578125" style="21" customWidth="1"/>
    <col min="290" max="290" width="12.140625" style="21" customWidth="1"/>
    <col min="291" max="291" width="10.140625" style="21" customWidth="1"/>
    <col min="292" max="292" width="19.5703125" style="21" customWidth="1"/>
    <col min="293" max="293" width="14.42578125" style="21" customWidth="1"/>
    <col min="294" max="294" width="17.42578125" style="21" customWidth="1"/>
    <col min="295" max="296" width="17.140625" style="21" customWidth="1"/>
    <col min="297" max="297" width="19.85546875" style="21" customWidth="1"/>
    <col min="298" max="298" width="18.85546875" style="21" customWidth="1"/>
    <col min="299" max="299" width="14.5703125" style="21" customWidth="1"/>
    <col min="300" max="300" width="11.5703125" style="21" customWidth="1"/>
    <col min="301" max="301" width="19.140625" style="21" customWidth="1"/>
    <col min="302" max="302" width="28.42578125" style="21" customWidth="1"/>
    <col min="303" max="303" width="47.140625" style="21" customWidth="1"/>
    <col min="304" max="304" width="13" style="21" customWidth="1"/>
    <col min="305" max="305" width="16.28515625" style="21" customWidth="1"/>
    <col min="306" max="306" width="15.85546875" style="21" customWidth="1"/>
    <col min="307" max="307" width="21.28515625" style="21" customWidth="1"/>
    <col min="308" max="308" width="12.28515625" style="21" customWidth="1"/>
    <col min="309" max="309" width="17.42578125" style="21" customWidth="1"/>
    <col min="310" max="310" width="24.5703125" style="21" customWidth="1"/>
    <col min="311" max="311" width="21.5703125" style="21" customWidth="1"/>
    <col min="312" max="312" width="24.42578125" style="21" customWidth="1"/>
    <col min="313" max="313" width="15.5703125" style="21" customWidth="1"/>
    <col min="314" max="314" width="31.42578125" style="21" customWidth="1"/>
    <col min="315" max="315" width="13.42578125" style="21" customWidth="1"/>
    <col min="316" max="318" width="9.28515625" style="21" customWidth="1"/>
    <col min="319" max="319" width="20.28515625" style="21" customWidth="1"/>
    <col min="320" max="320" width="15.140625" style="21" customWidth="1"/>
    <col min="321" max="321" width="15" style="21" customWidth="1"/>
    <col min="322" max="322" width="19.42578125" style="21" customWidth="1"/>
    <col min="323" max="323" width="18.85546875" style="21" customWidth="1"/>
    <col min="324" max="324" width="19.85546875" style="21" customWidth="1"/>
    <col min="325" max="325" width="13.5703125" style="21" customWidth="1"/>
    <col min="326" max="326" width="4.28515625" style="21" customWidth="1"/>
    <col min="327" max="327" width="15" style="21" customWidth="1"/>
    <col min="328" max="328" width="44.85546875" style="21" customWidth="1"/>
    <col min="329" max="329" width="6.42578125" style="21" customWidth="1"/>
    <col min="330" max="330" width="12.85546875" style="21" customWidth="1"/>
    <col min="331" max="331" width="24.42578125" style="21" customWidth="1"/>
    <col min="332" max="332" width="32.85546875" style="21" customWidth="1"/>
    <col min="333" max="333" width="7.85546875" style="21" customWidth="1"/>
    <col min="334" max="334" width="16.42578125" style="21" customWidth="1"/>
    <col min="335" max="335" width="9.28515625" style="21" customWidth="1"/>
    <col min="336" max="336" width="42.42578125" style="21" customWidth="1"/>
    <col min="337" max="337" width="12.7109375" style="21" customWidth="1"/>
    <col min="338" max="338" width="23.85546875" style="21" customWidth="1"/>
    <col min="339" max="339" width="25.140625" style="21" customWidth="1"/>
    <col min="340" max="340" width="27.140625" style="21" customWidth="1"/>
    <col min="341" max="341" width="14.85546875" style="21" customWidth="1"/>
    <col min="342" max="342" width="13.140625" style="21" customWidth="1"/>
    <col min="343" max="343" width="22.42578125" style="21" customWidth="1"/>
    <col min="344" max="345" width="24.85546875" style="21" customWidth="1"/>
    <col min="346" max="346" width="23.7109375" style="21" customWidth="1"/>
    <col min="347" max="347" width="27" style="21" customWidth="1"/>
    <col min="348" max="348" width="26.7109375" style="21" customWidth="1"/>
    <col min="349" max="349" width="30.5703125" style="21" customWidth="1"/>
    <col min="350" max="350" width="24.42578125" style="21" customWidth="1"/>
    <col min="351" max="351" width="25.140625" style="21" customWidth="1"/>
    <col min="352" max="352" width="22.28515625" style="21" customWidth="1"/>
    <col min="353" max="353" width="23.140625" style="21" customWidth="1"/>
    <col min="354" max="354" width="29.85546875" style="21" customWidth="1"/>
    <col min="355" max="355" width="30.5703125" style="21" customWidth="1"/>
    <col min="356" max="356" width="27.85546875" style="21" customWidth="1"/>
    <col min="357" max="357" width="28.5703125" style="21" customWidth="1"/>
    <col min="358" max="358" width="32.7109375" style="21" customWidth="1"/>
    <col min="359" max="359" width="28.7109375" style="21" customWidth="1"/>
    <col min="360" max="360" width="27.140625" style="21" customWidth="1"/>
    <col min="361" max="361" width="31.42578125" style="21" customWidth="1"/>
    <col min="362" max="362" width="30.7109375" style="21" customWidth="1"/>
    <col min="363" max="363" width="26.5703125" style="21" customWidth="1"/>
    <col min="364" max="364" width="25.28515625" style="21" customWidth="1"/>
    <col min="365" max="365" width="28.5703125" style="21" customWidth="1"/>
    <col min="366" max="366" width="26.42578125" style="21" customWidth="1"/>
    <col min="367" max="367" width="25.85546875" style="21" customWidth="1"/>
    <col min="368" max="368" width="26.7109375" style="21" customWidth="1"/>
    <col min="369" max="369" width="28.42578125" style="21" customWidth="1"/>
    <col min="370" max="370" width="26.5703125" style="21" customWidth="1"/>
    <col min="371" max="371" width="24.5703125" style="21" customWidth="1"/>
    <col min="372" max="372" width="16.28515625" style="21" customWidth="1"/>
    <col min="373" max="373" width="13.140625" style="21" customWidth="1"/>
    <col min="374" max="374" width="25" style="21" customWidth="1"/>
    <col min="375" max="375" width="28.42578125" style="21" customWidth="1"/>
    <col min="376" max="376" width="30" style="21" customWidth="1"/>
    <col min="377" max="377" width="29.5703125" style="21" customWidth="1"/>
    <col min="378" max="378" width="29.85546875" style="21" customWidth="1"/>
    <col min="379" max="379" width="24.140625" style="21" customWidth="1"/>
    <col min="380" max="380" width="17" style="21" customWidth="1"/>
    <col min="381" max="381" width="14.85546875" style="21" customWidth="1"/>
    <col min="382" max="382" width="13" style="21" customWidth="1"/>
    <col min="383" max="383" width="12.28515625" style="21" customWidth="1"/>
    <col min="384" max="384" width="14.7109375" style="21" customWidth="1"/>
    <col min="385" max="385" width="52.140625" style="21" customWidth="1"/>
    <col min="386" max="386" width="11.5703125" style="21" customWidth="1"/>
    <col min="387" max="387" width="53.7109375" style="21" customWidth="1"/>
    <col min="388" max="388" width="45.5703125" style="21" customWidth="1"/>
    <col min="389" max="389" width="30" style="21" customWidth="1"/>
    <col min="390" max="390" width="12.85546875" style="21" customWidth="1"/>
    <col min="391" max="391" width="12.42578125" style="21" customWidth="1"/>
    <col min="392" max="392" width="12.140625" style="21" customWidth="1"/>
    <col min="393" max="393" width="8.85546875" style="21" customWidth="1"/>
    <col min="394" max="394" width="16" style="21" customWidth="1"/>
    <col min="395" max="395" width="25.28515625" style="21" customWidth="1"/>
    <col min="396" max="396" width="5.7109375" style="21" customWidth="1"/>
    <col min="397" max="16384" width="9.140625" style="21"/>
  </cols>
  <sheetData>
    <row r="1" spans="1:396" s="60" customFormat="1">
      <c r="A1" s="36"/>
      <c r="B1" s="60" t="s">
        <v>1574</v>
      </c>
      <c r="C1" s="38"/>
      <c r="F1" s="61"/>
      <c r="G1" s="61"/>
      <c r="AW1" s="185"/>
      <c r="HD1" s="21"/>
    </row>
    <row r="2" spans="1:396" s="60" customFormat="1">
      <c r="A2" s="36"/>
      <c r="B2" s="62"/>
      <c r="C2" s="38"/>
      <c r="F2" s="61"/>
      <c r="G2" s="61"/>
      <c r="AW2" s="185"/>
      <c r="HD2" s="21"/>
    </row>
    <row r="3" spans="1:396" s="60" customFormat="1">
      <c r="A3" s="56" t="s">
        <v>9</v>
      </c>
      <c r="B3" s="63" t="s">
        <v>4</v>
      </c>
      <c r="C3" s="64" t="s">
        <v>51</v>
      </c>
      <c r="D3" s="63" t="s">
        <v>5</v>
      </c>
      <c r="E3" s="63" t="s">
        <v>6</v>
      </c>
      <c r="F3" s="65" t="s">
        <v>7</v>
      </c>
      <c r="G3" s="65" t="s">
        <v>8</v>
      </c>
      <c r="H3" s="66" t="s">
        <v>38</v>
      </c>
      <c r="I3" s="67" t="s">
        <v>39</v>
      </c>
      <c r="J3" s="67" t="s">
        <v>42</v>
      </c>
      <c r="K3" s="67" t="s">
        <v>43</v>
      </c>
      <c r="L3" s="67" t="s">
        <v>54</v>
      </c>
      <c r="M3" s="68" t="s">
        <v>171</v>
      </c>
      <c r="N3" s="67" t="s">
        <v>359</v>
      </c>
      <c r="O3" s="67" t="s">
        <v>160</v>
      </c>
      <c r="P3" s="67" t="s">
        <v>725</v>
      </c>
      <c r="Q3" s="67" t="s">
        <v>381</v>
      </c>
      <c r="R3" s="67" t="s">
        <v>382</v>
      </c>
      <c r="S3" s="67" t="s">
        <v>383</v>
      </c>
      <c r="T3" s="67" t="s">
        <v>384</v>
      </c>
      <c r="U3" s="67" t="s">
        <v>385</v>
      </c>
      <c r="V3" s="67" t="s">
        <v>386</v>
      </c>
      <c r="W3" s="67" t="s">
        <v>387</v>
      </c>
      <c r="X3" s="67" t="s">
        <v>388</v>
      </c>
      <c r="Y3" s="67" t="s">
        <v>270</v>
      </c>
      <c r="Z3" s="67" t="s">
        <v>271</v>
      </c>
      <c r="AA3" s="67" t="s">
        <v>272</v>
      </c>
      <c r="AB3" s="68" t="s">
        <v>294</v>
      </c>
      <c r="AC3" s="68" t="s">
        <v>295</v>
      </c>
      <c r="AD3" s="68" t="s">
        <v>296</v>
      </c>
      <c r="AE3" s="68" t="s">
        <v>297</v>
      </c>
      <c r="AF3" s="67" t="s">
        <v>276</v>
      </c>
      <c r="AG3" s="68" t="s">
        <v>298</v>
      </c>
      <c r="AH3" s="68" t="s">
        <v>299</v>
      </c>
      <c r="AI3" s="68" t="s">
        <v>300</v>
      </c>
      <c r="AJ3" s="67" t="s">
        <v>280</v>
      </c>
      <c r="AK3" s="67" t="s">
        <v>281</v>
      </c>
      <c r="AL3" s="67" t="s">
        <v>282</v>
      </c>
      <c r="AM3" s="67" t="s">
        <v>283</v>
      </c>
      <c r="AN3" s="67" t="s">
        <v>284</v>
      </c>
      <c r="AO3" s="67" t="s">
        <v>0</v>
      </c>
      <c r="AP3" s="67" t="s">
        <v>288</v>
      </c>
      <c r="AQ3" s="67" t="s">
        <v>286</v>
      </c>
      <c r="AR3" s="67" t="s">
        <v>196</v>
      </c>
      <c r="AS3" s="67" t="s">
        <v>931</v>
      </c>
      <c r="AT3" s="67" t="s">
        <v>932</v>
      </c>
      <c r="AU3" s="67" t="s">
        <v>287</v>
      </c>
      <c r="AV3" s="67" t="s">
        <v>285</v>
      </c>
      <c r="AW3" s="187" t="s">
        <v>195</v>
      </c>
      <c r="AX3" s="67" t="s">
        <v>289</v>
      </c>
      <c r="AY3" s="67" t="s">
        <v>290</v>
      </c>
      <c r="AZ3" s="67" t="s">
        <v>391</v>
      </c>
      <c r="BA3" s="67" t="s">
        <v>197</v>
      </c>
      <c r="BB3" s="67" t="s">
        <v>392</v>
      </c>
      <c r="BC3" s="67" t="s">
        <v>393</v>
      </c>
      <c r="BD3" s="67" t="s">
        <v>405</v>
      </c>
      <c r="BE3" s="67" t="s">
        <v>406</v>
      </c>
      <c r="BF3" s="67" t="s">
        <v>499</v>
      </c>
      <c r="BG3" s="67" t="s">
        <v>505</v>
      </c>
      <c r="BH3" s="67" t="s">
        <v>506</v>
      </c>
      <c r="BI3" s="67" t="s">
        <v>507</v>
      </c>
      <c r="BJ3" s="67" t="s">
        <v>508</v>
      </c>
      <c r="BK3" s="67" t="s">
        <v>522</v>
      </c>
      <c r="BL3" s="67" t="s">
        <v>540</v>
      </c>
      <c r="BM3" s="67" t="s">
        <v>541</v>
      </c>
      <c r="BN3" s="67" t="s">
        <v>542</v>
      </c>
      <c r="BO3" s="67" t="s">
        <v>543</v>
      </c>
      <c r="BP3" s="67" t="s">
        <v>556</v>
      </c>
      <c r="BQ3" s="68" t="s">
        <v>559</v>
      </c>
      <c r="BR3" s="68" t="s">
        <v>560</v>
      </c>
      <c r="BS3" s="67" t="s">
        <v>708</v>
      </c>
      <c r="BT3" s="67" t="s">
        <v>554</v>
      </c>
      <c r="BU3" s="67" t="s">
        <v>688</v>
      </c>
      <c r="BV3" s="68" t="s">
        <v>676</v>
      </c>
      <c r="BW3" s="68" t="s">
        <v>621</v>
      </c>
      <c r="BX3" s="68" t="s">
        <v>622</v>
      </c>
      <c r="BY3" s="68" t="s">
        <v>623</v>
      </c>
      <c r="BZ3" s="68" t="s">
        <v>624</v>
      </c>
      <c r="CA3" s="68" t="s">
        <v>625</v>
      </c>
      <c r="CB3" s="68" t="s">
        <v>626</v>
      </c>
      <c r="CC3" s="68" t="s">
        <v>627</v>
      </c>
      <c r="CD3" s="68" t="s">
        <v>628</v>
      </c>
      <c r="CE3" s="68" t="s">
        <v>629</v>
      </c>
      <c r="CF3" s="68" t="s">
        <v>630</v>
      </c>
      <c r="CG3" s="68" t="s">
        <v>631</v>
      </c>
      <c r="CH3" s="68" t="s">
        <v>632</v>
      </c>
      <c r="CI3" s="68" t="s">
        <v>633</v>
      </c>
      <c r="CJ3" s="68" t="s">
        <v>634</v>
      </c>
      <c r="CK3" s="68" t="s">
        <v>635</v>
      </c>
      <c r="CL3" s="68" t="s">
        <v>636</v>
      </c>
      <c r="CM3" s="68" t="s">
        <v>637</v>
      </c>
      <c r="CN3" s="68" t="s">
        <v>638</v>
      </c>
      <c r="CO3" s="68" t="s">
        <v>639</v>
      </c>
      <c r="CP3" s="68" t="s">
        <v>640</v>
      </c>
      <c r="CQ3" s="68" t="s">
        <v>641</v>
      </c>
      <c r="CR3" s="68" t="s">
        <v>642</v>
      </c>
      <c r="CS3" s="68" t="s">
        <v>643</v>
      </c>
      <c r="CT3" s="68" t="s">
        <v>644</v>
      </c>
      <c r="CU3" s="68" t="s">
        <v>645</v>
      </c>
      <c r="CV3" s="68" t="s">
        <v>646</v>
      </c>
      <c r="CW3" s="68" t="s">
        <v>647</v>
      </c>
      <c r="CX3" s="68" t="s">
        <v>648</v>
      </c>
      <c r="CY3" s="68" t="s">
        <v>649</v>
      </c>
      <c r="CZ3" s="68" t="s">
        <v>650</v>
      </c>
      <c r="DA3" s="68" t="s">
        <v>651</v>
      </c>
      <c r="DB3" s="68" t="s">
        <v>652</v>
      </c>
      <c r="DC3" s="68" t="s">
        <v>653</v>
      </c>
      <c r="DD3" s="68" t="s">
        <v>654</v>
      </c>
      <c r="DE3" s="68" t="s">
        <v>655</v>
      </c>
      <c r="DF3" s="68" t="s">
        <v>656</v>
      </c>
      <c r="DG3" s="68" t="s">
        <v>657</v>
      </c>
      <c r="DH3" s="68" t="s">
        <v>697</v>
      </c>
      <c r="DI3" s="68" t="s">
        <v>694</v>
      </c>
      <c r="DJ3" s="68" t="s">
        <v>658</v>
      </c>
      <c r="DK3" s="68" t="s">
        <v>659</v>
      </c>
      <c r="DL3" s="68" t="s">
        <v>660</v>
      </c>
      <c r="DM3" s="68" t="s">
        <v>661</v>
      </c>
      <c r="DN3" s="68" t="s">
        <v>662</v>
      </c>
      <c r="DO3" s="68" t="s">
        <v>663</v>
      </c>
      <c r="DP3" s="68" t="s">
        <v>664</v>
      </c>
      <c r="DQ3" s="67" t="s">
        <v>619</v>
      </c>
      <c r="DR3" s="68" t="s">
        <v>665</v>
      </c>
      <c r="DS3" s="67" t="s">
        <v>679</v>
      </c>
      <c r="DT3" s="67" t="s">
        <v>680</v>
      </c>
      <c r="DU3" s="67" t="s">
        <v>682</v>
      </c>
      <c r="DV3" s="67" t="s">
        <v>747</v>
      </c>
      <c r="DW3" s="67" t="s">
        <v>754</v>
      </c>
      <c r="DX3" s="68" t="s">
        <v>765</v>
      </c>
      <c r="DY3" s="68" t="s">
        <v>766</v>
      </c>
      <c r="DZ3" s="68" t="s">
        <v>767</v>
      </c>
      <c r="EA3" s="68" t="s">
        <v>768</v>
      </c>
      <c r="EB3" s="68" t="s">
        <v>769</v>
      </c>
      <c r="EC3" s="68" t="s">
        <v>770</v>
      </c>
      <c r="ED3" s="67" t="s">
        <v>1000</v>
      </c>
      <c r="EE3" s="67" t="s">
        <v>954</v>
      </c>
      <c r="EF3" s="67" t="s">
        <v>1009</v>
      </c>
      <c r="EG3" s="67" t="s">
        <v>957</v>
      </c>
      <c r="EH3" s="67" t="s">
        <v>958</v>
      </c>
      <c r="EI3" s="67" t="s">
        <v>959</v>
      </c>
      <c r="EJ3" s="67" t="s">
        <v>18</v>
      </c>
      <c r="EK3" s="67" t="s">
        <v>19</v>
      </c>
      <c r="EL3" s="68" t="s">
        <v>1066</v>
      </c>
      <c r="EM3" s="68" t="s">
        <v>1067</v>
      </c>
      <c r="EN3" s="68" t="s">
        <v>1068</v>
      </c>
      <c r="EO3" s="68" t="s">
        <v>1069</v>
      </c>
      <c r="EP3" s="68" t="s">
        <v>1070</v>
      </c>
      <c r="EQ3" s="68" t="s">
        <v>1071</v>
      </c>
      <c r="ER3" s="68" t="s">
        <v>1072</v>
      </c>
      <c r="ES3" s="68" t="s">
        <v>1073</v>
      </c>
      <c r="ET3" s="68" t="s">
        <v>1074</v>
      </c>
      <c r="EU3" s="68" t="s">
        <v>1075</v>
      </c>
      <c r="EV3" s="68" t="s">
        <v>1076</v>
      </c>
      <c r="EW3" s="68" t="s">
        <v>1077</v>
      </c>
      <c r="EX3" s="183" t="s">
        <v>1078</v>
      </c>
      <c r="EY3" s="66" t="s">
        <v>955</v>
      </c>
      <c r="EZ3" s="67" t="s">
        <v>956</v>
      </c>
      <c r="FA3" s="67" t="s">
        <v>1126</v>
      </c>
      <c r="FB3" s="69" t="s">
        <v>1127</v>
      </c>
      <c r="FC3" s="66" t="s">
        <v>953</v>
      </c>
      <c r="FD3" s="67" t="s">
        <v>1211</v>
      </c>
      <c r="FE3" s="68" t="s">
        <v>1238</v>
      </c>
      <c r="FF3" s="68" t="s">
        <v>1239</v>
      </c>
      <c r="FG3" s="68" t="s">
        <v>1240</v>
      </c>
      <c r="FH3" s="68" t="s">
        <v>1241</v>
      </c>
      <c r="FI3" s="68" t="s">
        <v>1242</v>
      </c>
      <c r="FJ3" s="68" t="s">
        <v>1243</v>
      </c>
      <c r="FK3" s="68" t="s">
        <v>1244</v>
      </c>
      <c r="FL3" s="68" t="s">
        <v>1245</v>
      </c>
      <c r="FM3" s="68" t="s">
        <v>1246</v>
      </c>
      <c r="FN3" s="68" t="s">
        <v>1247</v>
      </c>
      <c r="FO3" s="68" t="s">
        <v>1248</v>
      </c>
      <c r="FP3" s="68" t="s">
        <v>1249</v>
      </c>
      <c r="FQ3" s="68" t="s">
        <v>1250</v>
      </c>
      <c r="FR3" s="68" t="s">
        <v>1251</v>
      </c>
      <c r="FS3" s="68" t="s">
        <v>1252</v>
      </c>
      <c r="FT3" s="68" t="s">
        <v>1253</v>
      </c>
      <c r="FU3" s="68" t="s">
        <v>1254</v>
      </c>
      <c r="FV3" s="68" t="s">
        <v>1255</v>
      </c>
      <c r="FW3" s="68" t="s">
        <v>1256</v>
      </c>
      <c r="FX3" s="68" t="s">
        <v>1257</v>
      </c>
      <c r="FY3" s="68" t="s">
        <v>1258</v>
      </c>
      <c r="FZ3" s="68" t="s">
        <v>1259</v>
      </c>
      <c r="GA3" s="68" t="s">
        <v>1260</v>
      </c>
      <c r="GB3" s="68" t="s">
        <v>1261</v>
      </c>
      <c r="GC3" s="68" t="s">
        <v>1262</v>
      </c>
      <c r="GD3" s="183" t="s">
        <v>1263</v>
      </c>
      <c r="GE3" s="184" t="s">
        <v>1210</v>
      </c>
      <c r="GF3" s="182" t="s">
        <v>425</v>
      </c>
      <c r="GG3" s="68" t="s">
        <v>426</v>
      </c>
      <c r="GH3" s="68" t="s">
        <v>427</v>
      </c>
      <c r="GI3" s="68" t="s">
        <v>428</v>
      </c>
      <c r="GJ3" s="68" t="s">
        <v>429</v>
      </c>
      <c r="GK3" s="68" t="s">
        <v>430</v>
      </c>
      <c r="GL3" s="68" t="s">
        <v>431</v>
      </c>
      <c r="GM3" s="68" t="s">
        <v>432</v>
      </c>
      <c r="GN3" s="68" t="s">
        <v>433</v>
      </c>
      <c r="GO3" s="68" t="s">
        <v>434</v>
      </c>
      <c r="GP3" s="68" t="s">
        <v>435</v>
      </c>
      <c r="GQ3" s="68" t="s">
        <v>731</v>
      </c>
      <c r="GR3" s="183" t="s">
        <v>732</v>
      </c>
      <c r="GS3" s="184" t="s">
        <v>302</v>
      </c>
      <c r="GT3" s="66" t="s">
        <v>846</v>
      </c>
      <c r="GU3" s="67" t="s">
        <v>847</v>
      </c>
      <c r="GV3" s="67" t="s">
        <v>848</v>
      </c>
      <c r="GW3" s="67" t="s">
        <v>849</v>
      </c>
      <c r="GX3" s="67" t="s">
        <v>202</v>
      </c>
      <c r="GY3" s="67" t="s">
        <v>1050</v>
      </c>
      <c r="GZ3" s="69" t="s">
        <v>1049</v>
      </c>
      <c r="HA3" s="66" t="s">
        <v>101</v>
      </c>
      <c r="HB3" s="67" t="s">
        <v>102</v>
      </c>
      <c r="HC3" s="67" t="s">
        <v>122</v>
      </c>
      <c r="HD3" s="91" t="s">
        <v>123</v>
      </c>
      <c r="HE3" s="68" t="s">
        <v>193</v>
      </c>
      <c r="HF3" s="67" t="s">
        <v>118</v>
      </c>
      <c r="HG3" s="67" t="s">
        <v>112</v>
      </c>
      <c r="HH3" s="67" t="s">
        <v>113</v>
      </c>
      <c r="HI3" s="67" t="s">
        <v>114</v>
      </c>
      <c r="HJ3" s="67" t="s">
        <v>115</v>
      </c>
      <c r="HK3" s="67" t="s">
        <v>116</v>
      </c>
      <c r="HL3" s="67" t="s">
        <v>117</v>
      </c>
      <c r="HM3" s="67" t="s">
        <v>358</v>
      </c>
      <c r="HN3" s="67" t="s">
        <v>813</v>
      </c>
      <c r="HO3" s="68" t="s">
        <v>409</v>
      </c>
      <c r="HP3" s="68" t="s">
        <v>410</v>
      </c>
      <c r="HQ3" s="68" t="s">
        <v>411</v>
      </c>
      <c r="HR3" s="68" t="s">
        <v>423</v>
      </c>
      <c r="HS3" s="68" t="s">
        <v>412</v>
      </c>
      <c r="HT3" s="68" t="s">
        <v>413</v>
      </c>
      <c r="HU3" s="68" t="s">
        <v>414</v>
      </c>
      <c r="HV3" s="68" t="s">
        <v>415</v>
      </c>
      <c r="HW3" s="67" t="s">
        <v>455</v>
      </c>
      <c r="HX3" s="68" t="s">
        <v>416</v>
      </c>
      <c r="HY3" s="68" t="s">
        <v>417</v>
      </c>
      <c r="HZ3" s="68" t="s">
        <v>418</v>
      </c>
      <c r="IA3" s="68" t="s">
        <v>419</v>
      </c>
      <c r="IB3" s="68" t="s">
        <v>420</v>
      </c>
      <c r="IC3" s="68" t="s">
        <v>421</v>
      </c>
      <c r="ID3" s="68" t="s">
        <v>722</v>
      </c>
      <c r="IE3" s="183" t="s">
        <v>422</v>
      </c>
      <c r="IF3" s="66" t="s">
        <v>97</v>
      </c>
      <c r="IG3" s="68" t="s">
        <v>106</v>
      </c>
      <c r="IH3" s="67" t="s">
        <v>104</v>
      </c>
      <c r="II3" s="68" t="s">
        <v>107</v>
      </c>
      <c r="IJ3" s="68" t="s">
        <v>108</v>
      </c>
      <c r="IK3" s="68" t="s">
        <v>109</v>
      </c>
      <c r="IL3" s="68" t="s">
        <v>161</v>
      </c>
      <c r="IM3" s="67" t="s">
        <v>364</v>
      </c>
      <c r="IN3" s="67" t="s">
        <v>121</v>
      </c>
      <c r="IO3" s="69" t="s">
        <v>717</v>
      </c>
      <c r="IP3" s="66" t="s">
        <v>719</v>
      </c>
      <c r="IQ3" s="67" t="s">
        <v>127</v>
      </c>
      <c r="IR3" s="67" t="s">
        <v>126</v>
      </c>
      <c r="IS3" s="67" t="s">
        <v>125</v>
      </c>
      <c r="IT3" s="68" t="s">
        <v>162</v>
      </c>
      <c r="IU3" s="68" t="s">
        <v>163</v>
      </c>
      <c r="IV3" s="163" t="s">
        <v>1114</v>
      </c>
      <c r="IW3" s="68" t="s">
        <v>164</v>
      </c>
      <c r="IX3" s="68" t="s">
        <v>165</v>
      </c>
      <c r="IY3" s="68" t="s">
        <v>166</v>
      </c>
      <c r="IZ3" s="68" t="s">
        <v>167</v>
      </c>
      <c r="JA3" s="68" t="s">
        <v>169</v>
      </c>
      <c r="JB3" s="68" t="s">
        <v>170</v>
      </c>
      <c r="JC3" s="68" t="s">
        <v>172</v>
      </c>
      <c r="JD3" s="68" t="s">
        <v>875</v>
      </c>
      <c r="JE3" s="68" t="s">
        <v>173</v>
      </c>
      <c r="JF3" s="68" t="s">
        <v>174</v>
      </c>
      <c r="JG3" s="183" t="s">
        <v>175</v>
      </c>
      <c r="JH3" s="182" t="s">
        <v>168</v>
      </c>
      <c r="JI3" s="68" t="s">
        <v>176</v>
      </c>
      <c r="JJ3" s="68" t="s">
        <v>177</v>
      </c>
      <c r="JK3" s="68" t="s">
        <v>178</v>
      </c>
      <c r="JL3" s="68" t="s">
        <v>179</v>
      </c>
      <c r="JM3" s="68" t="s">
        <v>180</v>
      </c>
      <c r="JN3" s="68" t="s">
        <v>181</v>
      </c>
      <c r="JO3" s="183" t="s">
        <v>182</v>
      </c>
      <c r="JP3" s="182" t="s">
        <v>424</v>
      </c>
      <c r="JQ3" s="68" t="s">
        <v>183</v>
      </c>
      <c r="JR3" s="68" t="s">
        <v>184</v>
      </c>
      <c r="JS3" s="68" t="s">
        <v>185</v>
      </c>
      <c r="JT3" s="68" t="s">
        <v>186</v>
      </c>
      <c r="JU3" s="68" t="s">
        <v>187</v>
      </c>
      <c r="JV3" s="68" t="s">
        <v>188</v>
      </c>
      <c r="JW3" s="68" t="s">
        <v>407</v>
      </c>
      <c r="JX3" s="68" t="s">
        <v>408</v>
      </c>
      <c r="JY3" s="68" t="s">
        <v>189</v>
      </c>
      <c r="JZ3" s="68" t="s">
        <v>190</v>
      </c>
      <c r="KA3" s="69" t="s">
        <v>350</v>
      </c>
      <c r="KB3" s="66" t="s">
        <v>681</v>
      </c>
      <c r="KC3" s="68" t="s">
        <v>191</v>
      </c>
      <c r="KD3" s="67" t="s">
        <v>1119</v>
      </c>
      <c r="KE3" s="67" t="s">
        <v>1120</v>
      </c>
      <c r="KF3" s="67" t="s">
        <v>1506</v>
      </c>
      <c r="KG3" s="67" t="s">
        <v>1507</v>
      </c>
      <c r="KH3" s="67" t="s">
        <v>1508</v>
      </c>
      <c r="KI3" s="67" t="s">
        <v>55</v>
      </c>
      <c r="KJ3" s="67" t="s">
        <v>56</v>
      </c>
      <c r="KK3" s="69" t="s">
        <v>57</v>
      </c>
      <c r="KL3" s="184" t="s">
        <v>1452</v>
      </c>
      <c r="KM3" s="66" t="s">
        <v>1411</v>
      </c>
      <c r="KN3" s="67" t="s">
        <v>1412</v>
      </c>
      <c r="KO3" s="67" t="s">
        <v>1463</v>
      </c>
      <c r="KP3" s="69" t="s">
        <v>1464</v>
      </c>
      <c r="KQ3" s="66" t="s">
        <v>16</v>
      </c>
      <c r="KR3" s="67" t="s">
        <v>1469</v>
      </c>
      <c r="KS3" s="67" t="s">
        <v>1468</v>
      </c>
      <c r="KT3" s="67" t="s">
        <v>1478</v>
      </c>
      <c r="KU3" s="67" t="s">
        <v>1479</v>
      </c>
      <c r="KV3" s="67" t="s">
        <v>1470</v>
      </c>
      <c r="KW3" s="67" t="s">
        <v>1480</v>
      </c>
      <c r="KX3" s="67" t="s">
        <v>1434</v>
      </c>
      <c r="KY3" s="67" t="s">
        <v>1435</v>
      </c>
      <c r="KZ3" s="67" t="s">
        <v>1443</v>
      </c>
      <c r="LA3" s="67" t="s">
        <v>1483</v>
      </c>
      <c r="LB3" s="67" t="s">
        <v>1482</v>
      </c>
      <c r="LC3" s="67" t="s">
        <v>1519</v>
      </c>
      <c r="LD3" s="67" t="s">
        <v>1521</v>
      </c>
      <c r="LE3" s="67" t="s">
        <v>1522</v>
      </c>
      <c r="LF3" s="67" t="s">
        <v>1523</v>
      </c>
      <c r="LG3" s="67" t="s">
        <v>1526</v>
      </c>
      <c r="LH3" s="67" t="s">
        <v>1527</v>
      </c>
      <c r="LI3" s="67" t="s">
        <v>1536</v>
      </c>
      <c r="LJ3" s="69" t="s">
        <v>1487</v>
      </c>
      <c r="LK3" s="66" t="s">
        <v>1452</v>
      </c>
      <c r="LL3" s="67" t="s">
        <v>1457</v>
      </c>
      <c r="LM3" s="67" t="s">
        <v>1458</v>
      </c>
      <c r="LN3" s="67" t="s">
        <v>1459</v>
      </c>
      <c r="LO3" s="69" t="s">
        <v>1460</v>
      </c>
      <c r="LP3" s="66" t="s">
        <v>199</v>
      </c>
      <c r="LQ3" s="67" t="s">
        <v>1461</v>
      </c>
      <c r="LR3" s="69" t="s">
        <v>1462</v>
      </c>
      <c r="LS3" s="66" t="s">
        <v>362</v>
      </c>
      <c r="LT3" s="67" t="s">
        <v>363</v>
      </c>
      <c r="LU3" s="69" t="s">
        <v>1581</v>
      </c>
      <c r="LV3" s="66" t="s">
        <v>389</v>
      </c>
      <c r="LW3" s="67" t="s">
        <v>390</v>
      </c>
      <c r="LX3" s="67" t="s">
        <v>1657</v>
      </c>
      <c r="LY3" s="67" t="s">
        <v>1668</v>
      </c>
      <c r="LZ3" s="67" t="s">
        <v>1669</v>
      </c>
      <c r="MA3" s="69" t="s">
        <v>1670</v>
      </c>
      <c r="MB3" s="184" t="s">
        <v>1418</v>
      </c>
      <c r="MC3" s="66" t="s">
        <v>500</v>
      </c>
      <c r="MD3" s="69" t="s">
        <v>1671</v>
      </c>
      <c r="ME3" s="66" t="s">
        <v>1419</v>
      </c>
      <c r="MF3" s="67" t="s">
        <v>1420</v>
      </c>
      <c r="MG3" s="67" t="s">
        <v>1421</v>
      </c>
      <c r="MH3" s="69" t="s">
        <v>1423</v>
      </c>
      <c r="MI3" s="66" t="s">
        <v>1422</v>
      </c>
      <c r="MJ3" s="67" t="s">
        <v>1424</v>
      </c>
      <c r="MK3" s="67" t="s">
        <v>1425</v>
      </c>
      <c r="ML3" s="69" t="s">
        <v>1427</v>
      </c>
      <c r="MM3" s="66" t="s">
        <v>1426</v>
      </c>
      <c r="MN3" s="67" t="s">
        <v>1428</v>
      </c>
      <c r="MO3" s="67" t="s">
        <v>1429</v>
      </c>
      <c r="MP3" s="67" t="s">
        <v>1672</v>
      </c>
      <c r="MQ3" s="67" t="s">
        <v>1673</v>
      </c>
      <c r="MR3" s="67" t="s">
        <v>1674</v>
      </c>
      <c r="MS3" s="67" t="s">
        <v>1675</v>
      </c>
      <c r="MT3" s="67" t="s">
        <v>1676</v>
      </c>
      <c r="MU3" s="67" t="s">
        <v>1677</v>
      </c>
      <c r="MV3" s="69" t="s">
        <v>1678</v>
      </c>
      <c r="MW3" s="184" t="s">
        <v>1442</v>
      </c>
      <c r="MX3" s="66" t="s">
        <v>1430</v>
      </c>
      <c r="MY3" s="67" t="s">
        <v>1444</v>
      </c>
      <c r="MZ3" s="67" t="s">
        <v>1445</v>
      </c>
      <c r="NA3" s="67" t="s">
        <v>1446</v>
      </c>
      <c r="NB3" s="67" t="s">
        <v>1447</v>
      </c>
      <c r="NC3" s="69" t="s">
        <v>1448</v>
      </c>
      <c r="ND3" s="66" t="s">
        <v>1431</v>
      </c>
      <c r="NE3" s="67" t="s">
        <v>1432</v>
      </c>
      <c r="NF3" s="67" t="s">
        <v>1433</v>
      </c>
      <c r="NG3" s="67" t="s">
        <v>1679</v>
      </c>
      <c r="NH3" s="68" t="s">
        <v>1683</v>
      </c>
      <c r="NI3" s="183" t="s">
        <v>1684</v>
      </c>
      <c r="NJ3" s="66" t="s">
        <v>1436</v>
      </c>
      <c r="NK3" s="67" t="s">
        <v>1437</v>
      </c>
      <c r="NL3" s="67" t="s">
        <v>1438</v>
      </c>
      <c r="NM3" s="67" t="s">
        <v>1439</v>
      </c>
      <c r="NN3" s="67" t="s">
        <v>1440</v>
      </c>
      <c r="NO3" s="67" t="s">
        <v>1441</v>
      </c>
      <c r="NP3" s="69" t="s">
        <v>1682</v>
      </c>
      <c r="NQ3" s="184" t="s">
        <v>1456</v>
      </c>
      <c r="NR3" s="69" t="s">
        <v>1694</v>
      </c>
      <c r="NS3" s="66" t="s">
        <v>1102</v>
      </c>
      <c r="NT3" s="69" t="s">
        <v>1103</v>
      </c>
      <c r="NU3" s="66" t="s">
        <v>46</v>
      </c>
      <c r="NV3" s="168" t="s">
        <v>47</v>
      </c>
      <c r="NW3" s="67" t="s">
        <v>48</v>
      </c>
      <c r="NX3" s="69" t="s">
        <v>49</v>
      </c>
      <c r="NY3" s="69" t="s">
        <v>1609</v>
      </c>
      <c r="NZ3" s="66" t="s">
        <v>198</v>
      </c>
      <c r="OA3" s="66" t="s">
        <v>12</v>
      </c>
      <c r="OB3" s="67" t="s">
        <v>10</v>
      </c>
      <c r="OC3" s="67" t="s">
        <v>13</v>
      </c>
      <c r="OD3" s="183" t="s">
        <v>301</v>
      </c>
      <c r="OE3" s="67" t="s">
        <v>1477</v>
      </c>
      <c r="OF3" s="67" t="s">
        <v>63</v>
      </c>
    </row>
    <row r="4" spans="1:396" ht="30">
      <c r="B4" s="54">
        <v>1</v>
      </c>
      <c r="C4" s="43" t="s">
        <v>436</v>
      </c>
      <c r="E4" s="22"/>
      <c r="F4" s="23"/>
      <c r="G4" s="23"/>
      <c r="AW4" s="21"/>
      <c r="KB4" s="113" t="s">
        <v>489</v>
      </c>
      <c r="KI4" s="28">
        <v>41689.761157407411</v>
      </c>
      <c r="KJ4" s="28">
        <v>41689.767557870371</v>
      </c>
      <c r="KK4" s="21" t="s">
        <v>677</v>
      </c>
      <c r="LS4" s="22" t="s">
        <v>527</v>
      </c>
      <c r="LT4" s="22" t="s">
        <v>517</v>
      </c>
      <c r="OA4" s="21" t="s">
        <v>58</v>
      </c>
      <c r="OB4" s="22" t="s">
        <v>96</v>
      </c>
      <c r="OC4" s="22" t="s">
        <v>22</v>
      </c>
      <c r="OD4" s="114" t="s">
        <v>489</v>
      </c>
    </row>
    <row r="5" spans="1:396" s="72" customFormat="1">
      <c r="A5" s="56"/>
      <c r="B5" s="70">
        <v>1</v>
      </c>
      <c r="C5" s="71" t="s">
        <v>204</v>
      </c>
      <c r="E5" s="73"/>
      <c r="F5" s="233"/>
      <c r="G5" s="224"/>
      <c r="BM5" s="74"/>
      <c r="BN5" s="74"/>
      <c r="BO5" s="74"/>
      <c r="KI5" s="75">
        <v>42074.521956018521</v>
      </c>
      <c r="KJ5" s="75">
        <v>42074.522233796299</v>
      </c>
      <c r="KK5" s="72" t="s">
        <v>1409</v>
      </c>
      <c r="NU5" s="76" t="s">
        <v>310</v>
      </c>
      <c r="NV5" s="72">
        <v>1</v>
      </c>
      <c r="NW5" s="76" t="s">
        <v>159</v>
      </c>
      <c r="NX5" s="73" t="s">
        <v>198</v>
      </c>
      <c r="NZ5" s="72" t="s">
        <v>1314</v>
      </c>
      <c r="OA5" s="72" t="s">
        <v>58</v>
      </c>
      <c r="OB5" s="72" t="s">
        <v>96</v>
      </c>
      <c r="OC5" s="72" t="s">
        <v>22</v>
      </c>
      <c r="OD5" s="114" t="s">
        <v>489</v>
      </c>
    </row>
    <row r="6" spans="1:396">
      <c r="A6" s="56"/>
      <c r="B6" s="54">
        <v>1</v>
      </c>
      <c r="C6" s="43" t="s">
        <v>205</v>
      </c>
      <c r="E6" s="22"/>
      <c r="F6" s="23"/>
      <c r="G6" s="23"/>
      <c r="AO6" s="35" t="s">
        <v>292</v>
      </c>
      <c r="AW6" s="21"/>
      <c r="KI6" s="28">
        <v>42046.723993055559</v>
      </c>
      <c r="KJ6" s="28">
        <v>42046.727083333331</v>
      </c>
      <c r="KK6" s="21" t="s">
        <v>1343</v>
      </c>
      <c r="NU6" s="77" t="s">
        <v>310</v>
      </c>
      <c r="NV6" s="21">
        <v>1</v>
      </c>
      <c r="NW6" s="77" t="s">
        <v>159</v>
      </c>
      <c r="NX6" s="22" t="s">
        <v>198</v>
      </c>
      <c r="NZ6" s="21" t="s">
        <v>1314</v>
      </c>
      <c r="OA6" s="18" t="s">
        <v>58</v>
      </c>
      <c r="OB6" s="18" t="s">
        <v>96</v>
      </c>
      <c r="OC6" s="72" t="s">
        <v>22</v>
      </c>
      <c r="OD6" s="114" t="s">
        <v>489</v>
      </c>
    </row>
    <row r="7" spans="1:396">
      <c r="B7" s="54">
        <v>1</v>
      </c>
      <c r="C7" s="43" t="s">
        <v>206</v>
      </c>
      <c r="F7" s="23"/>
      <c r="G7" s="23"/>
      <c r="AO7" s="35" t="s">
        <v>293</v>
      </c>
      <c r="AW7" s="21"/>
      <c r="KI7" s="28">
        <v>42046.727106481485</v>
      </c>
      <c r="KJ7" s="28">
        <v>42046.728738425925</v>
      </c>
      <c r="KK7" s="21" t="s">
        <v>1344</v>
      </c>
      <c r="NU7" s="77" t="s">
        <v>310</v>
      </c>
      <c r="NV7" s="21">
        <v>2</v>
      </c>
      <c r="NW7" s="77" t="s">
        <v>159</v>
      </c>
      <c r="NX7" s="22" t="s">
        <v>198</v>
      </c>
      <c r="NZ7" s="21" t="s">
        <v>1317</v>
      </c>
      <c r="OA7" s="44" t="s">
        <v>58</v>
      </c>
      <c r="OB7" s="44" t="s">
        <v>96</v>
      </c>
      <c r="OC7" s="44" t="s">
        <v>22</v>
      </c>
      <c r="OD7" s="114" t="s">
        <v>489</v>
      </c>
    </row>
    <row r="8" spans="1:396">
      <c r="B8" s="54">
        <v>1</v>
      </c>
      <c r="C8" s="43" t="s">
        <v>207</v>
      </c>
      <c r="D8" s="114"/>
      <c r="E8" s="22"/>
      <c r="F8" s="23"/>
      <c r="G8" s="23"/>
      <c r="AW8" s="21"/>
      <c r="KB8" s="113" t="s">
        <v>489</v>
      </c>
      <c r="KI8" s="28">
        <v>42046.728773148148</v>
      </c>
      <c r="KJ8" s="28">
        <v>42046.730578703704</v>
      </c>
      <c r="KK8" s="21" t="s">
        <v>1345</v>
      </c>
      <c r="NU8" s="49" t="s">
        <v>310</v>
      </c>
      <c r="NV8" s="21">
        <v>3</v>
      </c>
      <c r="NW8" s="77" t="s">
        <v>159</v>
      </c>
      <c r="NX8" s="22" t="s">
        <v>198</v>
      </c>
      <c r="NZ8" s="21" t="s">
        <v>1320</v>
      </c>
      <c r="OA8" s="21" t="s">
        <v>58</v>
      </c>
      <c r="OB8" s="21" t="s">
        <v>96</v>
      </c>
      <c r="OC8" s="21" t="s">
        <v>22</v>
      </c>
      <c r="OD8" s="114" t="s">
        <v>489</v>
      </c>
    </row>
    <row r="9" spans="1:396">
      <c r="B9" s="54">
        <v>1</v>
      </c>
      <c r="C9" s="43" t="s">
        <v>208</v>
      </c>
      <c r="E9" s="114"/>
      <c r="F9" s="23"/>
      <c r="G9" s="23"/>
      <c r="AW9" s="21"/>
      <c r="GT9" s="114" t="s">
        <v>1169</v>
      </c>
      <c r="GU9" s="170" t="s">
        <v>1170</v>
      </c>
      <c r="GV9" s="170" t="s">
        <v>1170</v>
      </c>
      <c r="GW9" s="22" t="s">
        <v>850</v>
      </c>
      <c r="KB9" s="113" t="s">
        <v>489</v>
      </c>
      <c r="KI9" s="28">
        <v>42046.73060185185</v>
      </c>
      <c r="KJ9" s="28">
        <v>42046.733773148146</v>
      </c>
      <c r="KK9" s="21" t="s">
        <v>1346</v>
      </c>
      <c r="NU9" s="49" t="s">
        <v>310</v>
      </c>
      <c r="NV9" s="21">
        <v>3</v>
      </c>
      <c r="NW9" s="60" t="s">
        <v>159</v>
      </c>
      <c r="NX9" s="22" t="s">
        <v>198</v>
      </c>
      <c r="NZ9" s="21" t="s">
        <v>1320</v>
      </c>
      <c r="OA9" s="21" t="s">
        <v>58</v>
      </c>
      <c r="OB9" s="21" t="s">
        <v>96</v>
      </c>
      <c r="OC9" s="21" t="s">
        <v>22</v>
      </c>
      <c r="OD9" s="114" t="s">
        <v>489</v>
      </c>
    </row>
    <row r="10" spans="1:396">
      <c r="B10" s="54">
        <v>1</v>
      </c>
      <c r="C10" s="43" t="s">
        <v>211</v>
      </c>
      <c r="E10" s="114"/>
      <c r="F10" s="23"/>
      <c r="G10" s="23"/>
      <c r="AW10" s="21"/>
      <c r="GU10" s="169"/>
      <c r="GV10" s="169"/>
      <c r="KB10" s="113" t="s">
        <v>489</v>
      </c>
      <c r="KI10" s="28">
        <v>42046.733831018515</v>
      </c>
      <c r="KJ10" s="28">
        <v>42046.736250000002</v>
      </c>
      <c r="KK10" s="21" t="s">
        <v>1308</v>
      </c>
      <c r="LP10" s="22" t="s">
        <v>1186</v>
      </c>
      <c r="NS10" s="78" t="s">
        <v>1192</v>
      </c>
      <c r="NT10" s="78" t="s">
        <v>1193</v>
      </c>
      <c r="NU10" s="49" t="s">
        <v>310</v>
      </c>
      <c r="NV10" s="21">
        <v>4</v>
      </c>
      <c r="NW10" s="21" t="s">
        <v>159</v>
      </c>
      <c r="NX10" s="21" t="s">
        <v>198</v>
      </c>
      <c r="NZ10" s="21" t="s">
        <v>1322</v>
      </c>
      <c r="OA10" s="21" t="s">
        <v>58</v>
      </c>
      <c r="OB10" s="21" t="s">
        <v>96</v>
      </c>
      <c r="OC10" s="21" t="s">
        <v>22</v>
      </c>
      <c r="OD10" s="114" t="s">
        <v>489</v>
      </c>
    </row>
    <row r="11" spans="1:396">
      <c r="B11" s="54">
        <v>1</v>
      </c>
      <c r="C11" s="43" t="s">
        <v>212</v>
      </c>
      <c r="F11" s="23"/>
      <c r="G11" s="23"/>
      <c r="AW11" s="21"/>
      <c r="GU11" s="169"/>
      <c r="GV11" s="169"/>
      <c r="KD11" s="21" t="s">
        <v>477</v>
      </c>
      <c r="KE11" s="21">
        <v>123456</v>
      </c>
      <c r="KI11" s="28">
        <v>42046.744375000002</v>
      </c>
      <c r="KJ11" s="28">
        <v>42046.745439814818</v>
      </c>
      <c r="KK11" s="21" t="s">
        <v>1349</v>
      </c>
      <c r="LP11" s="114" t="s">
        <v>1159</v>
      </c>
      <c r="NU11" s="49" t="s">
        <v>803</v>
      </c>
      <c r="NV11" s="21">
        <v>1</v>
      </c>
      <c r="NW11" s="21" t="s">
        <v>159</v>
      </c>
      <c r="NX11" s="21" t="s">
        <v>198</v>
      </c>
      <c r="NZ11" s="21" t="s">
        <v>1122</v>
      </c>
      <c r="OA11" s="21" t="s">
        <v>58</v>
      </c>
      <c r="OB11" s="21" t="s">
        <v>96</v>
      </c>
      <c r="OC11" s="21" t="s">
        <v>22</v>
      </c>
      <c r="OD11" s="114" t="s">
        <v>489</v>
      </c>
    </row>
    <row r="12" spans="1:396">
      <c r="B12" s="54">
        <v>1</v>
      </c>
      <c r="C12" s="43" t="s">
        <v>213</v>
      </c>
      <c r="F12" s="23"/>
      <c r="G12" s="23"/>
      <c r="AW12" s="21"/>
      <c r="GS12" s="21" t="s">
        <v>463</v>
      </c>
      <c r="GU12" s="169"/>
      <c r="GV12" s="169"/>
      <c r="GX12" s="21" t="s">
        <v>463</v>
      </c>
      <c r="KB12" s="113" t="s">
        <v>489</v>
      </c>
      <c r="KI12" s="28">
        <v>42046.736284722225</v>
      </c>
      <c r="KJ12" s="28">
        <v>42046.741203703707</v>
      </c>
      <c r="KK12" s="21" t="s">
        <v>1347</v>
      </c>
      <c r="LP12" s="22" t="s">
        <v>1186</v>
      </c>
      <c r="NU12" s="114" t="s">
        <v>310</v>
      </c>
      <c r="NV12" s="21">
        <v>10</v>
      </c>
      <c r="NW12" s="21" t="s">
        <v>159</v>
      </c>
      <c r="NX12" s="21" t="s">
        <v>198</v>
      </c>
      <c r="NZ12" s="21" t="s">
        <v>1334</v>
      </c>
      <c r="OA12" s="21" t="s">
        <v>58</v>
      </c>
      <c r="OB12" s="21" t="s">
        <v>96</v>
      </c>
      <c r="OC12" s="21" t="s">
        <v>22</v>
      </c>
      <c r="OD12" s="114" t="s">
        <v>489</v>
      </c>
    </row>
    <row r="13" spans="1:396">
      <c r="B13" s="54">
        <v>1</v>
      </c>
      <c r="C13" s="43" t="s">
        <v>214</v>
      </c>
      <c r="E13" s="114"/>
      <c r="F13" s="23"/>
      <c r="G13" s="23"/>
      <c r="AW13" s="21"/>
      <c r="GS13" s="21" t="s">
        <v>463</v>
      </c>
      <c r="GU13" s="169"/>
      <c r="GV13" s="169"/>
      <c r="GX13" s="21" t="s">
        <v>463</v>
      </c>
      <c r="KI13" s="28">
        <v>42046.741226851853</v>
      </c>
      <c r="KJ13" s="28">
        <v>42046.744351851848</v>
      </c>
      <c r="KK13" s="21" t="s">
        <v>1348</v>
      </c>
      <c r="LP13" s="22" t="s">
        <v>1186</v>
      </c>
      <c r="NU13" s="77" t="s">
        <v>310</v>
      </c>
      <c r="NV13" s="21">
        <v>4</v>
      </c>
      <c r="NW13" s="21" t="s">
        <v>159</v>
      </c>
      <c r="NX13" s="21" t="s">
        <v>198</v>
      </c>
      <c r="NZ13" s="21" t="s">
        <v>1322</v>
      </c>
      <c r="OA13" s="21" t="s">
        <v>58</v>
      </c>
      <c r="OB13" s="21" t="s">
        <v>96</v>
      </c>
      <c r="OC13" s="21" t="s">
        <v>22</v>
      </c>
      <c r="OD13" s="114" t="s">
        <v>489</v>
      </c>
    </row>
    <row r="14" spans="1:396">
      <c r="B14" s="54">
        <v>1</v>
      </c>
      <c r="C14" s="43" t="s">
        <v>215</v>
      </c>
      <c r="E14" s="22"/>
      <c r="F14" s="23"/>
      <c r="G14" s="23"/>
      <c r="AW14" s="21"/>
      <c r="GS14" s="21" t="s">
        <v>463</v>
      </c>
      <c r="GU14" s="169"/>
      <c r="GV14" s="169"/>
      <c r="GX14" s="22" t="s">
        <v>194</v>
      </c>
      <c r="KI14" s="28">
        <v>41776.824930555558</v>
      </c>
      <c r="KJ14" s="28">
        <v>41776.826053240744</v>
      </c>
      <c r="KK14" s="21" t="s">
        <v>1142</v>
      </c>
      <c r="LP14" s="22" t="s">
        <v>1106</v>
      </c>
      <c r="NU14" s="55" t="s">
        <v>310</v>
      </c>
      <c r="NV14" s="21">
        <v>5</v>
      </c>
      <c r="NW14" s="21" t="s">
        <v>159</v>
      </c>
      <c r="NX14" s="21" t="s">
        <v>198</v>
      </c>
      <c r="OA14" s="21" t="s">
        <v>58</v>
      </c>
      <c r="OB14" s="21" t="s">
        <v>96</v>
      </c>
      <c r="OC14" s="21" t="s">
        <v>22</v>
      </c>
      <c r="OD14" s="114" t="s">
        <v>489</v>
      </c>
    </row>
    <row r="15" spans="1:396">
      <c r="B15" s="54">
        <v>1</v>
      </c>
      <c r="C15" s="43" t="s">
        <v>216</v>
      </c>
      <c r="E15" s="114"/>
      <c r="F15" s="23"/>
      <c r="G15" s="23"/>
      <c r="AP15" s="22" t="s">
        <v>1161</v>
      </c>
      <c r="AQ15" s="78">
        <v>42063</v>
      </c>
      <c r="AV15" s="22" t="s">
        <v>1160</v>
      </c>
      <c r="AW15" s="30" t="s">
        <v>1171</v>
      </c>
      <c r="GU15" s="169"/>
      <c r="GV15" s="169"/>
      <c r="KB15" s="113" t="s">
        <v>489</v>
      </c>
      <c r="KI15" s="28">
        <v>42046.749780092592</v>
      </c>
      <c r="KJ15" s="28">
        <v>42046.751921296294</v>
      </c>
      <c r="KK15" s="21" t="s">
        <v>1307</v>
      </c>
      <c r="LP15" s="22" t="s">
        <v>1186</v>
      </c>
      <c r="NU15" s="150" t="s">
        <v>214</v>
      </c>
      <c r="NV15" s="38">
        <v>1</v>
      </c>
      <c r="NW15" s="38" t="s">
        <v>1112</v>
      </c>
      <c r="NX15" s="38" t="s">
        <v>1112</v>
      </c>
      <c r="NZ15" s="22" t="s">
        <v>1322</v>
      </c>
      <c r="OA15" s="21" t="s">
        <v>58</v>
      </c>
      <c r="OB15" s="21" t="s">
        <v>96</v>
      </c>
      <c r="OC15" s="21" t="s">
        <v>22</v>
      </c>
      <c r="OD15" s="114" t="s">
        <v>489</v>
      </c>
    </row>
    <row r="16" spans="1:396">
      <c r="B16" s="54">
        <v>1</v>
      </c>
      <c r="C16" s="43" t="s">
        <v>217</v>
      </c>
      <c r="E16" s="114"/>
      <c r="F16" s="23"/>
      <c r="G16" s="23"/>
      <c r="Y16" s="21" t="s">
        <v>94</v>
      </c>
      <c r="AQ16" s="28">
        <v>42046.311805555553</v>
      </c>
      <c r="AR16" s="21" t="s">
        <v>79</v>
      </c>
      <c r="AS16" s="47">
        <v>1000</v>
      </c>
      <c r="AT16" s="21">
        <v>979.14</v>
      </c>
      <c r="AW16" s="21"/>
      <c r="GU16" s="169"/>
      <c r="GV16" s="169"/>
      <c r="KB16" s="113" t="s">
        <v>489</v>
      </c>
      <c r="KI16" s="28">
        <v>42046.751944444448</v>
      </c>
      <c r="KJ16" s="28">
        <v>42046.753252314818</v>
      </c>
      <c r="KK16" s="21" t="s">
        <v>1350</v>
      </c>
      <c r="LP16" s="22" t="s">
        <v>1186</v>
      </c>
      <c r="NU16" s="21" t="s">
        <v>218</v>
      </c>
      <c r="NV16" s="21">
        <v>1</v>
      </c>
      <c r="NW16" s="21" t="s">
        <v>1112</v>
      </c>
      <c r="NX16" s="21" t="s">
        <v>1112</v>
      </c>
      <c r="NZ16" s="21" t="s">
        <v>1325</v>
      </c>
      <c r="OA16" s="21" t="s">
        <v>58</v>
      </c>
      <c r="OB16" s="21" t="s">
        <v>96</v>
      </c>
      <c r="OC16" s="21" t="s">
        <v>22</v>
      </c>
      <c r="OD16" s="114" t="s">
        <v>489</v>
      </c>
    </row>
    <row r="17" spans="1:394">
      <c r="B17" s="54">
        <v>1</v>
      </c>
      <c r="C17" s="43" t="s">
        <v>218</v>
      </c>
      <c r="F17" s="23"/>
      <c r="G17" s="23"/>
      <c r="AW17" s="21"/>
      <c r="GS17" s="21" t="s">
        <v>463</v>
      </c>
      <c r="GU17" s="169"/>
      <c r="GV17" s="169"/>
      <c r="GX17" s="21" t="s">
        <v>463</v>
      </c>
      <c r="KI17" s="28">
        <v>42046.745462962965</v>
      </c>
      <c r="KJ17" s="28">
        <v>42046.749745370369</v>
      </c>
      <c r="KK17" s="21" t="s">
        <v>1306</v>
      </c>
      <c r="LP17" s="22" t="s">
        <v>1186</v>
      </c>
      <c r="NU17" s="55" t="s">
        <v>310</v>
      </c>
      <c r="NV17" s="21">
        <v>6</v>
      </c>
      <c r="NW17" s="22" t="s">
        <v>159</v>
      </c>
      <c r="NX17" s="22" t="s">
        <v>198</v>
      </c>
      <c r="NZ17" s="21" t="s">
        <v>1325</v>
      </c>
      <c r="OA17" s="21" t="s">
        <v>58</v>
      </c>
      <c r="OB17" s="21" t="s">
        <v>96</v>
      </c>
      <c r="OC17" s="21" t="s">
        <v>22</v>
      </c>
      <c r="OD17" s="114" t="s">
        <v>489</v>
      </c>
    </row>
    <row r="18" spans="1:394">
      <c r="B18" s="54">
        <v>1</v>
      </c>
      <c r="C18" s="43" t="s">
        <v>219</v>
      </c>
      <c r="D18" s="113"/>
      <c r="E18" s="114"/>
      <c r="F18" s="23"/>
      <c r="G18" s="23"/>
      <c r="AW18" s="21"/>
      <c r="GS18" s="22" t="s">
        <v>463</v>
      </c>
      <c r="GU18" s="169"/>
      <c r="GV18" s="169"/>
      <c r="GX18" s="114" t="s">
        <v>1107</v>
      </c>
      <c r="KI18" s="28">
        <v>41776.830324074072</v>
      </c>
      <c r="KJ18" s="28">
        <v>41776.83222222222</v>
      </c>
      <c r="KK18" s="21" t="s">
        <v>1143</v>
      </c>
      <c r="LP18" s="22" t="s">
        <v>1106</v>
      </c>
      <c r="NU18" s="55" t="s">
        <v>310</v>
      </c>
      <c r="NV18" s="21">
        <v>7</v>
      </c>
      <c r="NW18" s="21" t="s">
        <v>159</v>
      </c>
      <c r="NX18" s="21" t="s">
        <v>198</v>
      </c>
      <c r="OA18" s="21" t="s">
        <v>58</v>
      </c>
      <c r="OB18" s="21" t="s">
        <v>96</v>
      </c>
      <c r="OC18" s="21" t="s">
        <v>22</v>
      </c>
      <c r="OD18" s="114" t="s">
        <v>489</v>
      </c>
    </row>
    <row r="19" spans="1:394">
      <c r="B19" s="54">
        <v>1</v>
      </c>
      <c r="C19" s="43" t="s">
        <v>220</v>
      </c>
      <c r="F19" s="23"/>
      <c r="G19" s="23"/>
      <c r="AW19" s="21"/>
      <c r="GS19" s="21" t="s">
        <v>463</v>
      </c>
      <c r="GU19" s="169"/>
      <c r="GV19" s="169"/>
      <c r="GX19" s="21" t="s">
        <v>463</v>
      </c>
      <c r="KI19" s="28">
        <v>42046.753263888888</v>
      </c>
      <c r="KJ19" s="28">
        <v>42046.758206018516</v>
      </c>
      <c r="KK19" s="21" t="s">
        <v>1351</v>
      </c>
      <c r="LP19" s="22" t="s">
        <v>1186</v>
      </c>
      <c r="NU19" s="55" t="s">
        <v>310</v>
      </c>
      <c r="NV19" s="21">
        <v>8</v>
      </c>
      <c r="NW19" s="21" t="s">
        <v>159</v>
      </c>
      <c r="NX19" s="21" t="s">
        <v>198</v>
      </c>
      <c r="NZ19" s="21" t="s">
        <v>1329</v>
      </c>
      <c r="OA19" s="21" t="s">
        <v>58</v>
      </c>
      <c r="OB19" s="21" t="s">
        <v>96</v>
      </c>
      <c r="OC19" s="21" t="s">
        <v>22</v>
      </c>
      <c r="OD19" s="114" t="s">
        <v>489</v>
      </c>
    </row>
    <row r="20" spans="1:394">
      <c r="B20" s="54">
        <v>1</v>
      </c>
      <c r="C20" s="43" t="s">
        <v>221</v>
      </c>
      <c r="F20" s="23"/>
      <c r="G20" s="23"/>
      <c r="AW20" s="21"/>
      <c r="GU20" s="169"/>
      <c r="GV20" s="169"/>
      <c r="KI20" s="28">
        <v>42046.758240740739</v>
      </c>
      <c r="KJ20" s="28">
        <v>42046.759375000001</v>
      </c>
      <c r="KK20" s="21" t="s">
        <v>1352</v>
      </c>
      <c r="NU20" s="55" t="s">
        <v>310</v>
      </c>
      <c r="NV20" s="21">
        <v>9</v>
      </c>
      <c r="NW20" s="21" t="s">
        <v>159</v>
      </c>
      <c r="NX20" s="21" t="s">
        <v>198</v>
      </c>
      <c r="NZ20" s="21" t="s">
        <v>1332</v>
      </c>
      <c r="OA20" s="21" t="s">
        <v>58</v>
      </c>
      <c r="OB20" s="21" t="s">
        <v>96</v>
      </c>
      <c r="OC20" s="21" t="s">
        <v>22</v>
      </c>
      <c r="OD20" s="114" t="s">
        <v>489</v>
      </c>
    </row>
    <row r="21" spans="1:394">
      <c r="B21" s="54">
        <v>1</v>
      </c>
      <c r="C21" s="43" t="s">
        <v>222</v>
      </c>
      <c r="F21" s="23"/>
      <c r="G21" s="23"/>
      <c r="AW21" s="21"/>
      <c r="GU21" s="169"/>
      <c r="GV21" s="169"/>
      <c r="KI21" s="28">
        <v>41776.835358796299</v>
      </c>
      <c r="KJ21" s="28">
        <v>41776.835763888892</v>
      </c>
      <c r="KK21" s="21" t="s">
        <v>1145</v>
      </c>
      <c r="OA21" s="21" t="s">
        <v>58</v>
      </c>
      <c r="OB21" s="21" t="s">
        <v>96</v>
      </c>
      <c r="OC21" s="21" t="s">
        <v>22</v>
      </c>
      <c r="OD21" s="114" t="s">
        <v>489</v>
      </c>
    </row>
    <row r="22" spans="1:394" ht="30">
      <c r="B22" s="54">
        <v>1</v>
      </c>
      <c r="C22" s="43" t="s">
        <v>308</v>
      </c>
      <c r="E22" s="22"/>
      <c r="F22" s="23"/>
      <c r="G22" s="23"/>
      <c r="O22" s="22"/>
      <c r="AW22" s="21"/>
      <c r="DH22" s="21" t="s">
        <v>454</v>
      </c>
      <c r="EL22" s="21">
        <v>5</v>
      </c>
      <c r="EM22" s="21" t="s">
        <v>1085</v>
      </c>
      <c r="EN22" s="21">
        <v>1988</v>
      </c>
      <c r="EO22" s="21">
        <v>1</v>
      </c>
      <c r="EP22" s="21" t="s">
        <v>1082</v>
      </c>
      <c r="EQ22" s="21">
        <v>2020</v>
      </c>
      <c r="ER22" s="21">
        <v>123</v>
      </c>
      <c r="ES22" s="21" t="s">
        <v>460</v>
      </c>
      <c r="ET22" s="21">
        <v>23456723</v>
      </c>
      <c r="EU22" s="21">
        <v>60000</v>
      </c>
      <c r="EV22" s="21" t="s">
        <v>1089</v>
      </c>
      <c r="EW22" s="21">
        <v>10</v>
      </c>
      <c r="EX22" s="21">
        <v>2018</v>
      </c>
      <c r="FA22" s="21">
        <v>456</v>
      </c>
      <c r="FB22" s="21" t="s">
        <v>530</v>
      </c>
      <c r="GK22" s="35" t="s">
        <v>490</v>
      </c>
      <c r="GL22" s="21">
        <v>29</v>
      </c>
      <c r="GM22" s="21">
        <v>2037</v>
      </c>
      <c r="GN22" s="35" t="s">
        <v>490</v>
      </c>
      <c r="GO22" s="22" t="s">
        <v>444</v>
      </c>
      <c r="GP22" s="21">
        <v>1986</v>
      </c>
      <c r="GU22" s="169"/>
      <c r="GV22" s="169"/>
      <c r="HO22" s="22">
        <v>5</v>
      </c>
      <c r="HP22" s="35" t="s">
        <v>1085</v>
      </c>
      <c r="HQ22" s="21">
        <v>1988</v>
      </c>
      <c r="HS22" s="21">
        <v>1</v>
      </c>
      <c r="HT22" s="21" t="s">
        <v>1082</v>
      </c>
      <c r="HU22" s="21">
        <v>2020</v>
      </c>
      <c r="HV22" s="21" t="s">
        <v>460</v>
      </c>
      <c r="HW22" s="21" t="s">
        <v>695</v>
      </c>
      <c r="HX22" s="21">
        <v>108</v>
      </c>
      <c r="HY22" s="21">
        <v>10</v>
      </c>
      <c r="HZ22" s="21">
        <v>2018</v>
      </c>
      <c r="IA22" s="21" t="b">
        <v>1</v>
      </c>
      <c r="IB22" s="22">
        <v>691.09</v>
      </c>
      <c r="IC22" s="22" t="s">
        <v>1081</v>
      </c>
      <c r="ID22" s="22" t="b">
        <v>0</v>
      </c>
      <c r="IE22" s="22" t="s">
        <v>1099</v>
      </c>
      <c r="IL22" s="114" t="s">
        <v>1185</v>
      </c>
      <c r="IM22" s="21" t="s">
        <v>437</v>
      </c>
      <c r="IN22" s="21" t="s">
        <v>438</v>
      </c>
      <c r="IP22" s="80">
        <v>41733</v>
      </c>
      <c r="IQ22" s="21" t="s">
        <v>788</v>
      </c>
      <c r="IS22" s="21" t="s">
        <v>773</v>
      </c>
      <c r="IT22" s="21" t="s">
        <v>439</v>
      </c>
      <c r="IU22" s="21" t="s">
        <v>472</v>
      </c>
      <c r="IV22" s="21" t="s">
        <v>447</v>
      </c>
      <c r="IW22" s="21" t="s">
        <v>1168</v>
      </c>
      <c r="IX22" s="21" t="s">
        <v>442</v>
      </c>
      <c r="IY22" s="21">
        <v>14</v>
      </c>
      <c r="IZ22" s="21">
        <v>1988</v>
      </c>
      <c r="JA22" s="21" t="s">
        <v>78</v>
      </c>
      <c r="JB22" s="22" t="s">
        <v>443</v>
      </c>
      <c r="JC22" s="21">
        <v>123456</v>
      </c>
      <c r="JD22" s="21">
        <v>123456</v>
      </c>
      <c r="JE22" s="21" t="s">
        <v>442</v>
      </c>
      <c r="JF22" s="21">
        <v>14</v>
      </c>
      <c r="JG22" s="21">
        <v>2033</v>
      </c>
      <c r="JH22" s="21" t="s">
        <v>1137</v>
      </c>
      <c r="JI22" s="114">
        <v>9898989898</v>
      </c>
      <c r="JJ22" s="114">
        <v>9898989898</v>
      </c>
      <c r="JK22" s="22" t="s">
        <v>809</v>
      </c>
      <c r="JL22" s="22" t="s">
        <v>809</v>
      </c>
      <c r="JM22" s="22" t="s">
        <v>449</v>
      </c>
      <c r="JN22" s="21">
        <v>456</v>
      </c>
      <c r="JO22" s="21" t="s">
        <v>530</v>
      </c>
      <c r="JP22" s="21" t="s">
        <v>1156</v>
      </c>
      <c r="JQ22" s="21" t="s">
        <v>1157</v>
      </c>
      <c r="JR22" s="22" t="s">
        <v>453</v>
      </c>
      <c r="JS22" s="114" t="s">
        <v>194</v>
      </c>
      <c r="JT22" s="114"/>
      <c r="JU22" s="21" t="s">
        <v>441</v>
      </c>
      <c r="JV22" s="21">
        <v>108</v>
      </c>
      <c r="JW22" s="21">
        <v>10</v>
      </c>
      <c r="JX22" s="21">
        <v>2019</v>
      </c>
      <c r="JY22" s="114" t="b">
        <v>1</v>
      </c>
      <c r="JZ22" s="22" t="b">
        <v>1</v>
      </c>
      <c r="KA22" s="181">
        <v>1010.33</v>
      </c>
      <c r="KB22" s="113" t="s">
        <v>489</v>
      </c>
      <c r="KC22" s="21" t="s">
        <v>1353</v>
      </c>
      <c r="KD22" s="21" t="s">
        <v>1099</v>
      </c>
      <c r="KE22" s="21" t="s">
        <v>449</v>
      </c>
      <c r="KI22" s="28">
        <v>42046.759398148148</v>
      </c>
      <c r="KJ22" s="28">
        <v>42046.762650462966</v>
      </c>
      <c r="KK22" s="21" t="s">
        <v>1323</v>
      </c>
      <c r="LS22" s="114" t="s">
        <v>1184</v>
      </c>
      <c r="LV22" s="150" t="s">
        <v>1172</v>
      </c>
      <c r="OA22" s="21" t="s">
        <v>58</v>
      </c>
      <c r="OB22" s="79" t="s">
        <v>96</v>
      </c>
      <c r="OC22" s="21" t="s">
        <v>22</v>
      </c>
      <c r="OD22" s="114" t="s">
        <v>489</v>
      </c>
    </row>
    <row r="23" spans="1:394">
      <c r="B23" s="54">
        <v>1</v>
      </c>
      <c r="C23" s="71" t="s">
        <v>309</v>
      </c>
      <c r="E23" s="22"/>
      <c r="F23" s="23"/>
      <c r="G23" s="23"/>
      <c r="AW23" s="21"/>
      <c r="GF23" s="21" t="s">
        <v>440</v>
      </c>
      <c r="GG23" s="21" t="s">
        <v>78</v>
      </c>
      <c r="GH23" s="21" t="s">
        <v>443</v>
      </c>
      <c r="GJ23" s="21">
        <v>258963</v>
      </c>
      <c r="GK23" s="21" t="s">
        <v>466</v>
      </c>
      <c r="GL23" s="21">
        <v>20</v>
      </c>
      <c r="GM23" s="21">
        <v>2019</v>
      </c>
      <c r="GN23" s="21" t="s">
        <v>466</v>
      </c>
      <c r="GO23" s="21">
        <v>20</v>
      </c>
      <c r="GP23" s="21">
        <v>1989</v>
      </c>
      <c r="GQ23" s="21" t="s">
        <v>824</v>
      </c>
      <c r="GR23" s="21" t="s">
        <v>518</v>
      </c>
      <c r="GU23" s="169"/>
      <c r="GV23" s="169"/>
      <c r="KI23" s="28">
        <v>42046.762685185182</v>
      </c>
      <c r="KJ23" s="28">
        <v>42046.767106481479</v>
      </c>
      <c r="KK23" s="21" t="s">
        <v>1354</v>
      </c>
      <c r="LP23" s="22" t="s">
        <v>1186</v>
      </c>
      <c r="NU23" s="55" t="s">
        <v>310</v>
      </c>
      <c r="NV23" s="21">
        <v>11</v>
      </c>
      <c r="NW23" s="22" t="s">
        <v>159</v>
      </c>
      <c r="NX23" s="22" t="s">
        <v>198</v>
      </c>
      <c r="NZ23" s="21" t="s">
        <v>1337</v>
      </c>
      <c r="OA23" s="21" t="s">
        <v>58</v>
      </c>
      <c r="OB23" s="21" t="s">
        <v>96</v>
      </c>
      <c r="OC23" s="21" t="s">
        <v>22</v>
      </c>
      <c r="OD23" s="114" t="s">
        <v>489</v>
      </c>
    </row>
    <row r="24" spans="1:394">
      <c r="B24" s="54">
        <v>1</v>
      </c>
      <c r="C24" s="43" t="s">
        <v>352</v>
      </c>
      <c r="E24" s="22"/>
      <c r="F24" s="23"/>
      <c r="G24" s="23"/>
      <c r="AW24" s="21"/>
      <c r="BE24" s="21" t="s">
        <v>524</v>
      </c>
      <c r="GU24" s="169"/>
      <c r="GV24" s="169"/>
      <c r="KI24" s="28">
        <v>41725.413124999999</v>
      </c>
      <c r="KJ24" s="28">
        <v>41725.414120370369</v>
      </c>
      <c r="KK24" s="21" t="s">
        <v>784</v>
      </c>
      <c r="NU24" s="22" t="s">
        <v>310</v>
      </c>
      <c r="NV24" s="21">
        <v>17</v>
      </c>
      <c r="NW24" s="22" t="s">
        <v>159</v>
      </c>
      <c r="NX24" s="22" t="s">
        <v>198</v>
      </c>
      <c r="NZ24" s="21" t="s">
        <v>774</v>
      </c>
      <c r="OA24" s="21" t="s">
        <v>58</v>
      </c>
      <c r="OB24" s="21" t="s">
        <v>96</v>
      </c>
      <c r="OC24" s="21" t="s">
        <v>22</v>
      </c>
      <c r="OD24" s="114" t="s">
        <v>489</v>
      </c>
    </row>
    <row r="25" spans="1:394">
      <c r="B25" s="54">
        <v>1</v>
      </c>
      <c r="C25" s="43" t="s">
        <v>353</v>
      </c>
      <c r="D25" s="22"/>
      <c r="E25" s="22"/>
      <c r="F25" s="23"/>
      <c r="G25" s="23"/>
      <c r="AW25" s="21"/>
      <c r="BE25" s="21" t="s">
        <v>525</v>
      </c>
      <c r="GU25" s="169"/>
      <c r="GV25" s="169"/>
      <c r="KI25" s="28">
        <v>41725.418310185189</v>
      </c>
      <c r="KJ25" s="28">
        <v>41725.420613425929</v>
      </c>
      <c r="KK25" s="21" t="s">
        <v>785</v>
      </c>
      <c r="NU25" s="21" t="s">
        <v>310</v>
      </c>
      <c r="NV25" s="21">
        <v>18</v>
      </c>
      <c r="NW25" s="21" t="s">
        <v>159</v>
      </c>
      <c r="NX25" s="21" t="s">
        <v>198</v>
      </c>
      <c r="NZ25" s="21" t="s">
        <v>775</v>
      </c>
    </row>
    <row r="26" spans="1:394">
      <c r="B26" s="54">
        <v>1</v>
      </c>
      <c r="C26" s="43" t="s">
        <v>354</v>
      </c>
      <c r="E26" s="22"/>
      <c r="F26" s="23"/>
      <c r="G26" s="23"/>
      <c r="AW26" s="21"/>
      <c r="BE26" s="21" t="s">
        <v>526</v>
      </c>
      <c r="GU26" s="169"/>
      <c r="GV26" s="169"/>
      <c r="KI26" s="28">
        <v>41725.428900462961</v>
      </c>
      <c r="KJ26" s="28">
        <v>41725.431111111109</v>
      </c>
      <c r="KK26" s="21" t="s">
        <v>786</v>
      </c>
      <c r="NU26" s="22" t="s">
        <v>310</v>
      </c>
      <c r="NV26" s="21">
        <v>19</v>
      </c>
      <c r="NW26" s="21" t="s">
        <v>159</v>
      </c>
      <c r="NX26" s="21" t="s">
        <v>198</v>
      </c>
      <c r="NZ26" s="21" t="s">
        <v>776</v>
      </c>
    </row>
    <row r="27" spans="1:394">
      <c r="B27" s="54">
        <v>1</v>
      </c>
      <c r="C27" s="43" t="s">
        <v>355</v>
      </c>
      <c r="F27" s="23"/>
      <c r="G27" s="23"/>
      <c r="AW27" s="21"/>
      <c r="BE27" s="21" t="s">
        <v>735</v>
      </c>
      <c r="GU27" s="169"/>
      <c r="GV27" s="169"/>
      <c r="KI27" s="28">
        <v>41725.431134259263</v>
      </c>
      <c r="KJ27" s="28">
        <v>41725.432303240741</v>
      </c>
      <c r="KK27" s="21" t="s">
        <v>787</v>
      </c>
      <c r="NU27" s="21" t="s">
        <v>310</v>
      </c>
      <c r="NV27" s="21">
        <v>20</v>
      </c>
      <c r="NW27" s="21" t="s">
        <v>159</v>
      </c>
      <c r="NX27" s="21" t="s">
        <v>198</v>
      </c>
      <c r="NZ27" s="21" t="s">
        <v>777</v>
      </c>
    </row>
    <row r="28" spans="1:394" s="116" customFormat="1" ht="15" customHeight="1">
      <c r="A28" s="120"/>
      <c r="B28" s="190">
        <v>1</v>
      </c>
      <c r="C28" s="189" t="s">
        <v>310</v>
      </c>
      <c r="D28" s="188" t="s">
        <v>1393</v>
      </c>
      <c r="E28" s="117" t="s">
        <v>1394</v>
      </c>
      <c r="F28" s="231" t="str">
        <f>HYPERLINK("C:\RaviK\NewFramework_Excel Properies\SALT SVN 13.01 Release\Projects\SALT\Snapshots\HappyPath_SingleProduct_AUS_IN-MU-LT-J27116\2015311\105859\Iterator_1\HappyPath_SingleProduct_AUS1.xlsx","Snapshot")</f>
        <v>Snapshot</v>
      </c>
      <c r="G28" s="121" t="str">
        <f>HYPERLINK("C:\RaviK\NewFramework_Excel Properies\SALT SVN 13.01 Release\Projects\SALT\Snapshots\HappyPath_SingleProduct_AUS_IN-MU-LT-J27116\2015311\105859\Iterator_1\Merge.html","Result")</f>
        <v>Result</v>
      </c>
      <c r="N28" s="117" t="s">
        <v>1135</v>
      </c>
      <c r="O28" s="117" t="s">
        <v>519</v>
      </c>
      <c r="BL28" s="117" t="s">
        <v>531</v>
      </c>
      <c r="EL28" s="116">
        <v>5</v>
      </c>
      <c r="EM28" s="116" t="s">
        <v>1085</v>
      </c>
      <c r="EN28" s="116">
        <v>1988</v>
      </c>
      <c r="EO28" s="112">
        <v>1</v>
      </c>
      <c r="EP28" s="112" t="s">
        <v>1082</v>
      </c>
      <c r="EQ28" s="116">
        <v>2020</v>
      </c>
      <c r="ER28" s="117">
        <v>123</v>
      </c>
      <c r="ES28" s="116" t="s">
        <v>460</v>
      </c>
      <c r="ET28" s="116">
        <v>23456723</v>
      </c>
      <c r="EU28" s="117">
        <v>60000</v>
      </c>
      <c r="EV28" s="116" t="s">
        <v>1089</v>
      </c>
      <c r="EW28" s="116">
        <v>10</v>
      </c>
      <c r="EX28" s="116">
        <v>2018</v>
      </c>
      <c r="EY28" s="123">
        <v>41758.535173611112</v>
      </c>
      <c r="EZ28" s="116" t="s">
        <v>983</v>
      </c>
      <c r="FC28" s="18" t="s">
        <v>351</v>
      </c>
      <c r="GJ28" s="117">
        <v>600</v>
      </c>
      <c r="GK28" s="116">
        <v>691.09</v>
      </c>
      <c r="GL28" s="13"/>
      <c r="GM28" s="122" t="s">
        <v>716</v>
      </c>
      <c r="GP28" s="117" t="s">
        <v>519</v>
      </c>
      <c r="GR28" s="116" t="s">
        <v>807</v>
      </c>
      <c r="GU28" s="169"/>
      <c r="GV28" s="169"/>
      <c r="HM28" s="123">
        <v>41758.530763888892</v>
      </c>
      <c r="HO28" s="116" t="s">
        <v>445</v>
      </c>
      <c r="HP28" s="117" t="s">
        <v>1155</v>
      </c>
      <c r="HQ28" s="119" t="s">
        <v>487</v>
      </c>
      <c r="HS28" s="116" t="s">
        <v>446</v>
      </c>
      <c r="HT28" s="116">
        <v>11</v>
      </c>
      <c r="HU28" s="116">
        <v>2037</v>
      </c>
      <c r="HV28" s="116" t="s">
        <v>530</v>
      </c>
      <c r="HW28" s="117" t="s">
        <v>695</v>
      </c>
      <c r="HX28" s="116">
        <v>10</v>
      </c>
      <c r="HY28" s="116">
        <v>2021</v>
      </c>
      <c r="HZ28" s="117" t="b">
        <v>0</v>
      </c>
      <c r="IA28" s="117" t="s">
        <v>838</v>
      </c>
      <c r="IB28" s="117" t="s">
        <v>838</v>
      </c>
      <c r="IC28" s="117" t="s">
        <v>838</v>
      </c>
      <c r="ID28" s="117" t="s">
        <v>519</v>
      </c>
      <c r="IE28" s="116">
        <v>1234</v>
      </c>
      <c r="IF28" s="117" t="s">
        <v>528</v>
      </c>
      <c r="IG28" s="117" t="s">
        <v>68</v>
      </c>
      <c r="IH28" s="118" t="s">
        <v>1390</v>
      </c>
      <c r="II28" s="116">
        <v>1000</v>
      </c>
      <c r="IJ28" s="116" t="s">
        <v>844</v>
      </c>
      <c r="IK28" s="99" t="s">
        <v>1391</v>
      </c>
      <c r="IL28" s="117" t="s">
        <v>1185</v>
      </c>
      <c r="IM28" s="116" t="s">
        <v>437</v>
      </c>
      <c r="IN28" s="117" t="s">
        <v>438</v>
      </c>
      <c r="IT28" s="116" t="s">
        <v>439</v>
      </c>
      <c r="IU28" s="116" t="s">
        <v>1140</v>
      </c>
      <c r="IV28" s="116" t="s">
        <v>447</v>
      </c>
      <c r="IW28" s="116" t="s">
        <v>1140</v>
      </c>
      <c r="IX28" s="116" t="s">
        <v>442</v>
      </c>
      <c r="IY28" s="116">
        <v>14</v>
      </c>
      <c r="IZ28" s="116">
        <v>1988</v>
      </c>
      <c r="JA28" s="116" t="s">
        <v>78</v>
      </c>
      <c r="JB28" s="117" t="s">
        <v>443</v>
      </c>
      <c r="JC28" s="116">
        <v>123456</v>
      </c>
      <c r="JD28" s="116">
        <v>123456</v>
      </c>
      <c r="JE28" s="116" t="s">
        <v>442</v>
      </c>
      <c r="JF28" s="116">
        <v>14</v>
      </c>
      <c r="JG28" s="116">
        <v>2033</v>
      </c>
      <c r="JH28" s="116" t="s">
        <v>1137</v>
      </c>
      <c r="JI28" s="117" t="s">
        <v>1134</v>
      </c>
      <c r="JJ28" s="117" t="s">
        <v>1134</v>
      </c>
      <c r="JK28" s="117" t="s">
        <v>809</v>
      </c>
      <c r="JL28" s="117" t="s">
        <v>809</v>
      </c>
      <c r="JM28" s="116" t="s">
        <v>449</v>
      </c>
      <c r="JN28" s="117">
        <v>456</v>
      </c>
      <c r="JO28" s="116" t="s">
        <v>530</v>
      </c>
      <c r="JP28" s="177" t="s">
        <v>1156</v>
      </c>
      <c r="JQ28" s="117" t="s">
        <v>1157</v>
      </c>
      <c r="JR28" s="117" t="s">
        <v>453</v>
      </c>
      <c r="JS28" s="117" t="s">
        <v>194</v>
      </c>
      <c r="JU28" s="116" t="s">
        <v>441</v>
      </c>
      <c r="JV28" s="116">
        <v>108</v>
      </c>
      <c r="JW28" s="116">
        <v>10</v>
      </c>
      <c r="JX28" s="116">
        <v>2019</v>
      </c>
      <c r="JY28" s="117" t="s">
        <v>451</v>
      </c>
      <c r="JZ28" s="117" t="s">
        <v>452</v>
      </c>
      <c r="KA28" s="99">
        <v>1075.53</v>
      </c>
      <c r="KB28" s="113" t="s">
        <v>489</v>
      </c>
      <c r="KC28" s="117" t="s">
        <v>1314</v>
      </c>
      <c r="KI28" s="123">
        <v>42074.457627314812</v>
      </c>
      <c r="KJ28" s="123">
        <v>42074.458495370367</v>
      </c>
      <c r="KK28" s="116" t="s">
        <v>1392</v>
      </c>
      <c r="LS28" s="117" t="s">
        <v>1184</v>
      </c>
      <c r="OA28" s="116" t="s">
        <v>58</v>
      </c>
      <c r="OB28" s="18" t="s">
        <v>351</v>
      </c>
      <c r="OC28" s="116" t="s">
        <v>22</v>
      </c>
      <c r="OD28" s="116" t="s">
        <v>22</v>
      </c>
    </row>
    <row r="29" spans="1:394" ht="51">
      <c r="B29" s="37">
        <v>1</v>
      </c>
      <c r="C29" s="43" t="s">
        <v>800</v>
      </c>
      <c r="E29" s="22"/>
      <c r="F29" s="50"/>
      <c r="G29" s="23"/>
      <c r="O29" s="22" t="s">
        <v>519</v>
      </c>
      <c r="AW29" s="21"/>
      <c r="DH29" s="22" t="s">
        <v>454</v>
      </c>
      <c r="EO29" s="112">
        <v>2</v>
      </c>
      <c r="EP29" s="112" t="s">
        <v>1083</v>
      </c>
      <c r="EQ29" s="116">
        <v>2021</v>
      </c>
      <c r="ER29" s="117">
        <v>456</v>
      </c>
      <c r="ES29" s="116" t="s">
        <v>460</v>
      </c>
      <c r="ET29" s="116">
        <v>23456723</v>
      </c>
      <c r="EU29" s="117">
        <v>60000</v>
      </c>
      <c r="EV29" s="116" t="s">
        <v>1089</v>
      </c>
      <c r="EW29" s="116">
        <v>10</v>
      </c>
      <c r="EX29" s="116">
        <v>2018</v>
      </c>
      <c r="GU29" s="169"/>
      <c r="GV29" s="169"/>
      <c r="HA29" s="47">
        <v>1000</v>
      </c>
      <c r="HB29" s="47">
        <v>1151.81</v>
      </c>
      <c r="HC29" s="40"/>
      <c r="HD29" s="45" t="s">
        <v>716</v>
      </c>
      <c r="HF29" s="22" t="s">
        <v>456</v>
      </c>
      <c r="HG29" s="22" t="s">
        <v>528</v>
      </c>
      <c r="HH29" s="114" t="s">
        <v>1154</v>
      </c>
      <c r="HI29" s="22">
        <v>700</v>
      </c>
      <c r="HJ29" s="21" t="s">
        <v>94</v>
      </c>
      <c r="HK29" s="21">
        <v>683.73</v>
      </c>
      <c r="HL29" s="21" t="s">
        <v>83</v>
      </c>
      <c r="HM29" s="21" t="s">
        <v>884</v>
      </c>
      <c r="HN29" s="21" t="s">
        <v>83</v>
      </c>
      <c r="HO29" s="22" t="s">
        <v>444</v>
      </c>
      <c r="HP29" s="21" t="s">
        <v>445</v>
      </c>
      <c r="HQ29" s="46" t="s">
        <v>486</v>
      </c>
      <c r="HS29" s="21">
        <v>11</v>
      </c>
      <c r="HT29" s="21" t="s">
        <v>458</v>
      </c>
      <c r="HU29" s="21">
        <v>2041</v>
      </c>
      <c r="HV29" s="21" t="s">
        <v>530</v>
      </c>
      <c r="HW29" s="22" t="s">
        <v>532</v>
      </c>
      <c r="HX29" s="21">
        <v>10</v>
      </c>
      <c r="HY29" s="21">
        <v>2021</v>
      </c>
      <c r="HZ29" s="22" t="s">
        <v>452</v>
      </c>
      <c r="IA29" s="22" t="s">
        <v>518</v>
      </c>
      <c r="IB29" s="22" t="s">
        <v>518</v>
      </c>
      <c r="IC29" s="22" t="s">
        <v>518</v>
      </c>
      <c r="ID29" s="21" t="s">
        <v>454</v>
      </c>
      <c r="IE29" s="21">
        <v>4569</v>
      </c>
      <c r="IF29" s="117" t="s">
        <v>528</v>
      </c>
      <c r="IG29" s="117" t="s">
        <v>1129</v>
      </c>
      <c r="IH29" s="21" t="s">
        <v>83</v>
      </c>
      <c r="II29" s="21">
        <v>410</v>
      </c>
      <c r="IJ29" s="21" t="s">
        <v>88</v>
      </c>
      <c r="IK29" s="47">
        <v>1151.81</v>
      </c>
      <c r="IL29" s="116" t="s">
        <v>450</v>
      </c>
      <c r="IM29" s="116" t="s">
        <v>437</v>
      </c>
      <c r="IN29" s="117" t="s">
        <v>438</v>
      </c>
      <c r="IO29" s="22" t="s">
        <v>791</v>
      </c>
      <c r="IP29" s="41">
        <v>41772</v>
      </c>
      <c r="IQ29" s="21" t="s">
        <v>808</v>
      </c>
      <c r="IR29" s="48"/>
      <c r="IS29" s="21" t="s">
        <v>816</v>
      </c>
      <c r="IT29" s="21" t="s">
        <v>439</v>
      </c>
      <c r="IU29" s="21" t="s">
        <v>480</v>
      </c>
      <c r="IV29" s="21" t="s">
        <v>447</v>
      </c>
      <c r="IW29" s="116" t="s">
        <v>471</v>
      </c>
      <c r="IX29" s="21" t="s">
        <v>442</v>
      </c>
      <c r="IY29" s="21">
        <v>2</v>
      </c>
      <c r="IZ29" s="21">
        <v>1988</v>
      </c>
      <c r="JA29" s="21" t="s">
        <v>78</v>
      </c>
      <c r="JB29" s="22" t="s">
        <v>443</v>
      </c>
      <c r="JC29" s="21">
        <v>123456</v>
      </c>
      <c r="JD29" s="21">
        <v>123456</v>
      </c>
      <c r="JE29" s="21" t="s">
        <v>442</v>
      </c>
      <c r="JF29" s="21">
        <v>2</v>
      </c>
      <c r="JG29" s="21">
        <v>2021</v>
      </c>
      <c r="JH29" s="21" t="s">
        <v>459</v>
      </c>
      <c r="JI29" s="22" t="s">
        <v>529</v>
      </c>
      <c r="JJ29" s="22" t="s">
        <v>529</v>
      </c>
      <c r="JK29" s="22" t="s">
        <v>809</v>
      </c>
      <c r="JL29" s="22" t="s">
        <v>809</v>
      </c>
      <c r="JM29" s="21" t="s">
        <v>460</v>
      </c>
      <c r="JN29" s="22">
        <v>456</v>
      </c>
      <c r="JO29" s="21" t="s">
        <v>530</v>
      </c>
      <c r="JP29" s="22" t="s">
        <v>531</v>
      </c>
      <c r="JQ29" s="22" t="s">
        <v>515</v>
      </c>
      <c r="JR29" s="22" t="s">
        <v>886</v>
      </c>
      <c r="JS29" s="22" t="s">
        <v>888</v>
      </c>
      <c r="JT29" s="21" t="s">
        <v>293</v>
      </c>
      <c r="JU29" s="21" t="s">
        <v>293</v>
      </c>
      <c r="JV29" s="21">
        <v>108</v>
      </c>
      <c r="JW29" s="21">
        <v>10</v>
      </c>
      <c r="JX29" s="21">
        <v>2019</v>
      </c>
      <c r="JY29" s="22" t="s">
        <v>451</v>
      </c>
      <c r="JZ29" s="22" t="s">
        <v>452</v>
      </c>
      <c r="KA29" s="47">
        <v>1835.54</v>
      </c>
      <c r="KB29" s="113" t="s">
        <v>489</v>
      </c>
      <c r="KC29" s="22" t="s">
        <v>863</v>
      </c>
      <c r="KI29" s="28">
        <v>41752.578877314816</v>
      </c>
      <c r="KJ29" s="28">
        <v>41752.58452546296</v>
      </c>
      <c r="KK29" s="21" t="s">
        <v>873</v>
      </c>
      <c r="LS29" s="117" t="s">
        <v>812</v>
      </c>
      <c r="LT29" s="22" t="s">
        <v>790</v>
      </c>
      <c r="NU29" s="22" t="s">
        <v>800</v>
      </c>
      <c r="NV29" s="21">
        <v>1</v>
      </c>
      <c r="NW29" s="22" t="s">
        <v>104</v>
      </c>
      <c r="NX29" s="22" t="s">
        <v>813</v>
      </c>
      <c r="OA29" s="21" t="s">
        <v>58</v>
      </c>
      <c r="OB29" s="22" t="s">
        <v>351</v>
      </c>
      <c r="OC29" s="21" t="s">
        <v>22</v>
      </c>
    </row>
    <row r="30" spans="1:394" ht="51">
      <c r="B30" s="37">
        <v>1</v>
      </c>
      <c r="C30" s="43" t="s">
        <v>801</v>
      </c>
      <c r="D30" s="22"/>
      <c r="E30" s="22"/>
      <c r="F30" s="23"/>
      <c r="G30" s="23"/>
      <c r="O30" s="22" t="s">
        <v>519</v>
      </c>
      <c r="AW30" s="21"/>
      <c r="DH30" s="22"/>
      <c r="EO30" s="112">
        <v>3</v>
      </c>
      <c r="EP30" s="112" t="s">
        <v>1083</v>
      </c>
      <c r="EQ30" s="116">
        <v>2022</v>
      </c>
      <c r="ER30" s="117">
        <v>546</v>
      </c>
      <c r="ES30" s="116" t="s">
        <v>449</v>
      </c>
      <c r="ET30" s="116">
        <v>23456723</v>
      </c>
      <c r="EU30" s="117">
        <v>60000</v>
      </c>
      <c r="EV30" s="116" t="s">
        <v>1089</v>
      </c>
      <c r="EW30" s="116">
        <v>10</v>
      </c>
      <c r="EX30" s="116">
        <v>2018</v>
      </c>
      <c r="GU30" s="169"/>
      <c r="GV30" s="169"/>
      <c r="HA30" s="47">
        <v>1100</v>
      </c>
      <c r="HB30" s="47">
        <v>1758.59</v>
      </c>
      <c r="HC30" s="40"/>
      <c r="HD30" s="45" t="s">
        <v>716</v>
      </c>
      <c r="HE30" s="22" t="s">
        <v>811</v>
      </c>
      <c r="HN30" s="21" t="s">
        <v>831</v>
      </c>
      <c r="HO30" s="22" t="s">
        <v>444</v>
      </c>
      <c r="HP30" s="21" t="s">
        <v>445</v>
      </c>
      <c r="HQ30" s="46" t="s">
        <v>481</v>
      </c>
      <c r="HS30" s="21">
        <v>11</v>
      </c>
      <c r="HT30" s="21" t="s">
        <v>446</v>
      </c>
      <c r="HU30" s="21">
        <v>2037</v>
      </c>
      <c r="HV30" s="21" t="s">
        <v>530</v>
      </c>
      <c r="HW30" s="22" t="s">
        <v>695</v>
      </c>
      <c r="HX30" s="21">
        <v>10</v>
      </c>
      <c r="HY30" s="21">
        <v>2021</v>
      </c>
      <c r="HZ30" s="22" t="s">
        <v>452</v>
      </c>
      <c r="IA30" s="22"/>
      <c r="IB30" s="22"/>
      <c r="IC30" s="22"/>
      <c r="IF30" s="117" t="s">
        <v>528</v>
      </c>
      <c r="IG30" s="117" t="s">
        <v>470</v>
      </c>
      <c r="IH30" s="21" t="s">
        <v>831</v>
      </c>
      <c r="II30" s="21">
        <v>600</v>
      </c>
      <c r="IJ30" s="21" t="s">
        <v>833</v>
      </c>
      <c r="IK30" s="47" t="s">
        <v>887</v>
      </c>
      <c r="IL30" s="116" t="s">
        <v>450</v>
      </c>
      <c r="IM30" s="116" t="s">
        <v>437</v>
      </c>
      <c r="IN30" s="117" t="s">
        <v>438</v>
      </c>
      <c r="IP30" s="41">
        <v>41759</v>
      </c>
      <c r="IQ30" s="21" t="s">
        <v>788</v>
      </c>
      <c r="IR30" s="48"/>
      <c r="IS30" s="21" t="s">
        <v>816</v>
      </c>
      <c r="IT30" s="21" t="s">
        <v>439</v>
      </c>
      <c r="IU30" s="21" t="s">
        <v>471</v>
      </c>
      <c r="IV30" s="21" t="s">
        <v>447</v>
      </c>
      <c r="IW30" s="116" t="s">
        <v>472</v>
      </c>
      <c r="IX30" s="21" t="s">
        <v>491</v>
      </c>
      <c r="IY30" s="21">
        <v>3</v>
      </c>
      <c r="IZ30" s="21">
        <v>1989</v>
      </c>
      <c r="JA30" s="21" t="s">
        <v>78</v>
      </c>
      <c r="JB30" s="22" t="s">
        <v>443</v>
      </c>
      <c r="JC30" s="21">
        <v>123456</v>
      </c>
      <c r="JD30" s="21">
        <v>123456</v>
      </c>
      <c r="JE30" s="21" t="s">
        <v>491</v>
      </c>
      <c r="JF30" s="21">
        <v>3</v>
      </c>
      <c r="JG30" s="21">
        <v>2022</v>
      </c>
      <c r="JH30" s="21" t="s">
        <v>448</v>
      </c>
      <c r="JI30" s="22" t="s">
        <v>529</v>
      </c>
      <c r="JJ30" s="22" t="s">
        <v>529</v>
      </c>
      <c r="JK30" s="22" t="s">
        <v>809</v>
      </c>
      <c r="JL30" s="22" t="s">
        <v>809</v>
      </c>
      <c r="JM30" s="21" t="s">
        <v>449</v>
      </c>
      <c r="JN30" s="22">
        <v>546</v>
      </c>
      <c r="JO30" s="21" t="s">
        <v>530</v>
      </c>
      <c r="JP30" s="22" t="s">
        <v>531</v>
      </c>
      <c r="JQ30" s="22" t="s">
        <v>515</v>
      </c>
      <c r="JR30" s="22" t="s">
        <v>886</v>
      </c>
      <c r="JS30" s="22" t="s">
        <v>194</v>
      </c>
      <c r="JT30" s="21" t="s">
        <v>471</v>
      </c>
      <c r="JU30" s="21" t="s">
        <v>441</v>
      </c>
      <c r="JV30" s="21">
        <v>108</v>
      </c>
      <c r="JW30" s="21">
        <v>10</v>
      </c>
      <c r="JX30" s="21">
        <v>2020</v>
      </c>
      <c r="JY30" s="22" t="s">
        <v>451</v>
      </c>
      <c r="JZ30" s="22" t="s">
        <v>452</v>
      </c>
      <c r="KA30" s="47">
        <v>1759.59</v>
      </c>
      <c r="KB30" s="113" t="s">
        <v>489</v>
      </c>
      <c r="KC30" s="22" t="s">
        <v>817</v>
      </c>
      <c r="KI30" s="28">
        <v>41758.477766203701</v>
      </c>
      <c r="KJ30" s="28">
        <v>41758.482881944445</v>
      </c>
      <c r="KK30" s="21" t="s">
        <v>885</v>
      </c>
      <c r="LS30" s="117" t="s">
        <v>812</v>
      </c>
      <c r="NU30" s="49" t="s">
        <v>801</v>
      </c>
      <c r="NV30" s="21">
        <v>1</v>
      </c>
      <c r="NW30" s="22" t="s">
        <v>104</v>
      </c>
      <c r="NX30" s="22" t="s">
        <v>813</v>
      </c>
      <c r="OA30" s="21" t="s">
        <v>58</v>
      </c>
      <c r="OB30" s="22" t="s">
        <v>351</v>
      </c>
      <c r="OC30" s="21" t="s">
        <v>22</v>
      </c>
    </row>
    <row r="31" spans="1:394" ht="51">
      <c r="B31" s="37">
        <v>1</v>
      </c>
      <c r="C31" s="43" t="s">
        <v>802</v>
      </c>
      <c r="E31" s="22"/>
      <c r="F31" s="23"/>
      <c r="G31" s="23"/>
      <c r="O31" s="22" t="s">
        <v>519</v>
      </c>
      <c r="AW31" s="21"/>
      <c r="EO31" s="112">
        <v>4</v>
      </c>
      <c r="EP31" s="112" t="s">
        <v>1084</v>
      </c>
      <c r="EQ31" s="116">
        <v>2023</v>
      </c>
      <c r="ER31" s="117">
        <v>123</v>
      </c>
      <c r="ES31" s="116" t="s">
        <v>449</v>
      </c>
      <c r="ET31" s="116">
        <v>23456723</v>
      </c>
      <c r="EU31" s="117">
        <v>60000</v>
      </c>
      <c r="EV31" s="116" t="s">
        <v>1089</v>
      </c>
      <c r="EW31" s="116">
        <v>10</v>
      </c>
      <c r="EX31" s="116">
        <v>2018</v>
      </c>
      <c r="GU31" s="169"/>
      <c r="GV31" s="169"/>
      <c r="HB31" s="47"/>
      <c r="HC31" s="40"/>
      <c r="HD31" s="45" t="s">
        <v>716</v>
      </c>
      <c r="HE31" s="22" t="s">
        <v>811</v>
      </c>
      <c r="HF31" s="22" t="s">
        <v>456</v>
      </c>
      <c r="HG31" s="22" t="s">
        <v>806</v>
      </c>
      <c r="HH31" s="22" t="s">
        <v>470</v>
      </c>
      <c r="HI31" s="21">
        <v>1000</v>
      </c>
      <c r="HM31" s="47"/>
      <c r="HO31" s="22" t="s">
        <v>444</v>
      </c>
      <c r="HP31" s="21" t="s">
        <v>445</v>
      </c>
      <c r="HQ31" s="46" t="s">
        <v>482</v>
      </c>
      <c r="HS31" s="21">
        <v>11</v>
      </c>
      <c r="HT31" s="21" t="s">
        <v>446</v>
      </c>
      <c r="HU31" s="21">
        <v>2037</v>
      </c>
      <c r="HV31" s="21" t="s">
        <v>530</v>
      </c>
      <c r="HW31" s="22" t="s">
        <v>532</v>
      </c>
      <c r="HX31" s="21">
        <v>10</v>
      </c>
      <c r="HY31" s="21">
        <v>2021</v>
      </c>
      <c r="HZ31" s="22" t="s">
        <v>452</v>
      </c>
      <c r="IA31" s="22"/>
      <c r="IB31" s="22"/>
      <c r="IC31" s="22"/>
      <c r="IF31" s="117" t="s">
        <v>528</v>
      </c>
      <c r="IG31" s="117" t="s">
        <v>69</v>
      </c>
      <c r="II31" s="21">
        <v>440</v>
      </c>
      <c r="IK31" s="47"/>
      <c r="IL31" s="116" t="s">
        <v>450</v>
      </c>
      <c r="IM31" s="116" t="s">
        <v>437</v>
      </c>
      <c r="IN31" s="117" t="s">
        <v>438</v>
      </c>
      <c r="IO31" s="22" t="s">
        <v>791</v>
      </c>
      <c r="IP31" s="41">
        <v>41752</v>
      </c>
      <c r="IQ31" s="21" t="s">
        <v>808</v>
      </c>
      <c r="IR31" s="48"/>
      <c r="IS31" s="21" t="s">
        <v>818</v>
      </c>
      <c r="IT31" s="21" t="s">
        <v>439</v>
      </c>
      <c r="IU31" s="21" t="s">
        <v>472</v>
      </c>
      <c r="IV31" s="21" t="s">
        <v>447</v>
      </c>
      <c r="IW31" s="116" t="s">
        <v>473</v>
      </c>
      <c r="IX31" s="21" t="s">
        <v>445</v>
      </c>
      <c r="IY31" s="21">
        <v>4</v>
      </c>
      <c r="IZ31" s="21">
        <v>1990</v>
      </c>
      <c r="JA31" s="21" t="s">
        <v>78</v>
      </c>
      <c r="JB31" s="22" t="s">
        <v>443</v>
      </c>
      <c r="JC31" s="21">
        <v>123456</v>
      </c>
      <c r="JD31" s="21">
        <v>123456</v>
      </c>
      <c r="JE31" s="21" t="s">
        <v>445</v>
      </c>
      <c r="JF31" s="21">
        <v>4</v>
      </c>
      <c r="JG31" s="21">
        <v>2023</v>
      </c>
      <c r="JH31" s="21" t="s">
        <v>448</v>
      </c>
      <c r="JI31" s="22" t="s">
        <v>529</v>
      </c>
      <c r="JJ31" s="22" t="s">
        <v>529</v>
      </c>
      <c r="JK31" s="22" t="s">
        <v>809</v>
      </c>
      <c r="JL31" s="22" t="s">
        <v>809</v>
      </c>
      <c r="JM31" s="21" t="s">
        <v>449</v>
      </c>
      <c r="JN31" s="22">
        <v>123</v>
      </c>
      <c r="JO31" s="21" t="s">
        <v>530</v>
      </c>
      <c r="JP31" s="22" t="s">
        <v>531</v>
      </c>
      <c r="JQ31" s="22" t="s">
        <v>515</v>
      </c>
      <c r="JR31" s="22" t="s">
        <v>886</v>
      </c>
      <c r="JS31" s="22" t="s">
        <v>194</v>
      </c>
      <c r="JT31" s="21" t="s">
        <v>472</v>
      </c>
      <c r="JU31" s="21" t="s">
        <v>478</v>
      </c>
      <c r="JV31" s="21">
        <v>108</v>
      </c>
      <c r="JW31" s="21">
        <v>10</v>
      </c>
      <c r="JX31" s="21">
        <v>2021</v>
      </c>
      <c r="JY31" s="22" t="s">
        <v>451</v>
      </c>
      <c r="JZ31" s="22" t="s">
        <v>452</v>
      </c>
      <c r="KA31" s="47">
        <v>1835.54</v>
      </c>
      <c r="KB31" s="113" t="s">
        <v>489</v>
      </c>
      <c r="KC31" s="22" t="s">
        <v>819</v>
      </c>
      <c r="KI31" s="28">
        <v>41741.845682870371</v>
      </c>
      <c r="KJ31" s="28">
        <v>41741.850266203706</v>
      </c>
      <c r="KK31" s="21" t="s">
        <v>820</v>
      </c>
      <c r="LS31" s="117" t="s">
        <v>812</v>
      </c>
      <c r="LT31" s="22" t="s">
        <v>790</v>
      </c>
      <c r="NU31" s="49" t="s">
        <v>802</v>
      </c>
      <c r="NV31" s="21">
        <v>1</v>
      </c>
      <c r="NW31" s="22" t="s">
        <v>104</v>
      </c>
      <c r="NX31" s="22" t="s">
        <v>813</v>
      </c>
      <c r="OA31" s="21" t="s">
        <v>58</v>
      </c>
      <c r="OB31" s="22" t="s">
        <v>351</v>
      </c>
      <c r="OC31" s="21" t="s">
        <v>22</v>
      </c>
    </row>
    <row r="32" spans="1:394" ht="50.25" customHeight="1">
      <c r="B32" s="37">
        <v>1</v>
      </c>
      <c r="C32" s="43" t="s">
        <v>872</v>
      </c>
      <c r="E32" s="22"/>
      <c r="F32" s="23"/>
      <c r="G32" s="23"/>
      <c r="O32" s="22" t="s">
        <v>519</v>
      </c>
      <c r="AW32" s="21"/>
      <c r="EO32" s="112">
        <v>5</v>
      </c>
      <c r="EP32" s="112" t="s">
        <v>1085</v>
      </c>
      <c r="EQ32" s="116">
        <v>2024</v>
      </c>
      <c r="ER32" s="117">
        <v>456</v>
      </c>
      <c r="ES32" s="116" t="s">
        <v>449</v>
      </c>
      <c r="ET32" s="116">
        <v>23456723</v>
      </c>
      <c r="EU32" s="117">
        <v>60000</v>
      </c>
      <c r="EV32" s="116" t="s">
        <v>1089</v>
      </c>
      <c r="EW32" s="116">
        <v>10</v>
      </c>
      <c r="EX32" s="116">
        <v>2018</v>
      </c>
      <c r="GU32" s="169"/>
      <c r="GV32" s="169"/>
      <c r="HA32" s="21">
        <v>700</v>
      </c>
      <c r="HB32" s="47">
        <v>683.73</v>
      </c>
      <c r="HC32" s="40"/>
      <c r="HD32" s="45" t="s">
        <v>716</v>
      </c>
      <c r="HF32" s="22" t="s">
        <v>861</v>
      </c>
      <c r="HG32" s="22" t="s">
        <v>862</v>
      </c>
      <c r="HH32" s="22" t="s">
        <v>851</v>
      </c>
      <c r="HI32" s="22" t="s">
        <v>852</v>
      </c>
      <c r="HJ32" s="21" t="s">
        <v>865</v>
      </c>
      <c r="HK32" s="21" t="s">
        <v>866</v>
      </c>
      <c r="HL32" s="21" t="s">
        <v>867</v>
      </c>
      <c r="HM32" s="21" t="s">
        <v>864</v>
      </c>
      <c r="HN32" s="21" t="s">
        <v>868</v>
      </c>
      <c r="HO32" s="22" t="s">
        <v>444</v>
      </c>
      <c r="HP32" s="21" t="s">
        <v>445</v>
      </c>
      <c r="HQ32" s="46" t="s">
        <v>483</v>
      </c>
      <c r="HS32" s="21">
        <v>11</v>
      </c>
      <c r="HT32" s="21" t="s">
        <v>446</v>
      </c>
      <c r="HU32" s="21">
        <v>2037</v>
      </c>
      <c r="HV32" s="21" t="s">
        <v>530</v>
      </c>
      <c r="HW32" s="22" t="s">
        <v>695</v>
      </c>
      <c r="HX32" s="21">
        <v>10</v>
      </c>
      <c r="HY32" s="21">
        <v>2021</v>
      </c>
      <c r="HZ32" s="22" t="s">
        <v>452</v>
      </c>
      <c r="IA32" s="22"/>
      <c r="IB32" s="22"/>
      <c r="IC32" s="22"/>
      <c r="IF32" s="117" t="s">
        <v>723</v>
      </c>
      <c r="IG32" s="117" t="s">
        <v>470</v>
      </c>
      <c r="IH32" s="21" t="s">
        <v>868</v>
      </c>
      <c r="II32" s="21">
        <v>500</v>
      </c>
      <c r="IJ32" s="21" t="s">
        <v>869</v>
      </c>
      <c r="IK32" s="47" t="s">
        <v>870</v>
      </c>
      <c r="IL32" s="116" t="s">
        <v>450</v>
      </c>
      <c r="IM32" s="116" t="s">
        <v>437</v>
      </c>
      <c r="IN32" s="117" t="s">
        <v>438</v>
      </c>
      <c r="IP32" s="41">
        <v>41759</v>
      </c>
      <c r="IQ32" s="21" t="s">
        <v>788</v>
      </c>
      <c r="IR32" s="48"/>
      <c r="IS32" s="21" t="s">
        <v>816</v>
      </c>
      <c r="IT32" s="21" t="s">
        <v>439</v>
      </c>
      <c r="IU32" s="21" t="s">
        <v>473</v>
      </c>
      <c r="IV32" s="21" t="s">
        <v>447</v>
      </c>
      <c r="IW32" s="116" t="s">
        <v>1138</v>
      </c>
      <c r="IX32" s="21" t="s">
        <v>466</v>
      </c>
      <c r="IY32" s="21">
        <v>5</v>
      </c>
      <c r="IZ32" s="21">
        <v>1987</v>
      </c>
      <c r="JA32" s="21" t="s">
        <v>78</v>
      </c>
      <c r="JB32" s="22" t="s">
        <v>443</v>
      </c>
      <c r="JC32" s="21">
        <v>123456</v>
      </c>
      <c r="JD32" s="21">
        <v>123456</v>
      </c>
      <c r="JE32" s="21" t="s">
        <v>466</v>
      </c>
      <c r="JF32" s="21">
        <v>5</v>
      </c>
      <c r="JG32" s="21">
        <v>2024</v>
      </c>
      <c r="JH32" s="21" t="s">
        <v>448</v>
      </c>
      <c r="JI32" s="22" t="s">
        <v>529</v>
      </c>
      <c r="JJ32" s="22" t="s">
        <v>529</v>
      </c>
      <c r="JK32" s="22" t="s">
        <v>809</v>
      </c>
      <c r="JL32" s="22" t="s">
        <v>809</v>
      </c>
      <c r="JM32" s="21" t="s">
        <v>449</v>
      </c>
      <c r="JN32" s="22">
        <v>456</v>
      </c>
      <c r="JO32" s="21" t="s">
        <v>530</v>
      </c>
      <c r="JP32" s="22" t="s">
        <v>531</v>
      </c>
      <c r="JQ32" s="22" t="s">
        <v>515</v>
      </c>
      <c r="JR32" s="22" t="s">
        <v>886</v>
      </c>
      <c r="JS32" s="22" t="s">
        <v>194</v>
      </c>
      <c r="JT32" s="21" t="s">
        <v>473</v>
      </c>
      <c r="JU32" s="21" t="s">
        <v>474</v>
      </c>
      <c r="JV32" s="21">
        <v>108</v>
      </c>
      <c r="JW32" s="21">
        <v>10</v>
      </c>
      <c r="JX32" s="21">
        <v>2022</v>
      </c>
      <c r="JY32" s="22" t="s">
        <v>451</v>
      </c>
      <c r="JZ32" s="22" t="s">
        <v>452</v>
      </c>
      <c r="KA32" s="47">
        <v>683.73</v>
      </c>
      <c r="KB32" s="113" t="s">
        <v>489</v>
      </c>
      <c r="KC32" s="22" t="s">
        <v>821</v>
      </c>
      <c r="KI32" s="28">
        <v>41751.537245370368</v>
      </c>
      <c r="KJ32" s="28">
        <v>41751.538541666669</v>
      </c>
      <c r="KK32" s="21" t="s">
        <v>860</v>
      </c>
      <c r="LS32" s="117" t="s">
        <v>812</v>
      </c>
      <c r="NU32" s="49" t="s">
        <v>803</v>
      </c>
      <c r="NV32" s="21">
        <v>1</v>
      </c>
      <c r="NW32" s="22" t="s">
        <v>104</v>
      </c>
      <c r="NX32" s="22" t="s">
        <v>813</v>
      </c>
      <c r="OA32" s="21" t="s">
        <v>58</v>
      </c>
      <c r="OB32" s="22" t="s">
        <v>351</v>
      </c>
      <c r="OC32" s="21" t="s">
        <v>22</v>
      </c>
    </row>
    <row r="33" spans="1:396" ht="51">
      <c r="B33" s="37">
        <v>1</v>
      </c>
      <c r="C33" s="43" t="s">
        <v>804</v>
      </c>
      <c r="E33" s="22"/>
      <c r="F33" s="23"/>
      <c r="G33" s="23"/>
      <c r="O33" s="22" t="s">
        <v>519</v>
      </c>
      <c r="AW33" s="21"/>
      <c r="EO33" s="112">
        <v>6</v>
      </c>
      <c r="EP33" s="112" t="s">
        <v>1086</v>
      </c>
      <c r="EQ33" s="116">
        <v>2025</v>
      </c>
      <c r="ER33" s="117">
        <v>546</v>
      </c>
      <c r="ES33" s="116" t="s">
        <v>449</v>
      </c>
      <c r="ET33" s="116">
        <v>23456723</v>
      </c>
      <c r="EV33" s="116" t="s">
        <v>1089</v>
      </c>
      <c r="EW33" s="116">
        <v>10</v>
      </c>
      <c r="EX33" s="116">
        <v>2018</v>
      </c>
      <c r="GU33" s="169"/>
      <c r="GV33" s="169"/>
      <c r="HB33" s="47"/>
      <c r="HC33" s="40"/>
      <c r="HD33" s="45" t="s">
        <v>716</v>
      </c>
      <c r="HE33" s="22" t="s">
        <v>814</v>
      </c>
      <c r="HO33" s="22" t="s">
        <v>444</v>
      </c>
      <c r="HP33" s="21" t="s">
        <v>445</v>
      </c>
      <c r="HQ33" s="46" t="s">
        <v>485</v>
      </c>
      <c r="HS33" s="21">
        <v>11</v>
      </c>
      <c r="HT33" s="21" t="s">
        <v>446</v>
      </c>
      <c r="HU33" s="21">
        <v>2037</v>
      </c>
      <c r="HV33" s="21" t="s">
        <v>530</v>
      </c>
      <c r="HW33" s="22" t="s">
        <v>695</v>
      </c>
      <c r="HX33" s="21">
        <v>10</v>
      </c>
      <c r="HY33" s="21">
        <v>2021</v>
      </c>
      <c r="HZ33" s="22" t="s">
        <v>452</v>
      </c>
      <c r="IA33" s="22"/>
      <c r="IB33" s="22"/>
      <c r="IC33" s="22"/>
      <c r="IF33" s="117" t="s">
        <v>528</v>
      </c>
      <c r="IG33" s="117" t="s">
        <v>74</v>
      </c>
      <c r="II33" s="21">
        <v>660</v>
      </c>
      <c r="IK33" s="47"/>
      <c r="IL33" s="116" t="s">
        <v>450</v>
      </c>
      <c r="IM33" s="116" t="s">
        <v>437</v>
      </c>
      <c r="IN33" s="22" t="s">
        <v>438</v>
      </c>
      <c r="IP33" s="41">
        <v>41759</v>
      </c>
      <c r="IQ33" s="21" t="s">
        <v>788</v>
      </c>
      <c r="IS33" s="21" t="s">
        <v>772</v>
      </c>
      <c r="IT33" s="21" t="s">
        <v>439</v>
      </c>
      <c r="IU33" s="21" t="s">
        <v>440</v>
      </c>
      <c r="IV33" s="21" t="s">
        <v>447</v>
      </c>
      <c r="IW33" s="116" t="s">
        <v>1136</v>
      </c>
      <c r="IX33" s="21" t="s">
        <v>492</v>
      </c>
      <c r="IY33" s="21">
        <v>7</v>
      </c>
      <c r="IZ33" s="21">
        <v>1989</v>
      </c>
      <c r="JA33" s="21" t="s">
        <v>78</v>
      </c>
      <c r="JB33" s="22" t="s">
        <v>443</v>
      </c>
      <c r="JC33" s="21">
        <v>123456</v>
      </c>
      <c r="JD33" s="21">
        <v>123456</v>
      </c>
      <c r="JE33" s="21" t="s">
        <v>492</v>
      </c>
      <c r="JF33" s="21">
        <v>7</v>
      </c>
      <c r="JG33" s="21">
        <v>2026</v>
      </c>
      <c r="JH33" s="21" t="s">
        <v>448</v>
      </c>
      <c r="JI33" s="22" t="s">
        <v>529</v>
      </c>
      <c r="JJ33" s="22" t="s">
        <v>529</v>
      </c>
      <c r="JK33" s="22" t="s">
        <v>809</v>
      </c>
      <c r="JL33" s="22" t="s">
        <v>809</v>
      </c>
      <c r="JM33" s="21" t="s">
        <v>449</v>
      </c>
      <c r="JN33" s="22">
        <v>123</v>
      </c>
      <c r="JO33" s="21" t="s">
        <v>530</v>
      </c>
      <c r="JP33" s="22" t="s">
        <v>531</v>
      </c>
      <c r="JQ33" s="22" t="s">
        <v>515</v>
      </c>
      <c r="JR33" s="22" t="s">
        <v>886</v>
      </c>
      <c r="JS33" s="22" t="s">
        <v>194</v>
      </c>
      <c r="JT33" s="21" t="s">
        <v>440</v>
      </c>
      <c r="JU33" s="21" t="s">
        <v>479</v>
      </c>
      <c r="JV33" s="21">
        <v>108</v>
      </c>
      <c r="JW33" s="21">
        <v>10</v>
      </c>
      <c r="JX33" s="21">
        <v>2018</v>
      </c>
      <c r="JY33" s="22" t="s">
        <v>451</v>
      </c>
      <c r="JZ33" s="22" t="s">
        <v>452</v>
      </c>
      <c r="KB33" s="113" t="s">
        <v>489</v>
      </c>
      <c r="KC33" s="22"/>
      <c r="KI33" s="28">
        <v>41741.860115740739</v>
      </c>
      <c r="KJ33" s="28">
        <v>41741.86146990741</v>
      </c>
      <c r="KK33" s="21" t="s">
        <v>782</v>
      </c>
      <c r="LS33" s="22" t="s">
        <v>812</v>
      </c>
      <c r="NU33" s="49" t="s">
        <v>804</v>
      </c>
      <c r="NV33" s="21">
        <v>1</v>
      </c>
      <c r="NW33" s="22" t="s">
        <v>104</v>
      </c>
      <c r="NX33" s="22" t="s">
        <v>813</v>
      </c>
      <c r="OA33" s="21" t="s">
        <v>58</v>
      </c>
      <c r="OB33" s="22" t="s">
        <v>351</v>
      </c>
      <c r="OC33" s="21" t="s">
        <v>22</v>
      </c>
    </row>
    <row r="34" spans="1:396" ht="51">
      <c r="B34" s="37">
        <v>1</v>
      </c>
      <c r="C34" s="43" t="s">
        <v>805</v>
      </c>
      <c r="E34" s="22"/>
      <c r="F34" s="23"/>
      <c r="G34" s="23"/>
      <c r="O34" s="22" t="s">
        <v>519</v>
      </c>
      <c r="AW34" s="21"/>
      <c r="EO34" s="112">
        <v>7</v>
      </c>
      <c r="EP34" s="112" t="s">
        <v>1087</v>
      </c>
      <c r="EQ34" s="116">
        <v>2026</v>
      </c>
      <c r="ER34" s="117">
        <v>123</v>
      </c>
      <c r="ES34" s="116" t="s">
        <v>449</v>
      </c>
      <c r="ET34" s="116">
        <v>23456723</v>
      </c>
      <c r="GU34" s="169"/>
      <c r="GV34" s="169"/>
      <c r="HB34" s="47"/>
      <c r="HC34" s="40"/>
      <c r="HD34" s="45" t="s">
        <v>716</v>
      </c>
      <c r="HE34" s="22" t="s">
        <v>814</v>
      </c>
      <c r="HF34" s="22" t="s">
        <v>456</v>
      </c>
      <c r="HG34" s="22" t="s">
        <v>723</v>
      </c>
      <c r="HH34" s="21" t="s">
        <v>69</v>
      </c>
      <c r="HI34" s="21">
        <v>800</v>
      </c>
      <c r="HO34" s="22" t="s">
        <v>444</v>
      </c>
      <c r="HP34" s="21" t="s">
        <v>445</v>
      </c>
      <c r="HQ34" s="46" t="s">
        <v>486</v>
      </c>
      <c r="HS34" s="21">
        <v>11</v>
      </c>
      <c r="HT34" s="21" t="s">
        <v>446</v>
      </c>
      <c r="HU34" s="21">
        <v>2037</v>
      </c>
      <c r="HV34" s="21" t="s">
        <v>530</v>
      </c>
      <c r="HW34" s="22" t="s">
        <v>695</v>
      </c>
      <c r="HX34" s="21">
        <v>10</v>
      </c>
      <c r="HY34" s="21">
        <v>2021</v>
      </c>
      <c r="HZ34" s="22" t="s">
        <v>452</v>
      </c>
      <c r="IA34" s="22"/>
      <c r="IB34" s="22"/>
      <c r="IC34" s="22"/>
      <c r="IF34" s="117" t="s">
        <v>723</v>
      </c>
      <c r="IG34" s="117" t="s">
        <v>74</v>
      </c>
      <c r="II34" s="21">
        <v>520</v>
      </c>
      <c r="IK34" s="47"/>
      <c r="IL34" s="116" t="s">
        <v>450</v>
      </c>
      <c r="IM34" s="116" t="s">
        <v>437</v>
      </c>
      <c r="IN34" s="22" t="s">
        <v>789</v>
      </c>
      <c r="IO34" s="22" t="s">
        <v>791</v>
      </c>
      <c r="IP34" s="41">
        <v>41759</v>
      </c>
      <c r="IQ34" s="21" t="s">
        <v>808</v>
      </c>
      <c r="IS34" s="21" t="s">
        <v>772</v>
      </c>
      <c r="IT34" s="21" t="s">
        <v>439</v>
      </c>
      <c r="IU34" s="21" t="s">
        <v>474</v>
      </c>
      <c r="IV34" s="21" t="s">
        <v>447</v>
      </c>
      <c r="IW34" s="116" t="s">
        <v>471</v>
      </c>
      <c r="IX34" s="21" t="s">
        <v>493</v>
      </c>
      <c r="IY34" s="21">
        <v>8</v>
      </c>
      <c r="IZ34" s="21">
        <v>1990</v>
      </c>
      <c r="JA34" s="21" t="s">
        <v>78</v>
      </c>
      <c r="JB34" s="22" t="s">
        <v>443</v>
      </c>
      <c r="JC34" s="21">
        <v>123456</v>
      </c>
      <c r="JD34" s="21">
        <v>123456</v>
      </c>
      <c r="JE34" s="21" t="s">
        <v>493</v>
      </c>
      <c r="JF34" s="21">
        <v>8</v>
      </c>
      <c r="JG34" s="21">
        <v>2027</v>
      </c>
      <c r="JH34" s="21" t="s">
        <v>448</v>
      </c>
      <c r="JI34" s="22" t="s">
        <v>529</v>
      </c>
      <c r="JJ34" s="22" t="s">
        <v>529</v>
      </c>
      <c r="JK34" s="22" t="s">
        <v>809</v>
      </c>
      <c r="JL34" s="22" t="s">
        <v>809</v>
      </c>
      <c r="JM34" s="21" t="s">
        <v>449</v>
      </c>
      <c r="JN34" s="22">
        <v>456</v>
      </c>
      <c r="JO34" s="21" t="s">
        <v>530</v>
      </c>
      <c r="JP34" s="22" t="s">
        <v>531</v>
      </c>
      <c r="JQ34" s="22" t="s">
        <v>515</v>
      </c>
      <c r="JR34" s="22" t="s">
        <v>886</v>
      </c>
      <c r="JS34" s="22" t="s">
        <v>194</v>
      </c>
      <c r="JT34" s="21" t="s">
        <v>474</v>
      </c>
      <c r="JU34" s="21" t="s">
        <v>475</v>
      </c>
      <c r="JV34" s="21">
        <v>108</v>
      </c>
      <c r="JW34" s="21">
        <v>10</v>
      </c>
      <c r="JX34" s="21">
        <v>2019</v>
      </c>
      <c r="JY34" s="22" t="s">
        <v>451</v>
      </c>
      <c r="JZ34" s="22" t="s">
        <v>452</v>
      </c>
      <c r="KA34" s="47"/>
      <c r="KB34" s="113" t="s">
        <v>489</v>
      </c>
      <c r="KC34" s="22"/>
      <c r="KI34" s="28">
        <v>41741.861493055556</v>
      </c>
      <c r="KJ34" s="28">
        <v>41741.864155092589</v>
      </c>
      <c r="KK34" s="21" t="s">
        <v>822</v>
      </c>
      <c r="LT34" s="22" t="s">
        <v>790</v>
      </c>
      <c r="NU34" s="49" t="s">
        <v>805</v>
      </c>
      <c r="NV34" s="21">
        <v>1</v>
      </c>
      <c r="NW34" s="22" t="s">
        <v>104</v>
      </c>
      <c r="NX34" s="22" t="s">
        <v>813</v>
      </c>
      <c r="OA34" s="21" t="s">
        <v>58</v>
      </c>
      <c r="OB34" s="22" t="s">
        <v>351</v>
      </c>
      <c r="OC34" s="21" t="s">
        <v>22</v>
      </c>
    </row>
    <row r="35" spans="1:396" s="116" customFormat="1" ht="15" customHeight="1">
      <c r="A35" s="120"/>
      <c r="B35" s="190">
        <v>2</v>
      </c>
      <c r="C35" s="189" t="s">
        <v>310</v>
      </c>
      <c r="D35" s="188" t="s">
        <v>1393</v>
      </c>
      <c r="E35" s="117" t="s">
        <v>1394</v>
      </c>
      <c r="F35" s="121" t="str">
        <f>HYPERLINK("C:\RaviK\NewFramework_Excel Properies\SALT SVN 13.01 Release\Projects\SALT\Snapshots\HappyPath_SingleProduct_AUS_IN-MU-LT-J27116\2015311\11619\Iterator_2\HappyPath_SingleProduct_AUS2.xlsx","Snapshot")</f>
        <v>Snapshot</v>
      </c>
      <c r="G35" s="121" t="str">
        <f>HYPERLINK("C:\RaviK\NewFramework_Excel Properies\SALT SVN 13.01 Release\Projects\SALT\Snapshots\HappyPath_SingleProduct_AUS_IN-MU-LT-J27116\2015311\11619\Iterator_2\Merge.html","Result")</f>
        <v>Result</v>
      </c>
      <c r="N35" s="117" t="s">
        <v>1135</v>
      </c>
      <c r="O35" s="117" t="s">
        <v>519</v>
      </c>
      <c r="BL35" s="117" t="s">
        <v>531</v>
      </c>
      <c r="EL35" s="116">
        <v>6</v>
      </c>
      <c r="EM35" s="116" t="s">
        <v>1085</v>
      </c>
      <c r="EN35" s="116">
        <v>1988</v>
      </c>
      <c r="EO35" s="112">
        <v>8</v>
      </c>
      <c r="EP35" s="112" t="s">
        <v>1086</v>
      </c>
      <c r="EQ35" s="116">
        <v>2027</v>
      </c>
      <c r="ER35" s="117">
        <v>456</v>
      </c>
      <c r="ES35" s="116" t="s">
        <v>449</v>
      </c>
      <c r="ET35" s="116">
        <v>23456723</v>
      </c>
      <c r="EU35" s="117">
        <v>60000</v>
      </c>
      <c r="EV35" s="116" t="s">
        <v>1089</v>
      </c>
      <c r="EW35" s="116">
        <v>10</v>
      </c>
      <c r="EX35" s="116">
        <v>2018</v>
      </c>
      <c r="EY35" s="123">
        <v>41758.540138888886</v>
      </c>
      <c r="EZ35" s="116" t="s">
        <v>984</v>
      </c>
      <c r="FC35" s="18" t="s">
        <v>351</v>
      </c>
      <c r="GJ35" s="116">
        <v>410</v>
      </c>
      <c r="GK35" s="99">
        <v>655.48</v>
      </c>
      <c r="GL35" s="13"/>
      <c r="GM35" s="122" t="s">
        <v>716</v>
      </c>
      <c r="GP35" s="117" t="s">
        <v>519</v>
      </c>
      <c r="GR35" s="117" t="s">
        <v>489</v>
      </c>
      <c r="GU35" s="169"/>
      <c r="GV35" s="169"/>
      <c r="HM35" s="123">
        <v>41758.535266203704</v>
      </c>
      <c r="HO35" s="116" t="s">
        <v>445</v>
      </c>
      <c r="HP35" s="116">
        <v>2</v>
      </c>
      <c r="HQ35" s="119" t="s">
        <v>487</v>
      </c>
      <c r="HS35" s="116" t="s">
        <v>446</v>
      </c>
      <c r="HT35" s="116">
        <v>12</v>
      </c>
      <c r="HU35" s="116">
        <v>2037</v>
      </c>
      <c r="HV35" s="116" t="s">
        <v>530</v>
      </c>
      <c r="HW35" s="117" t="s">
        <v>695</v>
      </c>
      <c r="HX35" s="116">
        <v>10</v>
      </c>
      <c r="HY35" s="116">
        <v>2021</v>
      </c>
      <c r="HZ35" s="117" t="b">
        <v>0</v>
      </c>
      <c r="IA35" s="117" t="s">
        <v>838</v>
      </c>
      <c r="IB35" s="117" t="s">
        <v>838</v>
      </c>
      <c r="IC35" s="117" t="s">
        <v>838</v>
      </c>
      <c r="ID35" s="117" t="s">
        <v>519</v>
      </c>
      <c r="IE35" s="116">
        <v>1234</v>
      </c>
      <c r="IF35" s="117" t="s">
        <v>528</v>
      </c>
      <c r="IG35" s="117" t="s">
        <v>74</v>
      </c>
      <c r="IH35" s="118" t="s">
        <v>1299</v>
      </c>
      <c r="II35" s="116">
        <v>800</v>
      </c>
      <c r="IJ35" s="116" t="s">
        <v>1315</v>
      </c>
      <c r="IK35" s="99" t="s">
        <v>1316</v>
      </c>
      <c r="IL35" s="117" t="s">
        <v>1185</v>
      </c>
      <c r="IM35" s="116" t="s">
        <v>437</v>
      </c>
      <c r="IN35" s="117" t="s">
        <v>438</v>
      </c>
      <c r="IR35" s="99"/>
      <c r="IT35" s="116" t="s">
        <v>439</v>
      </c>
      <c r="IU35" s="116" t="s">
        <v>1140</v>
      </c>
      <c r="IV35" s="116" t="s">
        <v>447</v>
      </c>
      <c r="IW35" s="116" t="s">
        <v>1140</v>
      </c>
      <c r="IX35" s="116" t="s">
        <v>494</v>
      </c>
      <c r="IY35" s="116">
        <v>9</v>
      </c>
      <c r="IZ35" s="116">
        <v>1987</v>
      </c>
      <c r="JA35" s="116" t="s">
        <v>78</v>
      </c>
      <c r="JB35" s="117" t="s">
        <v>443</v>
      </c>
      <c r="JC35" s="116">
        <v>123456</v>
      </c>
      <c r="JD35" s="116">
        <v>123456</v>
      </c>
      <c r="JE35" s="116" t="s">
        <v>494</v>
      </c>
      <c r="JF35" s="116">
        <v>9</v>
      </c>
      <c r="JG35" s="116">
        <v>2028</v>
      </c>
      <c r="JH35" s="116" t="s">
        <v>1137</v>
      </c>
      <c r="JI35" s="117" t="s">
        <v>1134</v>
      </c>
      <c r="JJ35" s="117" t="s">
        <v>1134</v>
      </c>
      <c r="JK35" s="117" t="s">
        <v>809</v>
      </c>
      <c r="JL35" s="117" t="s">
        <v>809</v>
      </c>
      <c r="JM35" s="116" t="s">
        <v>449</v>
      </c>
      <c r="JN35" s="117">
        <v>546</v>
      </c>
      <c r="JO35" s="116" t="s">
        <v>530</v>
      </c>
      <c r="JP35" s="177" t="s">
        <v>1156</v>
      </c>
      <c r="JQ35" s="117" t="s">
        <v>1157</v>
      </c>
      <c r="JR35" s="117" t="s">
        <v>453</v>
      </c>
      <c r="JS35" s="117" t="s">
        <v>194</v>
      </c>
      <c r="JU35" s="116" t="s">
        <v>476</v>
      </c>
      <c r="JV35" s="116">
        <v>108</v>
      </c>
      <c r="JW35" s="116">
        <v>10</v>
      </c>
      <c r="JX35" s="116">
        <v>2020</v>
      </c>
      <c r="JY35" s="117" t="s">
        <v>451</v>
      </c>
      <c r="JZ35" s="117" t="s">
        <v>452</v>
      </c>
      <c r="KA35" s="99">
        <v>1311.24</v>
      </c>
      <c r="KB35" s="113" t="s">
        <v>489</v>
      </c>
      <c r="KC35" s="117" t="s">
        <v>1317</v>
      </c>
      <c r="KI35" s="123">
        <v>42074.462719907409</v>
      </c>
      <c r="KJ35" s="123">
        <v>42074.464861111112</v>
      </c>
      <c r="KK35" s="116" t="s">
        <v>1307</v>
      </c>
      <c r="LS35" s="117" t="s">
        <v>1184</v>
      </c>
      <c r="OA35" s="116" t="s">
        <v>58</v>
      </c>
      <c r="OB35" s="18" t="s">
        <v>351</v>
      </c>
      <c r="OC35" s="116" t="s">
        <v>22</v>
      </c>
      <c r="OD35" s="116" t="s">
        <v>22</v>
      </c>
    </row>
    <row r="36" spans="1:396" s="116" customFormat="1" ht="15" customHeight="1">
      <c r="A36" s="120"/>
      <c r="B36" s="190">
        <v>3</v>
      </c>
      <c r="C36" s="189" t="s">
        <v>310</v>
      </c>
      <c r="D36" s="188" t="s">
        <v>1400</v>
      </c>
      <c r="E36" s="117" t="s">
        <v>1394</v>
      </c>
      <c r="F36" s="121" t="str">
        <f>HYPERLINK("C:\RaviK\NewFramework_Excel Properies\SALT SVN 13.01 Release\Projects\SALT\Snapshots\HappyPath_SingleProduct_AUS_IN-MU-LT-J27116\2015311\115248\Iterator_3\HappyPath_SingleProduct_AUS3.xlsx","Snapshot")</f>
        <v>Snapshot</v>
      </c>
      <c r="G36" s="121" t="str">
        <f>HYPERLINK("C:\RaviK\NewFramework_Excel Properies\SALT SVN 13.01 Release\Projects\SALT\Snapshots\HappyPath_SingleProduct_AUS_IN-MU-LT-J27116\2015311\115248\Iterator_3\Merge.html","Result")</f>
        <v>Result</v>
      </c>
      <c r="N36" s="117" t="s">
        <v>1135</v>
      </c>
      <c r="O36" s="117" t="s">
        <v>519</v>
      </c>
      <c r="BL36" s="117" t="s">
        <v>531</v>
      </c>
      <c r="EL36" s="116">
        <v>8</v>
      </c>
      <c r="EM36" s="116" t="s">
        <v>1085</v>
      </c>
      <c r="EN36" s="116">
        <v>1988</v>
      </c>
      <c r="EO36" s="112">
        <v>9</v>
      </c>
      <c r="EP36" s="112" t="s">
        <v>1088</v>
      </c>
      <c r="EQ36" s="116">
        <v>2028</v>
      </c>
      <c r="ER36" s="117">
        <v>546</v>
      </c>
      <c r="ES36" s="116" t="s">
        <v>449</v>
      </c>
      <c r="ET36" s="116">
        <v>23456723</v>
      </c>
      <c r="EU36" s="117">
        <v>60000</v>
      </c>
      <c r="EV36" s="116" t="s">
        <v>1089</v>
      </c>
      <c r="EW36" s="116">
        <v>10</v>
      </c>
      <c r="EX36" s="116">
        <v>2018</v>
      </c>
      <c r="EY36" s="123">
        <v>41757.956608796296</v>
      </c>
      <c r="EZ36" s="116" t="s">
        <v>985</v>
      </c>
      <c r="FC36" s="18" t="s">
        <v>351</v>
      </c>
      <c r="GJ36" s="116">
        <v>600</v>
      </c>
      <c r="GK36" s="99">
        <v>674.99</v>
      </c>
      <c r="GL36" s="13"/>
      <c r="GM36" s="122" t="s">
        <v>716</v>
      </c>
      <c r="GP36" s="117" t="s">
        <v>519</v>
      </c>
      <c r="GR36" s="117" t="s">
        <v>489</v>
      </c>
      <c r="GU36" s="169"/>
      <c r="GV36" s="169"/>
      <c r="HM36" s="123">
        <v>41757.952361111114</v>
      </c>
      <c r="HO36" s="116" t="s">
        <v>445</v>
      </c>
      <c r="HP36" s="116">
        <v>3</v>
      </c>
      <c r="HQ36" s="119" t="s">
        <v>487</v>
      </c>
      <c r="HS36" s="116" t="s">
        <v>446</v>
      </c>
      <c r="HT36" s="116">
        <v>13</v>
      </c>
      <c r="HU36" s="116">
        <v>2037</v>
      </c>
      <c r="HV36" s="116" t="s">
        <v>530</v>
      </c>
      <c r="HW36" s="117" t="s">
        <v>695</v>
      </c>
      <c r="HX36" s="116">
        <v>10</v>
      </c>
      <c r="HY36" s="116">
        <v>2021</v>
      </c>
      <c r="HZ36" s="117" t="s">
        <v>452</v>
      </c>
      <c r="IA36" s="117"/>
      <c r="IB36" s="117"/>
      <c r="IC36" s="117"/>
      <c r="ID36" s="117" t="s">
        <v>519</v>
      </c>
      <c r="IF36" s="117" t="s">
        <v>528</v>
      </c>
      <c r="IG36" s="117" t="s">
        <v>64</v>
      </c>
      <c r="IH36" s="118" t="s">
        <v>1395</v>
      </c>
      <c r="II36" s="116">
        <v>900</v>
      </c>
      <c r="IJ36" s="116" t="s">
        <v>1396</v>
      </c>
      <c r="IK36" s="99" t="s">
        <v>1397</v>
      </c>
      <c r="IL36" s="117" t="s">
        <v>1185</v>
      </c>
      <c r="IM36" s="116" t="s">
        <v>437</v>
      </c>
      <c r="IN36" s="117" t="s">
        <v>438</v>
      </c>
      <c r="IR36" s="99"/>
      <c r="IT36" s="116" t="s">
        <v>439</v>
      </c>
      <c r="IU36" s="116" t="s">
        <v>472</v>
      </c>
      <c r="IV36" s="116" t="s">
        <v>447</v>
      </c>
      <c r="IW36" s="116" t="s">
        <v>473</v>
      </c>
      <c r="IX36" s="116" t="s">
        <v>494</v>
      </c>
      <c r="IY36" s="116">
        <v>9</v>
      </c>
      <c r="IZ36" s="116">
        <v>1987</v>
      </c>
      <c r="JA36" s="116" t="s">
        <v>78</v>
      </c>
      <c r="JB36" s="117" t="s">
        <v>443</v>
      </c>
      <c r="JC36" s="116">
        <v>123456</v>
      </c>
      <c r="JD36" s="116">
        <v>123456</v>
      </c>
      <c r="JE36" s="116" t="s">
        <v>494</v>
      </c>
      <c r="JF36" s="116">
        <v>9</v>
      </c>
      <c r="JG36" s="116">
        <v>2028</v>
      </c>
      <c r="JH36" s="116" t="s">
        <v>1137</v>
      </c>
      <c r="JI36" s="117" t="s">
        <v>1134</v>
      </c>
      <c r="JJ36" s="117" t="s">
        <v>1134</v>
      </c>
      <c r="JK36" s="117" t="s">
        <v>809</v>
      </c>
      <c r="JL36" s="117" t="s">
        <v>809</v>
      </c>
      <c r="JM36" s="116" t="s">
        <v>449</v>
      </c>
      <c r="JN36" s="117">
        <v>546</v>
      </c>
      <c r="JO36" s="116" t="s">
        <v>530</v>
      </c>
      <c r="JP36" s="177" t="s">
        <v>1156</v>
      </c>
      <c r="JQ36" s="117" t="s">
        <v>1157</v>
      </c>
      <c r="JR36" s="117" t="s">
        <v>453</v>
      </c>
      <c r="JS36" s="117" t="s">
        <v>194</v>
      </c>
      <c r="JU36" s="116" t="s">
        <v>476</v>
      </c>
      <c r="JV36" s="116">
        <v>108</v>
      </c>
      <c r="JW36" s="116">
        <v>10</v>
      </c>
      <c r="JX36" s="116">
        <v>2020</v>
      </c>
      <c r="JY36" s="117" t="s">
        <v>451</v>
      </c>
      <c r="JZ36" s="117" t="s">
        <v>452</v>
      </c>
      <c r="KA36" s="116">
        <v>891.23</v>
      </c>
      <c r="KB36" s="113" t="s">
        <v>489</v>
      </c>
      <c r="KC36" s="117" t="s">
        <v>1398</v>
      </c>
      <c r="KI36" s="123">
        <v>42074.495000000003</v>
      </c>
      <c r="KJ36" s="123">
        <v>42074.498159722221</v>
      </c>
      <c r="KK36" s="116" t="s">
        <v>1399</v>
      </c>
      <c r="LS36" s="117" t="s">
        <v>1184</v>
      </c>
      <c r="OA36" s="116" t="s">
        <v>58</v>
      </c>
      <c r="OB36" s="18" t="s">
        <v>351</v>
      </c>
      <c r="OC36" s="116" t="s">
        <v>22</v>
      </c>
      <c r="OD36" s="116" t="s">
        <v>22</v>
      </c>
      <c r="OF36" s="117"/>
    </row>
    <row r="37" spans="1:396" s="116" customFormat="1" ht="15" customHeight="1">
      <c r="A37" s="120"/>
      <c r="B37" s="190">
        <v>4</v>
      </c>
      <c r="C37" s="189" t="s">
        <v>310</v>
      </c>
      <c r="D37" s="188" t="s">
        <v>1400</v>
      </c>
      <c r="E37" s="117" t="s">
        <v>1394</v>
      </c>
      <c r="F37" s="121" t="str">
        <f>HYPERLINK("C:\RaviK\NewFramework_Excel Properies\SALT SVN 13.01 Release\Projects\SALT\Snapshots\HappyPath_SingleProduct_AUS_IN-MU-LT-J27116\2015311\12222\Iterator_4\HappyPath_SingleProduct_AUS4.xlsx","Snapshot")</f>
        <v>Snapshot</v>
      </c>
      <c r="G37" s="121" t="str">
        <f>HYPERLINK("C:\RaviK\NewFramework_Excel Properies\SALT SVN 13.01 Release\Projects\SALT\Snapshots\HappyPath_SingleProduct_AUS_IN-MU-LT-J27116\2015311\12222\Iterator_4\Merge.html","Result")</f>
        <v>Result</v>
      </c>
      <c r="N37" s="117" t="s">
        <v>1135</v>
      </c>
      <c r="O37" s="117" t="s">
        <v>519</v>
      </c>
      <c r="BL37" s="117" t="s">
        <v>531</v>
      </c>
      <c r="EL37" s="116">
        <v>3</v>
      </c>
      <c r="EM37" s="116" t="s">
        <v>1085</v>
      </c>
      <c r="EN37" s="116">
        <v>1988</v>
      </c>
      <c r="EO37" s="112">
        <v>1</v>
      </c>
      <c r="EP37" s="112" t="s">
        <v>1082</v>
      </c>
      <c r="EQ37" s="116">
        <v>2020</v>
      </c>
      <c r="ER37" s="117">
        <v>123</v>
      </c>
      <c r="ES37" s="116" t="s">
        <v>449</v>
      </c>
      <c r="ET37" s="116">
        <v>23456723</v>
      </c>
      <c r="EU37" s="117">
        <v>60000</v>
      </c>
      <c r="EV37" s="116" t="s">
        <v>1089</v>
      </c>
      <c r="EW37" s="116">
        <v>10</v>
      </c>
      <c r="EX37" s="116">
        <v>2018</v>
      </c>
      <c r="EY37" s="123">
        <v>41757.960833333331</v>
      </c>
      <c r="EZ37" s="116" t="s">
        <v>835</v>
      </c>
      <c r="FC37" s="18" t="s">
        <v>351</v>
      </c>
      <c r="GJ37" s="116">
        <v>440</v>
      </c>
      <c r="GK37" s="99">
        <v>703.44</v>
      </c>
      <c r="GL37" s="13"/>
      <c r="GM37" s="122" t="s">
        <v>716</v>
      </c>
      <c r="GP37" s="117" t="s">
        <v>519</v>
      </c>
      <c r="GR37" s="117" t="s">
        <v>74</v>
      </c>
      <c r="GU37" s="169"/>
      <c r="GV37" s="169"/>
      <c r="HM37" s="123">
        <v>41757.956655092596</v>
      </c>
      <c r="HO37" s="116" t="s">
        <v>445</v>
      </c>
      <c r="HP37" s="116">
        <v>4</v>
      </c>
      <c r="HQ37" s="119" t="s">
        <v>483</v>
      </c>
      <c r="HS37" s="116" t="s">
        <v>446</v>
      </c>
      <c r="HT37" s="116">
        <v>14</v>
      </c>
      <c r="HU37" s="116">
        <v>2037</v>
      </c>
      <c r="HV37" s="116" t="s">
        <v>530</v>
      </c>
      <c r="HW37" s="117" t="s">
        <v>695</v>
      </c>
      <c r="HX37" s="116">
        <v>10</v>
      </c>
      <c r="HY37" s="116">
        <v>2021</v>
      </c>
      <c r="HZ37" s="117" t="s">
        <v>452</v>
      </c>
      <c r="IA37" s="117"/>
      <c r="IB37" s="117"/>
      <c r="IC37" s="117"/>
      <c r="ID37" s="117" t="s">
        <v>519</v>
      </c>
      <c r="IF37" s="117" t="s">
        <v>528</v>
      </c>
      <c r="IG37" s="117" t="s">
        <v>470</v>
      </c>
      <c r="IH37" s="118" t="s">
        <v>1395</v>
      </c>
      <c r="II37" s="116">
        <v>1200</v>
      </c>
      <c r="IJ37" s="116" t="s">
        <v>1401</v>
      </c>
      <c r="IK37" s="99" t="s">
        <v>1402</v>
      </c>
      <c r="IL37" s="117" t="s">
        <v>1185</v>
      </c>
      <c r="IM37" s="116" t="s">
        <v>437</v>
      </c>
      <c r="IN37" s="117" t="s">
        <v>438</v>
      </c>
      <c r="IR37" s="99"/>
      <c r="IT37" s="116" t="s">
        <v>439</v>
      </c>
      <c r="IU37" s="116" t="s">
        <v>473</v>
      </c>
      <c r="IV37" s="116" t="s">
        <v>447</v>
      </c>
      <c r="IW37" s="116" t="s">
        <v>1136</v>
      </c>
      <c r="IX37" s="116" t="s">
        <v>446</v>
      </c>
      <c r="IY37" s="116">
        <v>10</v>
      </c>
      <c r="IZ37" s="116">
        <v>1988</v>
      </c>
      <c r="JA37" s="116" t="s">
        <v>78</v>
      </c>
      <c r="JB37" s="117" t="s">
        <v>443</v>
      </c>
      <c r="JC37" s="116">
        <v>123456</v>
      </c>
      <c r="JD37" s="116">
        <v>123456</v>
      </c>
      <c r="JE37" s="116" t="s">
        <v>446</v>
      </c>
      <c r="JF37" s="116">
        <v>10</v>
      </c>
      <c r="JG37" s="116">
        <v>2029</v>
      </c>
      <c r="JH37" s="116" t="s">
        <v>1137</v>
      </c>
      <c r="JI37" s="117" t="s">
        <v>1134</v>
      </c>
      <c r="JJ37" s="117" t="s">
        <v>1134</v>
      </c>
      <c r="JK37" s="117" t="s">
        <v>809</v>
      </c>
      <c r="JL37" s="117" t="s">
        <v>809</v>
      </c>
      <c r="JM37" s="116" t="s">
        <v>449</v>
      </c>
      <c r="JN37" s="117">
        <v>123</v>
      </c>
      <c r="JO37" s="116" t="s">
        <v>530</v>
      </c>
      <c r="JP37" s="177" t="s">
        <v>1156</v>
      </c>
      <c r="JQ37" s="117" t="s">
        <v>1157</v>
      </c>
      <c r="JR37" s="117" t="s">
        <v>453</v>
      </c>
      <c r="JS37" s="117" t="s">
        <v>194</v>
      </c>
      <c r="JU37" s="116" t="s">
        <v>441</v>
      </c>
      <c r="JV37" s="116">
        <v>108</v>
      </c>
      <c r="JW37" s="116">
        <v>10</v>
      </c>
      <c r="JX37" s="116">
        <v>2021</v>
      </c>
      <c r="JY37" s="117" t="s">
        <v>451</v>
      </c>
      <c r="JZ37" s="117" t="s">
        <v>452</v>
      </c>
      <c r="KA37" s="99">
        <v>1356.8</v>
      </c>
      <c r="KB37" s="113" t="s">
        <v>489</v>
      </c>
      <c r="KC37" s="117" t="s">
        <v>1403</v>
      </c>
      <c r="KI37" s="123">
        <v>42074.501643518517</v>
      </c>
      <c r="KJ37" s="123">
        <v>42074.506620370368</v>
      </c>
      <c r="KK37" s="116" t="s">
        <v>1404</v>
      </c>
      <c r="LS37" s="117" t="s">
        <v>1184</v>
      </c>
      <c r="OA37" s="116" t="s">
        <v>58</v>
      </c>
      <c r="OB37" s="18" t="s">
        <v>351</v>
      </c>
      <c r="OC37" s="116" t="s">
        <v>22</v>
      </c>
      <c r="OD37" s="116" t="s">
        <v>22</v>
      </c>
      <c r="OF37" s="117"/>
    </row>
    <row r="38" spans="1:396" s="176" customFormat="1" ht="15" customHeight="1">
      <c r="A38" s="120"/>
      <c r="B38" s="190">
        <v>5</v>
      </c>
      <c r="C38" s="189" t="s">
        <v>310</v>
      </c>
      <c r="D38" s="188" t="s">
        <v>1400</v>
      </c>
      <c r="E38" s="177" t="s">
        <v>1394</v>
      </c>
      <c r="F38" s="178" t="str">
        <f>HYPERLINK("C:\RaviK\NewFramework_Excel Properies\SALT SVN 13.01 Release\Projects\SALT\Snapshots\HappyPath_SingleProduct_AUS_IN-MU-LT-J27116\2015311\12933\Iterator_5\HappyPath_SingleProduct_AUS5.xlsx","Snapshot")</f>
        <v>Snapshot</v>
      </c>
      <c r="G38" s="178" t="str">
        <f>HYPERLINK("C:\RaviK\NewFramework_Excel Properies\SALT SVN 13.01 Release\Projects\SALT\Snapshots\HappyPath_SingleProduct_AUS_IN-MU-LT-J27116\2015311\12933\Iterator_5\Merge.html","Result")</f>
        <v>Result</v>
      </c>
      <c r="H38" s="116"/>
      <c r="I38" s="116"/>
      <c r="J38" s="116"/>
      <c r="K38" s="116"/>
      <c r="L38" s="116"/>
      <c r="N38" s="177" t="s">
        <v>1151</v>
      </c>
      <c r="O38" s="177" t="s">
        <v>1150</v>
      </c>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7" t="s">
        <v>531</v>
      </c>
      <c r="BM38" s="116"/>
      <c r="BN38" s="116"/>
      <c r="BO38" s="116"/>
      <c r="BP38" s="116"/>
      <c r="BQ38" s="116"/>
      <c r="BR38" s="116"/>
      <c r="BS38" s="116"/>
      <c r="BT38" s="116"/>
      <c r="BU38" s="116"/>
      <c r="BV38" s="116"/>
      <c r="BW38" s="116"/>
      <c r="BX38" s="116"/>
      <c r="BY38" s="116"/>
      <c r="BZ38" s="116"/>
      <c r="CA38" s="116"/>
      <c r="CB38" s="116"/>
      <c r="CC38" s="116"/>
      <c r="CD38" s="116"/>
      <c r="CE38" s="116"/>
      <c r="CF38" s="116"/>
      <c r="CG38" s="116"/>
      <c r="CH38" s="116"/>
      <c r="CI38" s="116"/>
      <c r="CJ38" s="116"/>
      <c r="CK38" s="116"/>
      <c r="CL38" s="116"/>
      <c r="CM38" s="116"/>
      <c r="CN38" s="116"/>
      <c r="CO38" s="116"/>
      <c r="CP38" s="116"/>
      <c r="CQ38" s="116"/>
      <c r="CR38" s="116"/>
      <c r="CS38" s="116"/>
      <c r="CT38" s="116"/>
      <c r="CU38" s="116"/>
      <c r="CV38" s="116"/>
      <c r="CW38" s="116"/>
      <c r="CX38" s="116"/>
      <c r="CY38" s="116"/>
      <c r="CZ38" s="116"/>
      <c r="DA38" s="116"/>
      <c r="DB38" s="116"/>
      <c r="DC38" s="116"/>
      <c r="DD38" s="116"/>
      <c r="DE38" s="116"/>
      <c r="DF38" s="116"/>
      <c r="DG38" s="116"/>
      <c r="DH38" s="116"/>
      <c r="DI38" s="116"/>
      <c r="DJ38" s="116"/>
      <c r="DK38" s="116"/>
      <c r="DL38" s="116"/>
      <c r="DM38" s="116"/>
      <c r="DN38" s="116"/>
      <c r="DO38" s="116"/>
      <c r="DP38" s="116"/>
      <c r="DQ38" s="116"/>
      <c r="DR38" s="116"/>
      <c r="DS38" s="116"/>
      <c r="DT38" s="116"/>
      <c r="DU38" s="116"/>
      <c r="DV38" s="116"/>
      <c r="DW38" s="116"/>
      <c r="DX38" s="116"/>
      <c r="DY38" s="116"/>
      <c r="DZ38" s="116"/>
      <c r="EA38" s="116"/>
      <c r="EB38" s="116"/>
      <c r="EC38" s="116"/>
      <c r="ED38" s="116"/>
      <c r="EE38" s="116"/>
      <c r="EF38" s="116"/>
      <c r="EG38" s="116"/>
      <c r="EH38" s="116"/>
      <c r="EI38" s="116"/>
      <c r="EJ38" s="116"/>
      <c r="EK38" s="116"/>
      <c r="EL38" s="116">
        <v>9</v>
      </c>
      <c r="EM38" s="116" t="s">
        <v>1085</v>
      </c>
      <c r="EN38" s="116">
        <v>1988</v>
      </c>
      <c r="EO38" s="112">
        <v>8</v>
      </c>
      <c r="EP38" s="112" t="s">
        <v>1086</v>
      </c>
      <c r="EQ38" s="116">
        <v>2027</v>
      </c>
      <c r="ER38" s="117">
        <v>123</v>
      </c>
      <c r="ES38" s="116" t="s">
        <v>449</v>
      </c>
      <c r="ET38" s="116">
        <v>23456723</v>
      </c>
      <c r="EU38" s="117">
        <v>60000</v>
      </c>
      <c r="EV38" s="116" t="s">
        <v>1089</v>
      </c>
      <c r="EW38" s="116">
        <v>10</v>
      </c>
      <c r="EX38" s="116">
        <v>2018</v>
      </c>
      <c r="EY38" s="123">
        <v>41757.965162037035</v>
      </c>
      <c r="EZ38" s="116" t="s">
        <v>986</v>
      </c>
      <c r="FA38" s="116"/>
      <c r="FB38" s="116"/>
      <c r="FC38" s="18" t="s">
        <v>351</v>
      </c>
      <c r="GF38" s="116"/>
      <c r="GG38" s="116"/>
      <c r="GH38" s="116"/>
      <c r="GI38" s="116"/>
      <c r="GJ38" s="99">
        <v>500</v>
      </c>
      <c r="GK38" s="99">
        <v>575.9</v>
      </c>
      <c r="GL38" s="13"/>
      <c r="GM38" s="122" t="s">
        <v>716</v>
      </c>
      <c r="GN38" s="116"/>
      <c r="GO38" s="116"/>
      <c r="GP38" s="117" t="s">
        <v>519</v>
      </c>
      <c r="GQ38" s="116"/>
      <c r="GR38" s="116" t="s">
        <v>807</v>
      </c>
      <c r="GS38" s="116"/>
      <c r="GT38" s="116"/>
      <c r="GU38" s="169"/>
      <c r="GV38" s="169"/>
      <c r="GW38" s="116"/>
      <c r="GX38" s="116"/>
      <c r="GY38" s="116"/>
      <c r="GZ38" s="116"/>
      <c r="HA38" s="116"/>
      <c r="HB38" s="116"/>
      <c r="HC38" s="116"/>
      <c r="HD38" s="116"/>
      <c r="HE38" s="116"/>
      <c r="HF38" s="116"/>
      <c r="HG38" s="116"/>
      <c r="HH38" s="116"/>
      <c r="HI38" s="116"/>
      <c r="HJ38" s="116"/>
      <c r="HK38" s="116"/>
      <c r="HL38" s="116"/>
      <c r="HM38" s="123">
        <v>41757.960868055554</v>
      </c>
      <c r="HN38" s="116"/>
      <c r="HO38" s="116" t="s">
        <v>445</v>
      </c>
      <c r="HP38" s="116">
        <v>5</v>
      </c>
      <c r="HQ38" s="119" t="s">
        <v>484</v>
      </c>
      <c r="HR38" s="116"/>
      <c r="HS38" s="116" t="s">
        <v>446</v>
      </c>
      <c r="HT38" s="116">
        <v>15</v>
      </c>
      <c r="HU38" s="116">
        <v>2037</v>
      </c>
      <c r="HV38" s="116" t="s">
        <v>530</v>
      </c>
      <c r="HW38" s="117" t="s">
        <v>695</v>
      </c>
      <c r="HX38" s="116">
        <v>10</v>
      </c>
      <c r="HY38" s="116">
        <v>2021</v>
      </c>
      <c r="HZ38" s="117" t="s">
        <v>452</v>
      </c>
      <c r="IA38" s="117"/>
      <c r="IB38" s="117"/>
      <c r="IC38" s="117"/>
      <c r="ID38" s="117" t="s">
        <v>519</v>
      </c>
      <c r="IE38" s="116"/>
      <c r="IF38" s="117" t="s">
        <v>528</v>
      </c>
      <c r="IG38" s="177" t="s">
        <v>74</v>
      </c>
      <c r="IH38" s="179" t="s">
        <v>1395</v>
      </c>
      <c r="II38" s="176">
        <v>1250</v>
      </c>
      <c r="IJ38" s="176" t="s">
        <v>1405</v>
      </c>
      <c r="IK38" s="180" t="s">
        <v>1406</v>
      </c>
      <c r="IL38" s="117" t="s">
        <v>1185</v>
      </c>
      <c r="IM38" s="116" t="s">
        <v>437</v>
      </c>
      <c r="IN38" s="117" t="s">
        <v>438</v>
      </c>
      <c r="IO38" s="116"/>
      <c r="IP38" s="116"/>
      <c r="IR38" s="175"/>
      <c r="IS38" s="116"/>
      <c r="IT38" s="176" t="s">
        <v>439</v>
      </c>
      <c r="IU38" s="176" t="s">
        <v>1146</v>
      </c>
      <c r="IV38" s="176" t="s">
        <v>447</v>
      </c>
      <c r="IW38" s="176" t="s">
        <v>1147</v>
      </c>
      <c r="IX38" s="176" t="s">
        <v>442</v>
      </c>
      <c r="IY38" s="176">
        <v>28</v>
      </c>
      <c r="IZ38" s="176">
        <v>1975</v>
      </c>
      <c r="JA38" s="176" t="s">
        <v>78</v>
      </c>
      <c r="JB38" s="177" t="s">
        <v>443</v>
      </c>
      <c r="JC38" s="176">
        <v>123456</v>
      </c>
      <c r="JD38" s="176">
        <v>123456</v>
      </c>
      <c r="JE38" s="176" t="s">
        <v>442</v>
      </c>
      <c r="JF38" s="176">
        <v>28</v>
      </c>
      <c r="JG38" s="116">
        <v>2029</v>
      </c>
      <c r="JH38" s="176" t="s">
        <v>1137</v>
      </c>
      <c r="JI38" s="177" t="s">
        <v>1134</v>
      </c>
      <c r="JJ38" s="177" t="s">
        <v>1134</v>
      </c>
      <c r="JK38" s="177" t="s">
        <v>809</v>
      </c>
      <c r="JL38" s="177" t="s">
        <v>809</v>
      </c>
      <c r="JM38" s="176" t="s">
        <v>1148</v>
      </c>
      <c r="JN38" s="177">
        <v>456</v>
      </c>
      <c r="JO38" s="176" t="s">
        <v>1149</v>
      </c>
      <c r="JP38" s="177" t="s">
        <v>1156</v>
      </c>
      <c r="JQ38" s="117" t="s">
        <v>1157</v>
      </c>
      <c r="JR38" s="177" t="s">
        <v>453</v>
      </c>
      <c r="JS38" s="177" t="s">
        <v>194</v>
      </c>
      <c r="JU38" s="176" t="s">
        <v>441</v>
      </c>
      <c r="JV38" s="176">
        <v>108</v>
      </c>
      <c r="JW38" s="176">
        <v>10</v>
      </c>
      <c r="JX38" s="176">
        <v>2022</v>
      </c>
      <c r="JY38" s="177" t="s">
        <v>451</v>
      </c>
      <c r="JZ38" s="177" t="s">
        <v>452</v>
      </c>
      <c r="KA38" s="180">
        <v>2043.18</v>
      </c>
      <c r="KB38" s="113" t="s">
        <v>489</v>
      </c>
      <c r="KC38" s="174" t="s">
        <v>1407</v>
      </c>
      <c r="KD38" s="116"/>
      <c r="KE38" s="116"/>
      <c r="KI38" s="123">
        <v>42074.506631944445</v>
      </c>
      <c r="KJ38" s="123">
        <v>42074.512199074074</v>
      </c>
      <c r="KK38" s="116" t="s">
        <v>1408</v>
      </c>
      <c r="KQ38" s="116"/>
      <c r="LP38" s="116"/>
      <c r="LS38" s="117" t="s">
        <v>1184</v>
      </c>
      <c r="LT38" s="116"/>
      <c r="LV38" s="116"/>
      <c r="LW38" s="116"/>
      <c r="MC38" s="116"/>
      <c r="NS38" s="116"/>
      <c r="NT38" s="116"/>
      <c r="NU38" s="116"/>
      <c r="NV38" s="116"/>
      <c r="NW38" s="116"/>
      <c r="NX38" s="116"/>
      <c r="NZ38" s="116"/>
      <c r="OA38" s="116" t="s">
        <v>58</v>
      </c>
      <c r="OB38" s="18" t="s">
        <v>351</v>
      </c>
      <c r="OC38" s="116" t="s">
        <v>22</v>
      </c>
      <c r="OD38" s="116" t="s">
        <v>22</v>
      </c>
      <c r="OF38" s="117"/>
    </row>
    <row r="39" spans="1:396" s="116" customFormat="1" ht="15" customHeight="1">
      <c r="A39" s="120"/>
      <c r="B39" s="190"/>
      <c r="C39" s="189"/>
      <c r="D39" s="188"/>
      <c r="F39" s="121"/>
      <c r="G39" s="121"/>
      <c r="N39" s="117" t="s">
        <v>1135</v>
      </c>
      <c r="O39" s="117" t="s">
        <v>519</v>
      </c>
      <c r="BL39" s="117" t="s">
        <v>531</v>
      </c>
      <c r="EL39" s="116">
        <v>5</v>
      </c>
      <c r="EM39" s="116" t="s">
        <v>1085</v>
      </c>
      <c r="EN39" s="116">
        <v>1988</v>
      </c>
      <c r="EO39" s="112">
        <v>9</v>
      </c>
      <c r="EP39" s="112" t="s">
        <v>1088</v>
      </c>
      <c r="EQ39" s="116">
        <v>2028</v>
      </c>
      <c r="ER39" s="117">
        <v>456</v>
      </c>
      <c r="ES39" s="116" t="s">
        <v>460</v>
      </c>
      <c r="ET39" s="116">
        <v>23456723</v>
      </c>
      <c r="EU39" s="117">
        <v>60000</v>
      </c>
      <c r="EV39" s="116" t="s">
        <v>1089</v>
      </c>
      <c r="EW39" s="116">
        <v>10</v>
      </c>
      <c r="EX39" s="116">
        <v>2018</v>
      </c>
      <c r="EY39" s="123">
        <v>41757.969421296293</v>
      </c>
      <c r="EZ39" s="116" t="s">
        <v>987</v>
      </c>
      <c r="FC39" s="18" t="s">
        <v>351</v>
      </c>
      <c r="GJ39" s="99">
        <v>660</v>
      </c>
      <c r="GK39" s="99">
        <v>1055.1600000000001</v>
      </c>
      <c r="GL39" s="13"/>
      <c r="GM39" s="122" t="s">
        <v>716</v>
      </c>
      <c r="GP39" s="117" t="s">
        <v>519</v>
      </c>
      <c r="GR39" s="117" t="s">
        <v>74</v>
      </c>
      <c r="GU39" s="169"/>
      <c r="GV39" s="169"/>
      <c r="HM39" s="123">
        <v>41757.965208333335</v>
      </c>
      <c r="HO39" s="116" t="s">
        <v>445</v>
      </c>
      <c r="HP39" s="117" t="s">
        <v>1155</v>
      </c>
      <c r="HQ39" s="119" t="s">
        <v>485</v>
      </c>
      <c r="HS39" s="116" t="s">
        <v>446</v>
      </c>
      <c r="HT39" s="116">
        <v>16</v>
      </c>
      <c r="HU39" s="116">
        <v>2037</v>
      </c>
      <c r="HV39" s="116" t="s">
        <v>530</v>
      </c>
      <c r="HW39" s="117" t="s">
        <v>695</v>
      </c>
      <c r="HX39" s="116">
        <v>10</v>
      </c>
      <c r="HY39" s="116">
        <v>2021</v>
      </c>
      <c r="HZ39" s="117" t="s">
        <v>452</v>
      </c>
      <c r="IA39" s="117"/>
      <c r="IB39" s="117"/>
      <c r="IC39" s="117"/>
      <c r="ID39" s="117" t="s">
        <v>519</v>
      </c>
      <c r="IF39" s="117" t="s">
        <v>528</v>
      </c>
      <c r="IG39" s="117" t="s">
        <v>64</v>
      </c>
      <c r="IH39" s="118" t="s">
        <v>1299</v>
      </c>
      <c r="II39" s="116">
        <v>1000</v>
      </c>
      <c r="IJ39" s="116" t="s">
        <v>1319</v>
      </c>
      <c r="IK39" s="99" t="s">
        <v>1324</v>
      </c>
      <c r="IL39" s="117" t="s">
        <v>1185</v>
      </c>
      <c r="IM39" s="116" t="s">
        <v>437</v>
      </c>
      <c r="IN39" s="117" t="s">
        <v>438</v>
      </c>
      <c r="IR39" s="99"/>
      <c r="IT39" s="116" t="s">
        <v>439</v>
      </c>
      <c r="IU39" s="116" t="s">
        <v>1136</v>
      </c>
      <c r="IV39" s="116" t="s">
        <v>447</v>
      </c>
      <c r="IW39" s="116" t="s">
        <v>1136</v>
      </c>
      <c r="IX39" s="116" t="s">
        <v>495</v>
      </c>
      <c r="IY39" s="116">
        <v>12</v>
      </c>
      <c r="IZ39" s="116">
        <v>1990</v>
      </c>
      <c r="JA39" s="116" t="s">
        <v>78</v>
      </c>
      <c r="JB39" s="117" t="s">
        <v>443</v>
      </c>
      <c r="JC39" s="116">
        <v>123456</v>
      </c>
      <c r="JD39" s="116">
        <v>123456</v>
      </c>
      <c r="JE39" s="116" t="s">
        <v>495</v>
      </c>
      <c r="JF39" s="116">
        <v>12</v>
      </c>
      <c r="JG39" s="116">
        <v>2031</v>
      </c>
      <c r="JH39" s="116" t="s">
        <v>1137</v>
      </c>
      <c r="JI39" s="117" t="s">
        <v>1134</v>
      </c>
      <c r="JJ39" s="117" t="s">
        <v>1134</v>
      </c>
      <c r="JK39" s="117" t="s">
        <v>809</v>
      </c>
      <c r="JL39" s="117" t="s">
        <v>809</v>
      </c>
      <c r="JM39" s="116" t="s">
        <v>449</v>
      </c>
      <c r="JN39" s="117">
        <v>546</v>
      </c>
      <c r="JO39" s="116" t="s">
        <v>530</v>
      </c>
      <c r="JP39" s="177" t="s">
        <v>1156</v>
      </c>
      <c r="JQ39" s="117" t="s">
        <v>1157</v>
      </c>
      <c r="JR39" s="117" t="s">
        <v>453</v>
      </c>
      <c r="JS39" s="117" t="s">
        <v>194</v>
      </c>
      <c r="JU39" s="116" t="s">
        <v>441</v>
      </c>
      <c r="JV39" s="116">
        <v>108</v>
      </c>
      <c r="JW39" s="116">
        <v>10</v>
      </c>
      <c r="JX39" s="116">
        <v>2023</v>
      </c>
      <c r="JY39" s="117" t="s">
        <v>451</v>
      </c>
      <c r="JZ39" s="117" t="s">
        <v>452</v>
      </c>
      <c r="KA39" s="99">
        <v>989.14</v>
      </c>
      <c r="KB39" s="113" t="s">
        <v>489</v>
      </c>
      <c r="KC39" s="117" t="s">
        <v>1325</v>
      </c>
      <c r="KI39" s="123">
        <v>42046.692916666667</v>
      </c>
      <c r="KJ39" s="123">
        <v>42046.696238425924</v>
      </c>
      <c r="KK39" s="116" t="s">
        <v>1318</v>
      </c>
      <c r="LS39" s="117" t="s">
        <v>1184</v>
      </c>
      <c r="OA39" s="116" t="s">
        <v>58</v>
      </c>
      <c r="OB39" s="18" t="s">
        <v>351</v>
      </c>
      <c r="OC39" s="116" t="s">
        <v>22</v>
      </c>
      <c r="OD39" s="116" t="s">
        <v>22</v>
      </c>
      <c r="OF39" s="117"/>
    </row>
    <row r="40" spans="1:396" s="176" customFormat="1" ht="15" customHeight="1">
      <c r="A40" s="120"/>
      <c r="B40" s="190"/>
      <c r="C40" s="189"/>
      <c r="D40" s="188"/>
      <c r="E40" s="177"/>
      <c r="F40" s="178"/>
      <c r="G40" s="178"/>
      <c r="H40" s="116"/>
      <c r="I40" s="116"/>
      <c r="J40" s="116"/>
      <c r="K40" s="116"/>
      <c r="L40" s="116"/>
      <c r="N40" s="177" t="s">
        <v>1151</v>
      </c>
      <c r="O40" s="177" t="s">
        <v>1150</v>
      </c>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7" t="s">
        <v>531</v>
      </c>
      <c r="BM40" s="116"/>
      <c r="BN40" s="116"/>
      <c r="BO40" s="116"/>
      <c r="BP40" s="116"/>
      <c r="BQ40" s="116"/>
      <c r="BR40" s="116"/>
      <c r="BS40" s="116"/>
      <c r="BT40" s="116"/>
      <c r="BU40" s="116"/>
      <c r="BV40" s="116"/>
      <c r="BW40" s="116"/>
      <c r="BX40" s="116"/>
      <c r="BY40" s="116"/>
      <c r="BZ40" s="116"/>
      <c r="CA40" s="116"/>
      <c r="CB40" s="116"/>
      <c r="CC40" s="116"/>
      <c r="CD40" s="116"/>
      <c r="CE40" s="116"/>
      <c r="CF40" s="116"/>
      <c r="CG40" s="116"/>
      <c r="CH40" s="116"/>
      <c r="CI40" s="116"/>
      <c r="CJ40" s="116"/>
      <c r="CK40" s="116"/>
      <c r="CL40" s="116"/>
      <c r="CM40" s="116"/>
      <c r="CN40" s="116"/>
      <c r="CO40" s="116"/>
      <c r="CP40" s="116"/>
      <c r="CQ40" s="116"/>
      <c r="CR40" s="116"/>
      <c r="CS40" s="116"/>
      <c r="CT40" s="116"/>
      <c r="CU40" s="116"/>
      <c r="CV40" s="116"/>
      <c r="CW40" s="116"/>
      <c r="CX40" s="116"/>
      <c r="CY40" s="116"/>
      <c r="CZ40" s="116"/>
      <c r="DA40" s="116"/>
      <c r="DB40" s="116"/>
      <c r="DC40" s="116"/>
      <c r="DD40" s="116"/>
      <c r="DE40" s="116"/>
      <c r="DF40" s="116"/>
      <c r="DG40" s="116"/>
      <c r="DH40" s="116"/>
      <c r="DI40" s="116"/>
      <c r="DJ40" s="116"/>
      <c r="DK40" s="116"/>
      <c r="DL40" s="116"/>
      <c r="DM40" s="116"/>
      <c r="DN40" s="116"/>
      <c r="DO40" s="116"/>
      <c r="DP40" s="116"/>
      <c r="DQ40" s="116"/>
      <c r="DR40" s="116"/>
      <c r="DS40" s="116"/>
      <c r="DT40" s="116"/>
      <c r="DU40" s="116"/>
      <c r="DV40" s="116"/>
      <c r="DW40" s="116"/>
      <c r="DX40" s="116"/>
      <c r="DY40" s="116"/>
      <c r="DZ40" s="116"/>
      <c r="EA40" s="116"/>
      <c r="EB40" s="116"/>
      <c r="EC40" s="116"/>
      <c r="ED40" s="116"/>
      <c r="EE40" s="116"/>
      <c r="EF40" s="116"/>
      <c r="EG40" s="116"/>
      <c r="EH40" s="116"/>
      <c r="EI40" s="116"/>
      <c r="EJ40" s="116"/>
      <c r="EK40" s="116"/>
      <c r="EL40" s="116">
        <v>6</v>
      </c>
      <c r="EM40" s="116" t="s">
        <v>1085</v>
      </c>
      <c r="EN40" s="116">
        <v>1988</v>
      </c>
      <c r="EO40" s="112">
        <v>8</v>
      </c>
      <c r="EP40" s="112" t="s">
        <v>1086</v>
      </c>
      <c r="EQ40" s="116">
        <v>2027</v>
      </c>
      <c r="ER40" s="117">
        <v>546</v>
      </c>
      <c r="ES40" s="116" t="s">
        <v>460</v>
      </c>
      <c r="ET40" s="116">
        <v>23456723</v>
      </c>
      <c r="EU40" s="117">
        <v>60000</v>
      </c>
      <c r="EV40" s="116" t="s">
        <v>1089</v>
      </c>
      <c r="EW40" s="116">
        <v>10</v>
      </c>
      <c r="EX40" s="116">
        <v>2018</v>
      </c>
      <c r="EY40" s="123">
        <v>41757.973761574074</v>
      </c>
      <c r="EZ40" s="116" t="s">
        <v>986</v>
      </c>
      <c r="FA40" s="116"/>
      <c r="FB40" s="116"/>
      <c r="FC40" s="18" t="s">
        <v>351</v>
      </c>
      <c r="GF40" s="116"/>
      <c r="GG40" s="116"/>
      <c r="GH40" s="116"/>
      <c r="GI40" s="116"/>
      <c r="GJ40" s="99">
        <v>520</v>
      </c>
      <c r="GK40" s="99">
        <v>831.33</v>
      </c>
      <c r="GL40" s="13"/>
      <c r="GM40" s="122" t="s">
        <v>716</v>
      </c>
      <c r="GN40" s="116"/>
      <c r="GO40" s="116"/>
      <c r="GP40" s="117" t="s">
        <v>519</v>
      </c>
      <c r="GQ40" s="116"/>
      <c r="GR40" s="117" t="s">
        <v>74</v>
      </c>
      <c r="GS40" s="116"/>
      <c r="GT40" s="116"/>
      <c r="GU40" s="169"/>
      <c r="GV40" s="169"/>
      <c r="GW40" s="116"/>
      <c r="GX40" s="116"/>
      <c r="GY40" s="116"/>
      <c r="GZ40" s="116"/>
      <c r="HA40" s="116"/>
      <c r="HB40" s="116"/>
      <c r="HC40" s="116"/>
      <c r="HD40" s="116"/>
      <c r="HE40" s="116"/>
      <c r="HF40" s="116"/>
      <c r="HG40" s="116"/>
      <c r="HH40" s="116"/>
      <c r="HI40" s="116"/>
      <c r="HJ40" s="116"/>
      <c r="HK40" s="116"/>
      <c r="HL40" s="116"/>
      <c r="HM40" s="123">
        <v>41757.969467592593</v>
      </c>
      <c r="HN40" s="116"/>
      <c r="HO40" s="116" t="s">
        <v>445</v>
      </c>
      <c r="HP40" s="116">
        <v>2</v>
      </c>
      <c r="HQ40" s="119" t="s">
        <v>486</v>
      </c>
      <c r="HR40" s="116"/>
      <c r="HS40" s="116" t="s">
        <v>446</v>
      </c>
      <c r="HT40" s="116">
        <v>11</v>
      </c>
      <c r="HU40" s="116">
        <v>2037</v>
      </c>
      <c r="HV40" s="116" t="s">
        <v>530</v>
      </c>
      <c r="HW40" s="117" t="s">
        <v>695</v>
      </c>
      <c r="HX40" s="116">
        <v>10</v>
      </c>
      <c r="HY40" s="116">
        <v>2021</v>
      </c>
      <c r="HZ40" s="117" t="s">
        <v>452</v>
      </c>
      <c r="IA40" s="117"/>
      <c r="IB40" s="117"/>
      <c r="IC40" s="117"/>
      <c r="ID40" s="117" t="s">
        <v>519</v>
      </c>
      <c r="IE40" s="116"/>
      <c r="IF40" s="117" t="s">
        <v>528</v>
      </c>
      <c r="IG40" s="177" t="s">
        <v>74</v>
      </c>
      <c r="IH40" s="179" t="s">
        <v>1299</v>
      </c>
      <c r="II40" s="176">
        <v>800</v>
      </c>
      <c r="IJ40" s="176" t="s">
        <v>1315</v>
      </c>
      <c r="IK40" s="180" t="s">
        <v>1316</v>
      </c>
      <c r="IL40" s="117" t="s">
        <v>1185</v>
      </c>
      <c r="IM40" s="116" t="s">
        <v>437</v>
      </c>
      <c r="IN40" s="117" t="s">
        <v>438</v>
      </c>
      <c r="IO40" s="116"/>
      <c r="IP40" s="116"/>
      <c r="IR40" s="99"/>
      <c r="IS40" s="116"/>
      <c r="IT40" s="176" t="s">
        <v>439</v>
      </c>
      <c r="IU40" s="176" t="s">
        <v>1146</v>
      </c>
      <c r="IV40" s="176" t="s">
        <v>447</v>
      </c>
      <c r="IW40" s="176" t="s">
        <v>1147</v>
      </c>
      <c r="IX40" s="176" t="s">
        <v>442</v>
      </c>
      <c r="IY40" s="176">
        <v>28</v>
      </c>
      <c r="IZ40" s="176">
        <v>1975</v>
      </c>
      <c r="JA40" s="176" t="s">
        <v>78</v>
      </c>
      <c r="JB40" s="177" t="s">
        <v>443</v>
      </c>
      <c r="JC40" s="176">
        <v>123456</v>
      </c>
      <c r="JD40" s="176">
        <v>123456</v>
      </c>
      <c r="JE40" s="176" t="s">
        <v>442</v>
      </c>
      <c r="JF40" s="176">
        <v>28</v>
      </c>
      <c r="JG40" s="116">
        <v>2029</v>
      </c>
      <c r="JH40" s="176" t="s">
        <v>1137</v>
      </c>
      <c r="JI40" s="177" t="s">
        <v>1134</v>
      </c>
      <c r="JJ40" s="177" t="s">
        <v>1134</v>
      </c>
      <c r="JK40" s="177" t="s">
        <v>809</v>
      </c>
      <c r="JL40" s="177" t="s">
        <v>809</v>
      </c>
      <c r="JM40" s="176" t="s">
        <v>1148</v>
      </c>
      <c r="JN40" s="177">
        <v>123</v>
      </c>
      <c r="JO40" s="176" t="s">
        <v>1149</v>
      </c>
      <c r="JP40" s="177" t="s">
        <v>1156</v>
      </c>
      <c r="JQ40" s="117" t="s">
        <v>1157</v>
      </c>
      <c r="JR40" s="177" t="s">
        <v>453</v>
      </c>
      <c r="JS40" s="177" t="s">
        <v>194</v>
      </c>
      <c r="JU40" s="176" t="s">
        <v>441</v>
      </c>
      <c r="JV40" s="176">
        <v>108</v>
      </c>
      <c r="JW40" s="176">
        <v>10</v>
      </c>
      <c r="JX40" s="176">
        <v>2018</v>
      </c>
      <c r="JY40" s="177" t="s">
        <v>451</v>
      </c>
      <c r="JZ40" s="177" t="s">
        <v>452</v>
      </c>
      <c r="KA40" s="180">
        <v>1311.24</v>
      </c>
      <c r="KB40" s="113" t="s">
        <v>489</v>
      </c>
      <c r="KC40" s="117" t="s">
        <v>1326</v>
      </c>
      <c r="KD40" s="116"/>
      <c r="KE40" s="116"/>
      <c r="KI40" s="123">
        <v>42046.696261574078</v>
      </c>
      <c r="KJ40" s="123">
        <v>42046.69976851852</v>
      </c>
      <c r="KK40" s="116" t="s">
        <v>1327</v>
      </c>
      <c r="KQ40" s="116"/>
      <c r="LP40" s="116"/>
      <c r="LS40" s="117" t="s">
        <v>1184</v>
      </c>
      <c r="LT40" s="116"/>
      <c r="LV40" s="116"/>
      <c r="LW40" s="116"/>
      <c r="MC40" s="116"/>
      <c r="NS40" s="116"/>
      <c r="NT40" s="116"/>
      <c r="NU40" s="116"/>
      <c r="NV40" s="116"/>
      <c r="NW40" s="116"/>
      <c r="NX40" s="116"/>
      <c r="NZ40" s="116"/>
      <c r="OA40" s="116" t="s">
        <v>58</v>
      </c>
      <c r="OB40" s="18" t="s">
        <v>351</v>
      </c>
      <c r="OC40" s="116" t="s">
        <v>22</v>
      </c>
      <c r="OD40" s="116" t="s">
        <v>22</v>
      </c>
      <c r="OF40" s="117"/>
    </row>
    <row r="41" spans="1:396" s="116" customFormat="1" ht="15" customHeight="1">
      <c r="A41" s="120"/>
      <c r="B41" s="190"/>
      <c r="C41" s="189"/>
      <c r="D41" s="188"/>
      <c r="F41" s="121"/>
      <c r="G41" s="121"/>
      <c r="N41" s="117" t="s">
        <v>1135</v>
      </c>
      <c r="O41" s="117" t="s">
        <v>519</v>
      </c>
      <c r="BL41" s="117" t="s">
        <v>531</v>
      </c>
      <c r="EL41" s="116">
        <v>8</v>
      </c>
      <c r="EM41" s="116" t="s">
        <v>1085</v>
      </c>
      <c r="EN41" s="116">
        <v>1988</v>
      </c>
      <c r="EO41" s="112">
        <v>9</v>
      </c>
      <c r="EP41" s="112" t="s">
        <v>1088</v>
      </c>
      <c r="EQ41" s="116">
        <v>2028</v>
      </c>
      <c r="ER41" s="117">
        <v>123</v>
      </c>
      <c r="ES41" s="116" t="s">
        <v>449</v>
      </c>
      <c r="ET41" s="116">
        <v>23456723</v>
      </c>
      <c r="EU41" s="117">
        <v>60000</v>
      </c>
      <c r="EV41" s="116" t="s">
        <v>1089</v>
      </c>
      <c r="EW41" s="116">
        <v>10</v>
      </c>
      <c r="EX41" s="116">
        <v>2018</v>
      </c>
      <c r="EY41" s="123">
        <v>41757.977986111109</v>
      </c>
      <c r="EZ41" s="116" t="s">
        <v>835</v>
      </c>
      <c r="FC41" s="18" t="s">
        <v>351</v>
      </c>
      <c r="GJ41" s="116">
        <v>550</v>
      </c>
      <c r="GK41" s="116">
        <v>633.49</v>
      </c>
      <c r="GL41" s="13"/>
      <c r="GM41" s="122" t="s">
        <v>716</v>
      </c>
      <c r="GP41" s="117" t="s">
        <v>519</v>
      </c>
      <c r="GR41" s="117" t="s">
        <v>807</v>
      </c>
      <c r="GU41" s="169"/>
      <c r="GV41" s="169"/>
      <c r="HM41" s="123">
        <v>41757.973807870374</v>
      </c>
      <c r="HO41" s="116" t="s">
        <v>445</v>
      </c>
      <c r="HP41" s="116">
        <v>3</v>
      </c>
      <c r="HQ41" s="119" t="s">
        <v>487</v>
      </c>
      <c r="HS41" s="116" t="s">
        <v>446</v>
      </c>
      <c r="HT41" s="116">
        <v>12</v>
      </c>
      <c r="HU41" s="116">
        <v>2037</v>
      </c>
      <c r="HV41" s="116" t="s">
        <v>530</v>
      </c>
      <c r="HW41" s="117" t="s">
        <v>695</v>
      </c>
      <c r="HX41" s="116">
        <v>10</v>
      </c>
      <c r="HY41" s="116">
        <v>2021</v>
      </c>
      <c r="HZ41" s="117" t="s">
        <v>452</v>
      </c>
      <c r="IA41" s="117"/>
      <c r="IB41" s="117"/>
      <c r="IC41" s="117"/>
      <c r="ID41" s="117" t="s">
        <v>519</v>
      </c>
      <c r="IF41" s="117" t="s">
        <v>528</v>
      </c>
      <c r="IG41" s="117" t="s">
        <v>68</v>
      </c>
      <c r="IH41" s="118" t="s">
        <v>1299</v>
      </c>
      <c r="II41" s="116">
        <v>900</v>
      </c>
      <c r="IJ41" s="116" t="s">
        <v>1300</v>
      </c>
      <c r="IK41" s="99" t="s">
        <v>1328</v>
      </c>
      <c r="IL41" s="117" t="s">
        <v>1185</v>
      </c>
      <c r="IM41" s="116" t="s">
        <v>437</v>
      </c>
      <c r="IN41" s="117" t="s">
        <v>438</v>
      </c>
      <c r="IT41" s="116" t="s">
        <v>439</v>
      </c>
      <c r="IU41" s="116" t="s">
        <v>472</v>
      </c>
      <c r="IV41" s="116" t="s">
        <v>447</v>
      </c>
      <c r="IW41" s="116" t="s">
        <v>472</v>
      </c>
      <c r="IX41" s="116" t="s">
        <v>442</v>
      </c>
      <c r="IY41" s="116">
        <v>14</v>
      </c>
      <c r="IZ41" s="116">
        <v>1988</v>
      </c>
      <c r="JA41" s="116" t="s">
        <v>78</v>
      </c>
      <c r="JB41" s="117" t="s">
        <v>443</v>
      </c>
      <c r="JC41" s="116">
        <v>123456</v>
      </c>
      <c r="JD41" s="116">
        <v>123456</v>
      </c>
      <c r="JE41" s="116" t="s">
        <v>442</v>
      </c>
      <c r="JF41" s="116">
        <v>14</v>
      </c>
      <c r="JG41" s="116">
        <v>2033</v>
      </c>
      <c r="JH41" s="116" t="s">
        <v>1137</v>
      </c>
      <c r="JI41" s="117" t="s">
        <v>1134</v>
      </c>
      <c r="JJ41" s="117" t="s">
        <v>1134</v>
      </c>
      <c r="JK41" s="117" t="s">
        <v>809</v>
      </c>
      <c r="JL41" s="117" t="s">
        <v>809</v>
      </c>
      <c r="JM41" s="116" t="s">
        <v>449</v>
      </c>
      <c r="JN41" s="117">
        <v>456</v>
      </c>
      <c r="JO41" s="116" t="s">
        <v>530</v>
      </c>
      <c r="JP41" s="177" t="s">
        <v>1156</v>
      </c>
      <c r="JQ41" s="117" t="s">
        <v>1157</v>
      </c>
      <c r="JR41" s="117" t="s">
        <v>453</v>
      </c>
      <c r="JS41" s="117" t="s">
        <v>194</v>
      </c>
      <c r="JU41" s="116" t="s">
        <v>441</v>
      </c>
      <c r="JV41" s="116">
        <v>108</v>
      </c>
      <c r="JW41" s="116">
        <v>10</v>
      </c>
      <c r="JX41" s="116">
        <v>2022</v>
      </c>
      <c r="JY41" s="117" t="s">
        <v>451</v>
      </c>
      <c r="JZ41" s="117" t="s">
        <v>452</v>
      </c>
      <c r="KA41" s="116">
        <v>968.98</v>
      </c>
      <c r="KB41" s="113" t="s">
        <v>489</v>
      </c>
      <c r="KC41" s="117" t="s">
        <v>1329</v>
      </c>
      <c r="KI41" s="123">
        <v>42046.699791666666</v>
      </c>
      <c r="KJ41" s="123">
        <v>42046.703125</v>
      </c>
      <c r="KK41" s="116" t="s">
        <v>1330</v>
      </c>
      <c r="LS41" s="117" t="s">
        <v>1184</v>
      </c>
      <c r="OA41" s="116" t="s">
        <v>58</v>
      </c>
      <c r="OB41" s="18" t="s">
        <v>351</v>
      </c>
      <c r="OC41" s="116" t="s">
        <v>22</v>
      </c>
      <c r="OD41" s="116" t="s">
        <v>22</v>
      </c>
      <c r="OF41" s="117"/>
    </row>
    <row r="42" spans="1:396" s="116" customFormat="1" ht="15" customHeight="1">
      <c r="A42" s="120"/>
      <c r="B42" s="190"/>
      <c r="C42" s="189"/>
      <c r="D42" s="188"/>
      <c r="E42" s="117"/>
      <c r="F42" s="121"/>
      <c r="G42" s="121"/>
      <c r="N42" s="117" t="s">
        <v>1135</v>
      </c>
      <c r="O42" s="117" t="s">
        <v>519</v>
      </c>
      <c r="BL42" s="117" t="s">
        <v>531</v>
      </c>
      <c r="EL42" s="116">
        <v>3</v>
      </c>
      <c r="EM42" s="116" t="s">
        <v>1085</v>
      </c>
      <c r="EN42" s="116">
        <v>1988</v>
      </c>
      <c r="EO42" s="112">
        <v>1</v>
      </c>
      <c r="EP42" s="112" t="s">
        <v>1082</v>
      </c>
      <c r="EQ42" s="116">
        <v>2020</v>
      </c>
      <c r="ER42" s="117">
        <v>456</v>
      </c>
      <c r="ES42" s="116" t="s">
        <v>449</v>
      </c>
      <c r="ET42" s="116">
        <v>23456723</v>
      </c>
      <c r="EU42" s="117">
        <v>60000</v>
      </c>
      <c r="EV42" s="116" t="s">
        <v>1089</v>
      </c>
      <c r="EW42" s="116">
        <v>10</v>
      </c>
      <c r="EX42" s="116">
        <v>2018</v>
      </c>
      <c r="EY42" s="123">
        <v>41757.982268518521</v>
      </c>
      <c r="EZ42" s="116" t="s">
        <v>830</v>
      </c>
      <c r="FC42" s="18" t="s">
        <v>351</v>
      </c>
      <c r="GJ42" s="99">
        <v>600</v>
      </c>
      <c r="GK42" s="99">
        <v>959.23</v>
      </c>
      <c r="GL42" s="13"/>
      <c r="GM42" s="122" t="s">
        <v>716</v>
      </c>
      <c r="GP42" s="117" t="s">
        <v>519</v>
      </c>
      <c r="GR42" s="117" t="s">
        <v>74</v>
      </c>
      <c r="GU42" s="169"/>
      <c r="GV42" s="169"/>
      <c r="HM42" s="123">
        <v>41757.978032407409</v>
      </c>
      <c r="HO42" s="116" t="s">
        <v>445</v>
      </c>
      <c r="HP42" s="116">
        <v>4</v>
      </c>
      <c r="HQ42" s="119" t="s">
        <v>483</v>
      </c>
      <c r="HS42" s="116" t="s">
        <v>446</v>
      </c>
      <c r="HT42" s="116">
        <v>13</v>
      </c>
      <c r="HU42" s="116">
        <v>2037</v>
      </c>
      <c r="HV42" s="116" t="s">
        <v>530</v>
      </c>
      <c r="HW42" s="117" t="s">
        <v>695</v>
      </c>
      <c r="HX42" s="116">
        <v>10</v>
      </c>
      <c r="HY42" s="116">
        <v>2021</v>
      </c>
      <c r="HZ42" s="117" t="s">
        <v>452</v>
      </c>
      <c r="IA42" s="117"/>
      <c r="IB42" s="117"/>
      <c r="IC42" s="117"/>
      <c r="ID42" s="117" t="s">
        <v>519</v>
      </c>
      <c r="IF42" s="117" t="s">
        <v>528</v>
      </c>
      <c r="IG42" s="117" t="s">
        <v>74</v>
      </c>
      <c r="IH42" s="118" t="s">
        <v>1299</v>
      </c>
      <c r="II42" s="116">
        <v>1200</v>
      </c>
      <c r="IJ42" s="116" t="s">
        <v>1315</v>
      </c>
      <c r="IK42" s="99" t="s">
        <v>1331</v>
      </c>
      <c r="IL42" s="117" t="s">
        <v>1185</v>
      </c>
      <c r="IM42" s="116" t="s">
        <v>437</v>
      </c>
      <c r="IN42" s="117" t="s">
        <v>438</v>
      </c>
      <c r="IR42" s="99"/>
      <c r="IT42" s="116" t="s">
        <v>439</v>
      </c>
      <c r="IU42" s="116" t="s">
        <v>473</v>
      </c>
      <c r="IV42" s="116" t="s">
        <v>447</v>
      </c>
      <c r="IW42" s="116" t="s">
        <v>473</v>
      </c>
      <c r="IX42" s="116" t="s">
        <v>491</v>
      </c>
      <c r="IY42" s="116">
        <v>15</v>
      </c>
      <c r="IZ42" s="116">
        <v>1989</v>
      </c>
      <c r="JA42" s="116" t="s">
        <v>78</v>
      </c>
      <c r="JB42" s="117" t="s">
        <v>443</v>
      </c>
      <c r="JC42" s="116">
        <v>123456</v>
      </c>
      <c r="JD42" s="116">
        <v>123456</v>
      </c>
      <c r="JE42" s="116" t="s">
        <v>491</v>
      </c>
      <c r="JF42" s="116">
        <v>15</v>
      </c>
      <c r="JG42" s="116">
        <v>2034</v>
      </c>
      <c r="JH42" s="116" t="s">
        <v>1137</v>
      </c>
      <c r="JI42" s="117" t="s">
        <v>1134</v>
      </c>
      <c r="JJ42" s="117" t="s">
        <v>1134</v>
      </c>
      <c r="JK42" s="117" t="s">
        <v>809</v>
      </c>
      <c r="JL42" s="117" t="s">
        <v>809</v>
      </c>
      <c r="JM42" s="116" t="s">
        <v>449</v>
      </c>
      <c r="JN42" s="117">
        <v>546</v>
      </c>
      <c r="JO42" s="116" t="s">
        <v>530</v>
      </c>
      <c r="JP42" s="177" t="s">
        <v>1156</v>
      </c>
      <c r="JQ42" s="117" t="s">
        <v>1157</v>
      </c>
      <c r="JR42" s="117" t="s">
        <v>453</v>
      </c>
      <c r="JS42" s="117" t="s">
        <v>194</v>
      </c>
      <c r="JU42" s="116" t="s">
        <v>441</v>
      </c>
      <c r="JV42" s="116">
        <v>108</v>
      </c>
      <c r="JW42" s="116">
        <v>10</v>
      </c>
      <c r="JX42" s="116">
        <v>2022</v>
      </c>
      <c r="JY42" s="117" t="s">
        <v>451</v>
      </c>
      <c r="JZ42" s="117" t="s">
        <v>452</v>
      </c>
      <c r="KA42" s="99">
        <v>1961.85</v>
      </c>
      <c r="KB42" s="113" t="s">
        <v>489</v>
      </c>
      <c r="KC42" s="117" t="s">
        <v>1332</v>
      </c>
      <c r="KI42" s="123">
        <v>42046.703148148146</v>
      </c>
      <c r="KJ42" s="123">
        <v>42046.706678240742</v>
      </c>
      <c r="KK42" s="116" t="s">
        <v>1333</v>
      </c>
      <c r="LS42" s="117" t="s">
        <v>1184</v>
      </c>
      <c r="OA42" s="116" t="s">
        <v>58</v>
      </c>
      <c r="OB42" s="18" t="s">
        <v>351</v>
      </c>
      <c r="OC42" s="116" t="s">
        <v>22</v>
      </c>
      <c r="OD42" s="116" t="s">
        <v>22</v>
      </c>
      <c r="OF42" s="117"/>
    </row>
    <row r="43" spans="1:396" s="116" customFormat="1" ht="15" customHeight="1">
      <c r="A43" s="120"/>
      <c r="B43" s="190"/>
      <c r="C43" s="189"/>
      <c r="D43" s="188"/>
      <c r="E43" s="117"/>
      <c r="F43" s="121"/>
      <c r="G43" s="121"/>
      <c r="N43" s="117" t="s">
        <v>1135</v>
      </c>
      <c r="O43" s="117" t="s">
        <v>519</v>
      </c>
      <c r="BL43" s="117" t="s">
        <v>531</v>
      </c>
      <c r="EL43" s="116">
        <v>9</v>
      </c>
      <c r="EM43" s="116" t="s">
        <v>1085</v>
      </c>
      <c r="EN43" s="116">
        <v>1988</v>
      </c>
      <c r="EO43" s="112">
        <v>8</v>
      </c>
      <c r="EP43" s="112" t="s">
        <v>1086</v>
      </c>
      <c r="EQ43" s="116">
        <v>2027</v>
      </c>
      <c r="ER43" s="117">
        <v>546</v>
      </c>
      <c r="ES43" s="116" t="s">
        <v>449</v>
      </c>
      <c r="ET43" s="116">
        <v>23456723</v>
      </c>
      <c r="EU43" s="117">
        <v>60000</v>
      </c>
      <c r="EV43" s="116" t="s">
        <v>1089</v>
      </c>
      <c r="EW43" s="116">
        <v>10</v>
      </c>
      <c r="EX43" s="116">
        <v>2018</v>
      </c>
      <c r="EY43" s="123">
        <v>41757.986585648148</v>
      </c>
      <c r="EZ43" s="116" t="s">
        <v>988</v>
      </c>
      <c r="FC43" s="18" t="s">
        <v>351</v>
      </c>
      <c r="GJ43" s="99">
        <v>450</v>
      </c>
      <c r="GK43" s="99">
        <v>719.42</v>
      </c>
      <c r="GL43" s="13"/>
      <c r="GM43" s="122" t="s">
        <v>716</v>
      </c>
      <c r="GP43" s="117" t="s">
        <v>519</v>
      </c>
      <c r="GR43" s="117" t="s">
        <v>74</v>
      </c>
      <c r="GU43" s="169"/>
      <c r="GV43" s="169"/>
      <c r="HM43" s="123">
        <v>41757.982314814813</v>
      </c>
      <c r="HO43" s="116" t="s">
        <v>445</v>
      </c>
      <c r="HP43" s="116">
        <v>5</v>
      </c>
      <c r="HQ43" s="119" t="s">
        <v>486</v>
      </c>
      <c r="HS43" s="116" t="s">
        <v>446</v>
      </c>
      <c r="HT43" s="116">
        <v>14</v>
      </c>
      <c r="HU43" s="116">
        <v>2037</v>
      </c>
      <c r="HV43" s="116" t="s">
        <v>530</v>
      </c>
      <c r="HW43" s="117" t="s">
        <v>695</v>
      </c>
      <c r="HX43" s="116">
        <v>10</v>
      </c>
      <c r="HY43" s="116">
        <v>2021</v>
      </c>
      <c r="HZ43" s="117" t="s">
        <v>452</v>
      </c>
      <c r="IA43" s="117"/>
      <c r="IB43" s="117"/>
      <c r="IC43" s="117"/>
      <c r="ID43" s="117" t="s">
        <v>519</v>
      </c>
      <c r="IF43" s="117" t="s">
        <v>528</v>
      </c>
      <c r="IG43" s="117" t="s">
        <v>74</v>
      </c>
      <c r="IH43" s="118" t="s">
        <v>1298</v>
      </c>
      <c r="II43" s="116">
        <v>1250</v>
      </c>
      <c r="IJ43" s="116" t="s">
        <v>833</v>
      </c>
      <c r="IK43" s="99" t="s">
        <v>1303</v>
      </c>
      <c r="IL43" s="117" t="s">
        <v>1185</v>
      </c>
      <c r="IM43" s="116" t="s">
        <v>437</v>
      </c>
      <c r="IN43" s="117" t="s">
        <v>438</v>
      </c>
      <c r="IR43" s="99"/>
      <c r="IT43" s="116" t="s">
        <v>439</v>
      </c>
      <c r="IU43" s="116" t="s">
        <v>1138</v>
      </c>
      <c r="IV43" s="116" t="s">
        <v>447</v>
      </c>
      <c r="IW43" s="116" t="s">
        <v>1138</v>
      </c>
      <c r="IX43" s="116" t="s">
        <v>442</v>
      </c>
      <c r="IY43" s="116">
        <v>16</v>
      </c>
      <c r="IZ43" s="116">
        <v>1990</v>
      </c>
      <c r="JA43" s="116" t="s">
        <v>78</v>
      </c>
      <c r="JB43" s="117" t="s">
        <v>443</v>
      </c>
      <c r="JC43" s="116">
        <v>123456</v>
      </c>
      <c r="JD43" s="116">
        <v>123456</v>
      </c>
      <c r="JE43" s="116" t="s">
        <v>445</v>
      </c>
      <c r="JF43" s="116">
        <v>15</v>
      </c>
      <c r="JG43" s="116">
        <v>2034</v>
      </c>
      <c r="JH43" s="116" t="s">
        <v>1137</v>
      </c>
      <c r="JI43" s="117" t="s">
        <v>1134</v>
      </c>
      <c r="JJ43" s="117" t="s">
        <v>1134</v>
      </c>
      <c r="JK43" s="117" t="s">
        <v>809</v>
      </c>
      <c r="JL43" s="117" t="s">
        <v>809</v>
      </c>
      <c r="JM43" s="116" t="s">
        <v>449</v>
      </c>
      <c r="JN43" s="117">
        <v>123</v>
      </c>
      <c r="JO43" s="116" t="s">
        <v>530</v>
      </c>
      <c r="JP43" s="177" t="s">
        <v>1156</v>
      </c>
      <c r="JQ43" s="117" t="s">
        <v>1157</v>
      </c>
      <c r="JR43" s="117" t="s">
        <v>453</v>
      </c>
      <c r="JS43" s="117" t="s">
        <v>194</v>
      </c>
      <c r="JU43" s="116" t="s">
        <v>441</v>
      </c>
      <c r="JV43" s="116">
        <v>108</v>
      </c>
      <c r="JW43" s="116">
        <v>10</v>
      </c>
      <c r="JX43" s="116">
        <v>2022</v>
      </c>
      <c r="JY43" s="117" t="s">
        <v>451</v>
      </c>
      <c r="JZ43" s="117" t="s">
        <v>452</v>
      </c>
      <c r="KA43" s="99">
        <v>2043.18</v>
      </c>
      <c r="KB43" s="113" t="s">
        <v>489</v>
      </c>
      <c r="KC43" s="117" t="s">
        <v>1334</v>
      </c>
      <c r="KI43" s="123">
        <v>42046.706701388888</v>
      </c>
      <c r="KJ43" s="123">
        <v>42046.709976851853</v>
      </c>
      <c r="KK43" s="116" t="s">
        <v>1335</v>
      </c>
      <c r="LS43" s="117" t="s">
        <v>1184</v>
      </c>
      <c r="OA43" s="116" t="s">
        <v>58</v>
      </c>
      <c r="OB43" s="18" t="s">
        <v>351</v>
      </c>
      <c r="OC43" s="116" t="s">
        <v>22</v>
      </c>
      <c r="OD43" s="116" t="s">
        <v>22</v>
      </c>
      <c r="OF43" s="117"/>
    </row>
    <row r="44" spans="1:396" s="124" customFormat="1" ht="15" customHeight="1">
      <c r="A44" s="120"/>
      <c r="B44" s="190"/>
      <c r="C44" s="189"/>
      <c r="D44" s="188"/>
      <c r="E44" s="137"/>
      <c r="F44" s="138"/>
      <c r="G44" s="138"/>
      <c r="H44" s="116"/>
      <c r="I44" s="116"/>
      <c r="J44" s="116"/>
      <c r="K44" s="116"/>
      <c r="L44" s="116"/>
      <c r="M44" s="116"/>
      <c r="N44" s="117" t="s">
        <v>1135</v>
      </c>
      <c r="O44" s="117" t="s">
        <v>519</v>
      </c>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7" t="s">
        <v>531</v>
      </c>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6"/>
      <c r="CI44" s="116"/>
      <c r="CJ44" s="116"/>
      <c r="CK44" s="116"/>
      <c r="CL44" s="116"/>
      <c r="CM44" s="116"/>
      <c r="CN44" s="116"/>
      <c r="CO44" s="116"/>
      <c r="CP44" s="116"/>
      <c r="CQ44" s="116"/>
      <c r="CR44" s="116"/>
      <c r="CS44" s="116"/>
      <c r="CT44" s="116"/>
      <c r="CU44" s="116"/>
      <c r="CV44" s="116"/>
      <c r="CW44" s="116"/>
      <c r="CX44" s="116"/>
      <c r="CY44" s="116"/>
      <c r="CZ44" s="116"/>
      <c r="DA44" s="116"/>
      <c r="DB44" s="116"/>
      <c r="DC44" s="116"/>
      <c r="DD44" s="116"/>
      <c r="DE44" s="116"/>
      <c r="DF44" s="116"/>
      <c r="DG44" s="116"/>
      <c r="DH44" s="116"/>
      <c r="DI44" s="116"/>
      <c r="DJ44" s="116"/>
      <c r="DK44" s="116"/>
      <c r="DL44" s="116"/>
      <c r="DM44" s="116"/>
      <c r="DN44" s="116"/>
      <c r="DO44" s="116"/>
      <c r="DP44" s="116"/>
      <c r="DQ44" s="116"/>
      <c r="DR44" s="116"/>
      <c r="DS44" s="116"/>
      <c r="DT44" s="116"/>
      <c r="DU44" s="116"/>
      <c r="DV44" s="116"/>
      <c r="DW44" s="116"/>
      <c r="DX44" s="116"/>
      <c r="DY44" s="116"/>
      <c r="DZ44" s="116"/>
      <c r="EA44" s="116"/>
      <c r="EB44" s="116"/>
      <c r="EC44" s="116"/>
      <c r="ED44" s="116"/>
      <c r="EE44" s="116"/>
      <c r="EF44" s="116"/>
      <c r="EG44" s="116"/>
      <c r="EH44" s="116"/>
      <c r="EI44" s="116"/>
      <c r="EJ44" s="116"/>
      <c r="EK44" s="116"/>
      <c r="EL44" s="116">
        <v>5</v>
      </c>
      <c r="EM44" s="116" t="s">
        <v>1085</v>
      </c>
      <c r="EN44" s="116">
        <v>1988</v>
      </c>
      <c r="EO44" s="112">
        <v>9</v>
      </c>
      <c r="EP44" s="112" t="s">
        <v>1088</v>
      </c>
      <c r="EQ44" s="116">
        <v>2028</v>
      </c>
      <c r="ER44" s="117">
        <v>123</v>
      </c>
      <c r="ES44" s="116" t="s">
        <v>449</v>
      </c>
      <c r="ET44" s="116">
        <v>23456723</v>
      </c>
      <c r="EU44" s="117">
        <v>60000</v>
      </c>
      <c r="EV44" s="116" t="s">
        <v>1089</v>
      </c>
      <c r="EW44" s="116">
        <v>10</v>
      </c>
      <c r="EX44" s="116">
        <v>2018</v>
      </c>
      <c r="EY44" s="123">
        <v>41757.991273148145</v>
      </c>
      <c r="EZ44" s="116" t="s">
        <v>989</v>
      </c>
      <c r="FC44" s="18" t="s">
        <v>351</v>
      </c>
      <c r="GF44" s="116"/>
      <c r="GG44" s="116"/>
      <c r="GH44" s="116"/>
      <c r="GI44" s="116"/>
      <c r="GJ44" s="99">
        <v>300</v>
      </c>
      <c r="GK44" s="99">
        <v>286.39999999999998</v>
      </c>
      <c r="GL44" s="13"/>
      <c r="GM44" s="122" t="s">
        <v>716</v>
      </c>
      <c r="GN44" s="116"/>
      <c r="GO44" s="116"/>
      <c r="GP44" s="117" t="s">
        <v>519</v>
      </c>
      <c r="GQ44" s="116"/>
      <c r="GR44" s="116" t="s">
        <v>1139</v>
      </c>
      <c r="GS44" s="116"/>
      <c r="GT44" s="116"/>
      <c r="GU44" s="169"/>
      <c r="GV44" s="169"/>
      <c r="GW44" s="116"/>
      <c r="GX44" s="116"/>
      <c r="HA44" s="116"/>
      <c r="HB44" s="116"/>
      <c r="HC44" s="116"/>
      <c r="HD44" s="116"/>
      <c r="HE44" s="116"/>
      <c r="HF44" s="116"/>
      <c r="HG44" s="116"/>
      <c r="HH44" s="116"/>
      <c r="HI44" s="116"/>
      <c r="HJ44" s="116"/>
      <c r="HK44" s="116"/>
      <c r="HL44" s="116"/>
      <c r="HM44" s="123">
        <v>41757.986631944441</v>
      </c>
      <c r="HN44" s="116"/>
      <c r="HO44" s="116" t="s">
        <v>445</v>
      </c>
      <c r="HP44" s="117" t="s">
        <v>1155</v>
      </c>
      <c r="HQ44" s="143" t="s">
        <v>486</v>
      </c>
      <c r="HS44" s="116" t="s">
        <v>446</v>
      </c>
      <c r="HT44" s="116">
        <v>15</v>
      </c>
      <c r="HU44" s="124">
        <v>2037</v>
      </c>
      <c r="HV44" s="124" t="s">
        <v>530</v>
      </c>
      <c r="HW44" s="137" t="s">
        <v>532</v>
      </c>
      <c r="HX44" s="124">
        <v>10</v>
      </c>
      <c r="HY44" s="124">
        <v>2021</v>
      </c>
      <c r="HZ44" s="137" t="s">
        <v>452</v>
      </c>
      <c r="IA44" s="137"/>
      <c r="IB44" s="137"/>
      <c r="IC44" s="137"/>
      <c r="ID44" s="137" t="s">
        <v>519</v>
      </c>
      <c r="IF44" s="137" t="s">
        <v>528</v>
      </c>
      <c r="IG44" s="117" t="s">
        <v>74</v>
      </c>
      <c r="IH44" s="140" t="s">
        <v>1298</v>
      </c>
      <c r="II44" s="124">
        <v>1000</v>
      </c>
      <c r="IJ44" s="141" t="s">
        <v>833</v>
      </c>
      <c r="IK44" s="142" t="s">
        <v>1336</v>
      </c>
      <c r="IL44" s="117" t="s">
        <v>1185</v>
      </c>
      <c r="IM44" s="124" t="s">
        <v>437</v>
      </c>
      <c r="IN44" s="137" t="s">
        <v>438</v>
      </c>
      <c r="IR44" s="142"/>
      <c r="IT44" s="116" t="s">
        <v>439</v>
      </c>
      <c r="IU44" s="116" t="s">
        <v>1136</v>
      </c>
      <c r="IV44" s="124" t="s">
        <v>447</v>
      </c>
      <c r="IW44" s="116" t="s">
        <v>1136</v>
      </c>
      <c r="IX44" s="116" t="s">
        <v>442</v>
      </c>
      <c r="IY44" s="116">
        <v>16</v>
      </c>
      <c r="IZ44" s="116">
        <v>1987</v>
      </c>
      <c r="JA44" s="116" t="s">
        <v>78</v>
      </c>
      <c r="JB44" s="117" t="s">
        <v>443</v>
      </c>
      <c r="JC44" s="124">
        <v>123456</v>
      </c>
      <c r="JD44" s="124">
        <v>123456</v>
      </c>
      <c r="JE44" s="116" t="s">
        <v>495</v>
      </c>
      <c r="JF44" s="116">
        <v>15</v>
      </c>
      <c r="JG44" s="116">
        <v>2034</v>
      </c>
      <c r="JH44" s="116" t="s">
        <v>1137</v>
      </c>
      <c r="JI44" s="117" t="s">
        <v>1134</v>
      </c>
      <c r="JJ44" s="117" t="s">
        <v>1134</v>
      </c>
      <c r="JK44" s="137" t="s">
        <v>809</v>
      </c>
      <c r="JL44" s="137" t="s">
        <v>809</v>
      </c>
      <c r="JM44" s="124" t="s">
        <v>449</v>
      </c>
      <c r="JN44" s="137">
        <v>456</v>
      </c>
      <c r="JO44" s="124" t="s">
        <v>530</v>
      </c>
      <c r="JP44" s="177" t="s">
        <v>1156</v>
      </c>
      <c r="JQ44" s="117" t="s">
        <v>1157</v>
      </c>
      <c r="JR44" s="117" t="s">
        <v>453</v>
      </c>
      <c r="JS44" s="117" t="s">
        <v>194</v>
      </c>
      <c r="JU44" s="124" t="s">
        <v>441</v>
      </c>
      <c r="JV44" s="124">
        <v>108</v>
      </c>
      <c r="JW44" s="116">
        <v>10</v>
      </c>
      <c r="JX44" s="116">
        <v>2022</v>
      </c>
      <c r="JY44" s="137" t="s">
        <v>451</v>
      </c>
      <c r="JZ44" s="137" t="s">
        <v>452</v>
      </c>
      <c r="KA44" s="142">
        <v>1636.55</v>
      </c>
      <c r="KB44" s="113" t="s">
        <v>489</v>
      </c>
      <c r="KC44" s="137" t="s">
        <v>1337</v>
      </c>
      <c r="KI44" s="123">
        <v>42046.71</v>
      </c>
      <c r="KJ44" s="123">
        <v>42046.71334490741</v>
      </c>
      <c r="KK44" s="116" t="s">
        <v>1321</v>
      </c>
      <c r="KQ44" s="116"/>
      <c r="LP44" s="116"/>
      <c r="LS44" s="117" t="s">
        <v>1184</v>
      </c>
      <c r="LV44" s="116"/>
      <c r="LW44" s="116"/>
      <c r="MC44" s="116"/>
      <c r="NU44" s="116"/>
      <c r="NV44" s="116"/>
      <c r="NW44" s="116"/>
      <c r="NX44" s="116"/>
      <c r="NZ44" s="116"/>
      <c r="OA44" s="124" t="s">
        <v>58</v>
      </c>
      <c r="OB44" s="139" t="s">
        <v>351</v>
      </c>
      <c r="OC44" s="124" t="s">
        <v>22</v>
      </c>
      <c r="OD44" s="116" t="s">
        <v>22</v>
      </c>
      <c r="OF44" s="137"/>
    </row>
    <row r="45" spans="1:396" s="124" customFormat="1" ht="15" customHeight="1">
      <c r="A45" s="120"/>
      <c r="B45" s="190"/>
      <c r="C45" s="189"/>
      <c r="D45" s="188"/>
      <c r="E45" s="137"/>
      <c r="F45" s="138"/>
      <c r="G45" s="138"/>
      <c r="H45" s="116"/>
      <c r="I45" s="116"/>
      <c r="J45" s="116"/>
      <c r="K45" s="116"/>
      <c r="L45" s="116"/>
      <c r="M45" s="116"/>
      <c r="N45" s="117" t="s">
        <v>1135</v>
      </c>
      <c r="O45" s="117" t="s">
        <v>519</v>
      </c>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7" t="s">
        <v>531</v>
      </c>
      <c r="BM45" s="116"/>
      <c r="BN45" s="116"/>
      <c r="BO45" s="116"/>
      <c r="BP45" s="116"/>
      <c r="BQ45" s="116"/>
      <c r="BR45" s="116"/>
      <c r="BS45" s="116"/>
      <c r="BT45" s="116"/>
      <c r="BU45" s="116"/>
      <c r="BV45" s="116"/>
      <c r="BW45" s="116"/>
      <c r="BX45" s="116"/>
      <c r="BY45" s="116"/>
      <c r="BZ45" s="116"/>
      <c r="CA45" s="116"/>
      <c r="CB45" s="116"/>
      <c r="CC45" s="116"/>
      <c r="CD45" s="116"/>
      <c r="CE45" s="116"/>
      <c r="CF45" s="116"/>
      <c r="CG45" s="116"/>
      <c r="CH45" s="116"/>
      <c r="CI45" s="116"/>
      <c r="CJ45" s="116"/>
      <c r="CK45" s="116"/>
      <c r="CL45" s="116"/>
      <c r="CM45" s="116"/>
      <c r="CN45" s="116"/>
      <c r="CO45" s="116"/>
      <c r="CP45" s="116"/>
      <c r="CQ45" s="116"/>
      <c r="CR45" s="116"/>
      <c r="CS45" s="116"/>
      <c r="CT45" s="116"/>
      <c r="CU45" s="116"/>
      <c r="CV45" s="116"/>
      <c r="CW45" s="116"/>
      <c r="CX45" s="116"/>
      <c r="CY45" s="116"/>
      <c r="CZ45" s="116"/>
      <c r="DA45" s="116"/>
      <c r="DB45" s="116"/>
      <c r="DC45" s="116"/>
      <c r="DD45" s="116"/>
      <c r="DE45" s="116"/>
      <c r="DF45" s="116"/>
      <c r="DG45" s="116"/>
      <c r="DH45" s="116"/>
      <c r="DI45" s="116"/>
      <c r="DJ45" s="116"/>
      <c r="DK45" s="116"/>
      <c r="DL45" s="116"/>
      <c r="DM45" s="116"/>
      <c r="DN45" s="116"/>
      <c r="DO45" s="116"/>
      <c r="DP45" s="116"/>
      <c r="DQ45" s="116"/>
      <c r="DR45" s="116"/>
      <c r="DS45" s="116"/>
      <c r="DT45" s="116"/>
      <c r="DU45" s="116"/>
      <c r="DV45" s="116"/>
      <c r="DW45" s="116"/>
      <c r="DX45" s="116"/>
      <c r="DY45" s="116"/>
      <c r="DZ45" s="116"/>
      <c r="EA45" s="116"/>
      <c r="EB45" s="116"/>
      <c r="EC45" s="116"/>
      <c r="ED45" s="116"/>
      <c r="EE45" s="116"/>
      <c r="EF45" s="116"/>
      <c r="EG45" s="116"/>
      <c r="EH45" s="116"/>
      <c r="EI45" s="116"/>
      <c r="EJ45" s="116"/>
      <c r="EK45" s="116"/>
      <c r="EL45" s="116">
        <v>6</v>
      </c>
      <c r="EM45" s="116" t="s">
        <v>1085</v>
      </c>
      <c r="EN45" s="116">
        <v>1988</v>
      </c>
      <c r="EO45" s="112">
        <v>8</v>
      </c>
      <c r="EP45" s="112" t="s">
        <v>1086</v>
      </c>
      <c r="EQ45" s="116">
        <v>2027</v>
      </c>
      <c r="ER45" s="117">
        <v>456</v>
      </c>
      <c r="ES45" s="116" t="s">
        <v>449</v>
      </c>
      <c r="ET45" s="116">
        <v>23456723</v>
      </c>
      <c r="EU45" s="117">
        <v>60000</v>
      </c>
      <c r="EV45" s="116" t="s">
        <v>1089</v>
      </c>
      <c r="EW45" s="116">
        <v>10</v>
      </c>
      <c r="EX45" s="116">
        <v>2018</v>
      </c>
      <c r="EY45" s="123">
        <v>41757.995671296296</v>
      </c>
      <c r="EZ45" s="116" t="s">
        <v>990</v>
      </c>
      <c r="FC45" s="18" t="s">
        <v>351</v>
      </c>
      <c r="GF45" s="116"/>
      <c r="GG45" s="116"/>
      <c r="GH45" s="116"/>
      <c r="GI45" s="116"/>
      <c r="GJ45" s="99">
        <v>400</v>
      </c>
      <c r="GK45" s="99">
        <v>381.86</v>
      </c>
      <c r="GL45" s="13"/>
      <c r="GM45" s="122" t="s">
        <v>716</v>
      </c>
      <c r="GN45" s="116"/>
      <c r="GO45" s="116"/>
      <c r="GP45" s="117" t="s">
        <v>519</v>
      </c>
      <c r="GQ45" s="116"/>
      <c r="GR45" s="117" t="s">
        <v>807</v>
      </c>
      <c r="GS45" s="116"/>
      <c r="GT45" s="116"/>
      <c r="GU45" s="169"/>
      <c r="GV45" s="169"/>
      <c r="GW45" s="116"/>
      <c r="GX45" s="116"/>
      <c r="HA45" s="116"/>
      <c r="HB45" s="116"/>
      <c r="HC45" s="116"/>
      <c r="HD45" s="116"/>
      <c r="HE45" s="116"/>
      <c r="HF45" s="116"/>
      <c r="HG45" s="116"/>
      <c r="HH45" s="116"/>
      <c r="HI45" s="116"/>
      <c r="HJ45" s="116"/>
      <c r="HK45" s="116"/>
      <c r="HL45" s="116"/>
      <c r="HM45" s="123">
        <v>41757.991319444445</v>
      </c>
      <c r="HN45" s="116"/>
      <c r="HO45" s="116" t="s">
        <v>445</v>
      </c>
      <c r="HP45" s="116">
        <v>2</v>
      </c>
      <c r="HQ45" s="143" t="s">
        <v>486</v>
      </c>
      <c r="HS45" s="116" t="s">
        <v>446</v>
      </c>
      <c r="HT45" s="116">
        <v>16</v>
      </c>
      <c r="HU45" s="124">
        <v>2037</v>
      </c>
      <c r="HV45" s="124" t="s">
        <v>530</v>
      </c>
      <c r="HW45" s="137" t="s">
        <v>532</v>
      </c>
      <c r="HX45" s="124">
        <v>10</v>
      </c>
      <c r="HY45" s="124">
        <v>2021</v>
      </c>
      <c r="HZ45" s="137" t="s">
        <v>452</v>
      </c>
      <c r="IA45" s="137"/>
      <c r="IB45" s="137"/>
      <c r="IC45" s="137"/>
      <c r="ID45" s="137" t="s">
        <v>519</v>
      </c>
      <c r="IF45" s="137" t="s">
        <v>528</v>
      </c>
      <c r="IG45" s="117" t="s">
        <v>74</v>
      </c>
      <c r="IH45" s="140" t="s">
        <v>1298</v>
      </c>
      <c r="II45" s="124">
        <v>800</v>
      </c>
      <c r="IJ45" s="141" t="s">
        <v>833</v>
      </c>
      <c r="IK45" s="142" t="s">
        <v>1301</v>
      </c>
      <c r="IL45" s="117" t="s">
        <v>1185</v>
      </c>
      <c r="IM45" s="124" t="s">
        <v>437</v>
      </c>
      <c r="IN45" s="137" t="s">
        <v>438</v>
      </c>
      <c r="IR45" s="142"/>
      <c r="IT45" s="116" t="s">
        <v>439</v>
      </c>
      <c r="IU45" s="116" t="s">
        <v>471</v>
      </c>
      <c r="IV45" s="124" t="s">
        <v>447</v>
      </c>
      <c r="IW45" s="116" t="s">
        <v>471</v>
      </c>
      <c r="IX45" s="116" t="s">
        <v>442</v>
      </c>
      <c r="IY45" s="116">
        <v>16</v>
      </c>
      <c r="IZ45" s="116">
        <v>1987</v>
      </c>
      <c r="JA45" s="116" t="s">
        <v>78</v>
      </c>
      <c r="JB45" s="117" t="s">
        <v>443</v>
      </c>
      <c r="JC45" s="124">
        <v>123456</v>
      </c>
      <c r="JD45" s="124">
        <v>123456</v>
      </c>
      <c r="JE45" s="116" t="s">
        <v>495</v>
      </c>
      <c r="JF45" s="116">
        <v>15</v>
      </c>
      <c r="JG45" s="116">
        <v>2034</v>
      </c>
      <c r="JH45" s="116" t="s">
        <v>1137</v>
      </c>
      <c r="JI45" s="117" t="s">
        <v>1134</v>
      </c>
      <c r="JJ45" s="117" t="s">
        <v>1134</v>
      </c>
      <c r="JK45" s="137" t="s">
        <v>809</v>
      </c>
      <c r="JL45" s="137" t="s">
        <v>809</v>
      </c>
      <c r="JM45" s="124" t="s">
        <v>449</v>
      </c>
      <c r="JN45" s="137">
        <v>456</v>
      </c>
      <c r="JO45" s="124" t="s">
        <v>530</v>
      </c>
      <c r="JP45" s="177" t="s">
        <v>1156</v>
      </c>
      <c r="JQ45" s="117" t="s">
        <v>1157</v>
      </c>
      <c r="JR45" s="117" t="s">
        <v>453</v>
      </c>
      <c r="JS45" s="117" t="s">
        <v>194</v>
      </c>
      <c r="JU45" s="124" t="s">
        <v>441</v>
      </c>
      <c r="JV45" s="124">
        <v>108</v>
      </c>
      <c r="JW45" s="116">
        <v>10</v>
      </c>
      <c r="JX45" s="116">
        <v>2022</v>
      </c>
      <c r="JY45" s="137" t="s">
        <v>451</v>
      </c>
      <c r="JZ45" s="137" t="s">
        <v>452</v>
      </c>
      <c r="KA45" s="142">
        <v>1311.24</v>
      </c>
      <c r="KB45" s="113" t="s">
        <v>489</v>
      </c>
      <c r="KC45" s="137" t="s">
        <v>1338</v>
      </c>
      <c r="KI45" s="123">
        <v>42046.713368055556</v>
      </c>
      <c r="KJ45" s="123">
        <v>42046.716874999998</v>
      </c>
      <c r="KK45" s="116" t="s">
        <v>1327</v>
      </c>
      <c r="KQ45" s="116"/>
      <c r="LP45" s="116"/>
      <c r="LS45" s="117" t="s">
        <v>1184</v>
      </c>
      <c r="LV45" s="116"/>
      <c r="LW45" s="116"/>
      <c r="MC45" s="116"/>
      <c r="NU45" s="116"/>
      <c r="NV45" s="116"/>
      <c r="NW45" s="116"/>
      <c r="NX45" s="116"/>
      <c r="NZ45" s="116"/>
      <c r="OA45" s="124" t="s">
        <v>58</v>
      </c>
      <c r="OB45" s="139" t="s">
        <v>351</v>
      </c>
      <c r="OC45" s="124" t="s">
        <v>22</v>
      </c>
      <c r="OD45" s="116" t="s">
        <v>22</v>
      </c>
      <c r="OF45" s="137"/>
    </row>
    <row r="46" spans="1:396" s="124" customFormat="1" ht="15" customHeight="1">
      <c r="A46" s="120"/>
      <c r="B46" s="190"/>
      <c r="C46" s="189"/>
      <c r="D46" s="188"/>
      <c r="E46" s="137"/>
      <c r="F46" s="138"/>
      <c r="G46" s="138"/>
      <c r="H46" s="116"/>
      <c r="I46" s="116"/>
      <c r="J46" s="116"/>
      <c r="K46" s="116"/>
      <c r="L46" s="116"/>
      <c r="M46" s="116"/>
      <c r="N46" s="117" t="s">
        <v>1135</v>
      </c>
      <c r="O46" s="117" t="s">
        <v>519</v>
      </c>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7" t="s">
        <v>531</v>
      </c>
      <c r="BM46" s="116"/>
      <c r="BN46" s="116"/>
      <c r="BO46" s="116"/>
      <c r="BP46" s="116"/>
      <c r="BQ46" s="116"/>
      <c r="BR46" s="116"/>
      <c r="BS46" s="116"/>
      <c r="BT46" s="116"/>
      <c r="BU46" s="116"/>
      <c r="BV46" s="116"/>
      <c r="BW46" s="116"/>
      <c r="BX46" s="116"/>
      <c r="BY46" s="116"/>
      <c r="BZ46" s="116"/>
      <c r="CA46" s="116"/>
      <c r="CB46" s="116"/>
      <c r="CC46" s="116"/>
      <c r="CD46" s="116"/>
      <c r="CE46" s="116"/>
      <c r="CF46" s="116"/>
      <c r="CG46" s="116"/>
      <c r="CH46" s="116"/>
      <c r="CI46" s="116"/>
      <c r="CJ46" s="116"/>
      <c r="CK46" s="116"/>
      <c r="CL46" s="116"/>
      <c r="CM46" s="116"/>
      <c r="CN46" s="116"/>
      <c r="CO46" s="116"/>
      <c r="CP46" s="116"/>
      <c r="CQ46" s="116"/>
      <c r="CR46" s="116"/>
      <c r="CS46" s="116"/>
      <c r="CT46" s="116"/>
      <c r="CU46" s="116"/>
      <c r="CV46" s="116"/>
      <c r="CW46" s="116"/>
      <c r="CX46" s="116"/>
      <c r="CY46" s="116"/>
      <c r="CZ46" s="116"/>
      <c r="DA46" s="116"/>
      <c r="DB46" s="116"/>
      <c r="DC46" s="116"/>
      <c r="DD46" s="116"/>
      <c r="DE46" s="116"/>
      <c r="DF46" s="116"/>
      <c r="DG46" s="116"/>
      <c r="DH46" s="116"/>
      <c r="DI46" s="116"/>
      <c r="DJ46" s="116"/>
      <c r="DK46" s="116"/>
      <c r="DL46" s="116"/>
      <c r="DM46" s="116"/>
      <c r="DN46" s="116"/>
      <c r="DO46" s="116"/>
      <c r="DP46" s="116"/>
      <c r="DQ46" s="116"/>
      <c r="DR46" s="116"/>
      <c r="DS46" s="116"/>
      <c r="DT46" s="116"/>
      <c r="DU46" s="116"/>
      <c r="DV46" s="116"/>
      <c r="DW46" s="116"/>
      <c r="DX46" s="116"/>
      <c r="DY46" s="116"/>
      <c r="DZ46" s="116"/>
      <c r="EA46" s="116"/>
      <c r="EB46" s="116"/>
      <c r="EC46" s="116"/>
      <c r="ED46" s="116"/>
      <c r="EE46" s="116"/>
      <c r="EF46" s="116"/>
      <c r="EG46" s="116"/>
      <c r="EH46" s="116"/>
      <c r="EI46" s="116"/>
      <c r="EJ46" s="116"/>
      <c r="EK46" s="116"/>
      <c r="EL46" s="116">
        <v>8</v>
      </c>
      <c r="EM46" s="116" t="s">
        <v>1085</v>
      </c>
      <c r="EN46" s="116">
        <v>1988</v>
      </c>
      <c r="EO46" s="112">
        <v>9</v>
      </c>
      <c r="EP46" s="112" t="s">
        <v>1088</v>
      </c>
      <c r="EQ46" s="116">
        <v>2028</v>
      </c>
      <c r="ER46" s="117">
        <v>546</v>
      </c>
      <c r="ES46" s="116" t="s">
        <v>449</v>
      </c>
      <c r="ET46" s="116">
        <v>23456723</v>
      </c>
      <c r="EU46" s="117">
        <v>60000</v>
      </c>
      <c r="EV46" s="116" t="s">
        <v>1089</v>
      </c>
      <c r="EW46" s="116">
        <v>10</v>
      </c>
      <c r="EX46" s="116">
        <v>2018</v>
      </c>
      <c r="EY46" s="123">
        <v>41757.999803240738</v>
      </c>
      <c r="EZ46" s="116" t="s">
        <v>991</v>
      </c>
      <c r="FC46" s="18" t="s">
        <v>351</v>
      </c>
      <c r="GF46" s="116"/>
      <c r="GG46" s="116"/>
      <c r="GH46" s="116"/>
      <c r="GI46" s="116"/>
      <c r="GJ46" s="99">
        <v>450</v>
      </c>
      <c r="GK46" s="99">
        <v>429.59</v>
      </c>
      <c r="GL46" s="13"/>
      <c r="GM46" s="122" t="s">
        <v>716</v>
      </c>
      <c r="GN46" s="116"/>
      <c r="GO46" s="116"/>
      <c r="GP46" s="117" t="s">
        <v>519</v>
      </c>
      <c r="GQ46" s="116"/>
      <c r="GR46" s="116" t="s">
        <v>1139</v>
      </c>
      <c r="GS46" s="116"/>
      <c r="GT46" s="116"/>
      <c r="GU46" s="169"/>
      <c r="GV46" s="169"/>
      <c r="GW46" s="116"/>
      <c r="GX46" s="116"/>
      <c r="HA46" s="116"/>
      <c r="HB46" s="116"/>
      <c r="HC46" s="116"/>
      <c r="HD46" s="116"/>
      <c r="HE46" s="116"/>
      <c r="HF46" s="116"/>
      <c r="HG46" s="116"/>
      <c r="HH46" s="116"/>
      <c r="HI46" s="116"/>
      <c r="HJ46" s="116"/>
      <c r="HK46" s="116"/>
      <c r="HL46" s="116"/>
      <c r="HM46" s="123">
        <v>41757.995717592596</v>
      </c>
      <c r="HN46" s="116"/>
      <c r="HO46" s="116" t="s">
        <v>445</v>
      </c>
      <c r="HP46" s="116">
        <v>3</v>
      </c>
      <c r="HQ46" s="143" t="s">
        <v>486</v>
      </c>
      <c r="HS46" s="116" t="s">
        <v>446</v>
      </c>
      <c r="HT46" s="116">
        <v>11</v>
      </c>
      <c r="HU46" s="124">
        <v>2037</v>
      </c>
      <c r="HV46" s="124" t="s">
        <v>530</v>
      </c>
      <c r="HW46" s="137" t="s">
        <v>532</v>
      </c>
      <c r="HX46" s="124">
        <v>10</v>
      </c>
      <c r="HY46" s="124">
        <v>2021</v>
      </c>
      <c r="HZ46" s="137" t="s">
        <v>452</v>
      </c>
      <c r="IA46" s="137"/>
      <c r="IB46" s="137"/>
      <c r="IC46" s="137"/>
      <c r="ID46" s="137" t="s">
        <v>519</v>
      </c>
      <c r="IF46" s="137" t="s">
        <v>528</v>
      </c>
      <c r="IG46" s="117" t="s">
        <v>74</v>
      </c>
      <c r="IH46" s="140" t="s">
        <v>1298</v>
      </c>
      <c r="II46" s="124">
        <v>900</v>
      </c>
      <c r="IJ46" s="141" t="s">
        <v>833</v>
      </c>
      <c r="IK46" s="142" t="s">
        <v>1339</v>
      </c>
      <c r="IL46" s="117" t="s">
        <v>1185</v>
      </c>
      <c r="IM46" s="124" t="s">
        <v>437</v>
      </c>
      <c r="IN46" s="137" t="s">
        <v>438</v>
      </c>
      <c r="IR46" s="142"/>
      <c r="IT46" s="116" t="s">
        <v>439</v>
      </c>
      <c r="IU46" s="116" t="s">
        <v>472</v>
      </c>
      <c r="IV46" s="124" t="s">
        <v>447</v>
      </c>
      <c r="IW46" s="116" t="s">
        <v>472</v>
      </c>
      <c r="IX46" s="116" t="s">
        <v>442</v>
      </c>
      <c r="IY46" s="116">
        <v>16</v>
      </c>
      <c r="IZ46" s="116">
        <v>1987</v>
      </c>
      <c r="JA46" s="116" t="s">
        <v>78</v>
      </c>
      <c r="JB46" s="117" t="s">
        <v>443</v>
      </c>
      <c r="JC46" s="124">
        <v>123456</v>
      </c>
      <c r="JD46" s="124">
        <v>123456</v>
      </c>
      <c r="JE46" s="116" t="s">
        <v>495</v>
      </c>
      <c r="JF46" s="116">
        <v>15</v>
      </c>
      <c r="JG46" s="116">
        <v>2034</v>
      </c>
      <c r="JH46" s="116" t="s">
        <v>1137</v>
      </c>
      <c r="JI46" s="117" t="s">
        <v>1134</v>
      </c>
      <c r="JJ46" s="117" t="s">
        <v>1134</v>
      </c>
      <c r="JK46" s="137" t="s">
        <v>809</v>
      </c>
      <c r="JL46" s="137" t="s">
        <v>809</v>
      </c>
      <c r="JM46" s="124" t="s">
        <v>449</v>
      </c>
      <c r="JN46" s="137">
        <v>456</v>
      </c>
      <c r="JO46" s="124" t="s">
        <v>530</v>
      </c>
      <c r="JP46" s="177" t="s">
        <v>1156</v>
      </c>
      <c r="JQ46" s="117" t="s">
        <v>1157</v>
      </c>
      <c r="JR46" s="117" t="s">
        <v>453</v>
      </c>
      <c r="JS46" s="117" t="s">
        <v>194</v>
      </c>
      <c r="JU46" s="124" t="s">
        <v>441</v>
      </c>
      <c r="JV46" s="124">
        <v>108</v>
      </c>
      <c r="JW46" s="116">
        <v>10</v>
      </c>
      <c r="JX46" s="116">
        <v>2022</v>
      </c>
      <c r="JY46" s="137" t="s">
        <v>451</v>
      </c>
      <c r="JZ46" s="137" t="s">
        <v>452</v>
      </c>
      <c r="KA46" s="142">
        <v>1473.89</v>
      </c>
      <c r="KB46" s="113" t="s">
        <v>489</v>
      </c>
      <c r="KC46" s="137" t="s">
        <v>1340</v>
      </c>
      <c r="KI46" s="123">
        <v>42046.716898148145</v>
      </c>
      <c r="KJ46" s="123">
        <v>42046.720254629632</v>
      </c>
      <c r="KK46" s="116" t="s">
        <v>1341</v>
      </c>
      <c r="KQ46" s="116"/>
      <c r="LP46" s="116"/>
      <c r="LS46" s="117" t="s">
        <v>1184</v>
      </c>
      <c r="LV46" s="116"/>
      <c r="LW46" s="116"/>
      <c r="MC46" s="116"/>
      <c r="NU46" s="116"/>
      <c r="NV46" s="116"/>
      <c r="NW46" s="116"/>
      <c r="NX46" s="116"/>
      <c r="NZ46" s="116"/>
      <c r="OA46" s="124" t="s">
        <v>58</v>
      </c>
      <c r="OB46" s="139" t="s">
        <v>351</v>
      </c>
      <c r="OC46" s="124" t="s">
        <v>22</v>
      </c>
      <c r="OD46" s="116" t="s">
        <v>22</v>
      </c>
      <c r="OF46" s="137"/>
    </row>
    <row r="47" spans="1:396" s="216" customFormat="1" ht="15" customHeight="1">
      <c r="A47" s="120"/>
      <c r="B47" s="214"/>
      <c r="C47" s="215"/>
      <c r="F47" s="232"/>
      <c r="G47" s="232"/>
      <c r="H47" s="116"/>
      <c r="I47" s="116"/>
      <c r="J47" s="116"/>
      <c r="K47" s="116"/>
      <c r="L47" s="116"/>
      <c r="M47" s="116"/>
      <c r="N47" s="117" t="s">
        <v>1135</v>
      </c>
      <c r="O47" s="117" t="s">
        <v>519</v>
      </c>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7" t="s">
        <v>531</v>
      </c>
      <c r="BM47" s="116"/>
      <c r="BN47" s="116"/>
      <c r="BO47" s="116"/>
      <c r="BP47" s="116"/>
      <c r="BQ47" s="116"/>
      <c r="BR47" s="116"/>
      <c r="BS47" s="116"/>
      <c r="BT47" s="116"/>
      <c r="BU47" s="116"/>
      <c r="BV47" s="116"/>
      <c r="BW47" s="116"/>
      <c r="BX47" s="116"/>
      <c r="BY47" s="116"/>
      <c r="BZ47" s="116"/>
      <c r="CA47" s="116"/>
      <c r="CB47" s="116"/>
      <c r="CC47" s="116"/>
      <c r="CD47" s="116"/>
      <c r="CE47" s="116"/>
      <c r="CF47" s="116"/>
      <c r="CG47" s="116"/>
      <c r="CH47" s="116"/>
      <c r="CI47" s="116"/>
      <c r="CJ47" s="116"/>
      <c r="CK47" s="116"/>
      <c r="CL47" s="116"/>
      <c r="CM47" s="116"/>
      <c r="CN47" s="116"/>
      <c r="CO47" s="116"/>
      <c r="CP47" s="116"/>
      <c r="CQ47" s="116"/>
      <c r="CR47" s="116"/>
      <c r="CS47" s="116"/>
      <c r="CT47" s="116"/>
      <c r="CU47" s="116"/>
      <c r="CV47" s="116"/>
      <c r="CW47" s="116"/>
      <c r="CX47" s="116"/>
      <c r="CY47" s="116"/>
      <c r="CZ47" s="116"/>
      <c r="DA47" s="116"/>
      <c r="DB47" s="116"/>
      <c r="DC47" s="116"/>
      <c r="DD47" s="116"/>
      <c r="DE47" s="116"/>
      <c r="DF47" s="116"/>
      <c r="DG47" s="116"/>
      <c r="DH47" s="116"/>
      <c r="DI47" s="116"/>
      <c r="DJ47" s="116"/>
      <c r="DK47" s="116"/>
      <c r="DL47" s="116"/>
      <c r="DM47" s="116"/>
      <c r="DN47" s="116"/>
      <c r="DO47" s="116"/>
      <c r="DP47" s="116"/>
      <c r="DQ47" s="116"/>
      <c r="DR47" s="116"/>
      <c r="DS47" s="116"/>
      <c r="DT47" s="116"/>
      <c r="DU47" s="116"/>
      <c r="DV47" s="116"/>
      <c r="DW47" s="116"/>
      <c r="DX47" s="116"/>
      <c r="DY47" s="116"/>
      <c r="DZ47" s="116"/>
      <c r="EA47" s="116"/>
      <c r="EB47" s="116"/>
      <c r="EC47" s="116"/>
      <c r="ED47" s="116"/>
      <c r="EE47" s="116"/>
      <c r="EF47" s="116"/>
      <c r="EG47" s="116"/>
      <c r="EH47" s="116"/>
      <c r="EI47" s="116"/>
      <c r="EJ47" s="116"/>
      <c r="EK47" s="116"/>
      <c r="EL47" s="116">
        <v>3</v>
      </c>
      <c r="EM47" s="116" t="s">
        <v>1085</v>
      </c>
      <c r="EN47" s="116">
        <v>1988</v>
      </c>
      <c r="EO47" s="112">
        <v>1</v>
      </c>
      <c r="EP47" s="112" t="s">
        <v>1082</v>
      </c>
      <c r="EQ47" s="116">
        <v>2020</v>
      </c>
      <c r="ER47" s="117">
        <v>123</v>
      </c>
      <c r="ES47" s="116" t="s">
        <v>449</v>
      </c>
      <c r="ET47" s="116">
        <v>23456723</v>
      </c>
      <c r="EU47" s="117">
        <v>60000</v>
      </c>
      <c r="EV47" s="116" t="s">
        <v>1089</v>
      </c>
      <c r="EW47" s="116">
        <v>10</v>
      </c>
      <c r="EX47" s="116">
        <v>2018</v>
      </c>
      <c r="EY47" s="123">
        <v>41758.004247685189</v>
      </c>
      <c r="EZ47" s="116" t="s">
        <v>983</v>
      </c>
      <c r="FA47" s="124"/>
      <c r="FB47" s="124"/>
      <c r="FC47" s="18" t="s">
        <v>351</v>
      </c>
      <c r="FD47" s="124"/>
      <c r="FE47" s="124"/>
      <c r="FF47" s="124"/>
      <c r="FG47" s="124"/>
      <c r="FH47" s="124"/>
      <c r="FI47" s="124"/>
      <c r="FJ47" s="124"/>
      <c r="FK47" s="124"/>
      <c r="FL47" s="124"/>
      <c r="FM47" s="124"/>
      <c r="FN47" s="124"/>
      <c r="FO47" s="124"/>
      <c r="FP47" s="124"/>
      <c r="FQ47" s="124"/>
      <c r="FR47" s="124"/>
      <c r="FS47" s="124"/>
      <c r="FT47" s="124"/>
      <c r="FU47" s="124"/>
      <c r="FV47" s="124"/>
      <c r="FW47" s="124"/>
      <c r="FX47" s="124"/>
      <c r="FY47" s="124"/>
      <c r="FZ47" s="124"/>
      <c r="GA47" s="124"/>
      <c r="GB47" s="124"/>
      <c r="GC47" s="124"/>
      <c r="GD47" s="124"/>
      <c r="GE47" s="124"/>
      <c r="GF47" s="116"/>
      <c r="GG47" s="116"/>
      <c r="GH47" s="116"/>
      <c r="GI47" s="116"/>
      <c r="GJ47" s="99">
        <v>500</v>
      </c>
      <c r="GK47" s="99">
        <v>477.33</v>
      </c>
      <c r="GL47" s="13"/>
      <c r="GM47" s="122" t="s">
        <v>716</v>
      </c>
      <c r="GN47" s="116"/>
      <c r="GO47" s="116"/>
      <c r="GP47" s="117" t="s">
        <v>519</v>
      </c>
      <c r="GQ47" s="116"/>
      <c r="GR47" s="117" t="s">
        <v>74</v>
      </c>
      <c r="GS47" s="116"/>
      <c r="GT47" s="116"/>
      <c r="GU47" s="169"/>
      <c r="GV47" s="169"/>
      <c r="GW47" s="116"/>
      <c r="GX47" s="116"/>
      <c r="GY47" s="124"/>
      <c r="GZ47" s="124"/>
      <c r="HA47" s="116"/>
      <c r="HB47" s="116"/>
      <c r="HC47" s="116"/>
      <c r="HD47" s="116"/>
      <c r="HE47" s="116"/>
      <c r="HF47" s="116"/>
      <c r="HG47" s="116"/>
      <c r="HH47" s="116"/>
      <c r="HI47" s="116"/>
      <c r="HJ47" s="116"/>
      <c r="HK47" s="116"/>
      <c r="HL47" s="116"/>
      <c r="HM47" s="123">
        <v>41757.999837962961</v>
      </c>
      <c r="HN47" s="116"/>
      <c r="HO47" s="116" t="s">
        <v>445</v>
      </c>
      <c r="HP47" s="116">
        <v>4</v>
      </c>
      <c r="HQ47" s="143" t="s">
        <v>486</v>
      </c>
      <c r="HR47" s="124"/>
      <c r="HS47" s="116" t="s">
        <v>446</v>
      </c>
      <c r="HT47" s="116">
        <v>12</v>
      </c>
      <c r="HU47" s="124">
        <v>2037</v>
      </c>
      <c r="HV47" s="124" t="s">
        <v>530</v>
      </c>
      <c r="HW47" s="137" t="s">
        <v>532</v>
      </c>
      <c r="HX47" s="124">
        <v>10</v>
      </c>
      <c r="HY47" s="124">
        <v>2021</v>
      </c>
      <c r="HZ47" s="137" t="s">
        <v>452</v>
      </c>
      <c r="IA47" s="137"/>
      <c r="IB47" s="137"/>
      <c r="IC47" s="137"/>
      <c r="ID47" s="137" t="s">
        <v>519</v>
      </c>
      <c r="IE47" s="124"/>
      <c r="IF47" s="218" t="s">
        <v>528</v>
      </c>
      <c r="IG47" s="218" t="s">
        <v>74</v>
      </c>
      <c r="IH47" s="219" t="s">
        <v>1298</v>
      </c>
      <c r="II47" s="216">
        <v>1200</v>
      </c>
      <c r="IJ47" s="220" t="s">
        <v>833</v>
      </c>
      <c r="IK47" s="221" t="s">
        <v>1304</v>
      </c>
      <c r="IL47" s="218" t="s">
        <v>1185</v>
      </c>
      <c r="IM47" s="216" t="s">
        <v>437</v>
      </c>
      <c r="IN47" s="218" t="s">
        <v>438</v>
      </c>
      <c r="IR47" s="221"/>
      <c r="IT47" s="216" t="s">
        <v>439</v>
      </c>
      <c r="IU47" s="216" t="s">
        <v>473</v>
      </c>
      <c r="IV47" s="216" t="s">
        <v>447</v>
      </c>
      <c r="IW47" s="216" t="s">
        <v>473</v>
      </c>
      <c r="IX47" s="216" t="s">
        <v>442</v>
      </c>
      <c r="IY47" s="216">
        <v>16</v>
      </c>
      <c r="IZ47" s="216">
        <v>1987</v>
      </c>
      <c r="JA47" s="216" t="s">
        <v>78</v>
      </c>
      <c r="JB47" s="218" t="s">
        <v>443</v>
      </c>
      <c r="JC47" s="216">
        <v>123456</v>
      </c>
      <c r="JD47" s="216">
        <v>123456</v>
      </c>
      <c r="JE47" s="216" t="s">
        <v>495</v>
      </c>
      <c r="JF47" s="216">
        <v>15</v>
      </c>
      <c r="JG47" s="216">
        <v>2034</v>
      </c>
      <c r="JH47" s="216" t="s">
        <v>1137</v>
      </c>
      <c r="JI47" s="218" t="s">
        <v>1134</v>
      </c>
      <c r="JJ47" s="218" t="s">
        <v>1134</v>
      </c>
      <c r="JK47" s="218" t="s">
        <v>809</v>
      </c>
      <c r="JL47" s="218" t="s">
        <v>809</v>
      </c>
      <c r="JM47" s="216" t="s">
        <v>449</v>
      </c>
      <c r="JN47" s="218">
        <v>456</v>
      </c>
      <c r="JO47" s="216" t="s">
        <v>530</v>
      </c>
      <c r="JP47" s="218" t="s">
        <v>1156</v>
      </c>
      <c r="JQ47" s="218" t="s">
        <v>1157</v>
      </c>
      <c r="JR47" s="218" t="s">
        <v>453</v>
      </c>
      <c r="JS47" s="218" t="s">
        <v>194</v>
      </c>
      <c r="JU47" s="216" t="s">
        <v>441</v>
      </c>
      <c r="JV47" s="216">
        <v>108</v>
      </c>
      <c r="JW47" s="216">
        <v>10</v>
      </c>
      <c r="JX47" s="216">
        <v>2022</v>
      </c>
      <c r="JY47" s="218" t="s">
        <v>451</v>
      </c>
      <c r="JZ47" s="218" t="s">
        <v>452</v>
      </c>
      <c r="KA47" s="221">
        <v>1961.85</v>
      </c>
      <c r="KB47" s="222" t="s">
        <v>489</v>
      </c>
      <c r="KC47" s="218" t="s">
        <v>1342</v>
      </c>
      <c r="KD47" s="124"/>
      <c r="KE47" s="124"/>
      <c r="KI47" s="123">
        <v>42046.720289351855</v>
      </c>
      <c r="KJ47" s="123">
        <v>42046.723611111112</v>
      </c>
      <c r="KK47" s="116" t="s">
        <v>1318</v>
      </c>
      <c r="KQ47" s="116"/>
      <c r="LP47" s="116"/>
      <c r="LS47" s="218" t="s">
        <v>1184</v>
      </c>
      <c r="LV47" s="116"/>
      <c r="LW47" s="116"/>
      <c r="MC47" s="116"/>
      <c r="NS47" s="124"/>
      <c r="NT47" s="124"/>
      <c r="NU47" s="116"/>
      <c r="NV47" s="116"/>
      <c r="NW47" s="116"/>
      <c r="NX47" s="116"/>
      <c r="NZ47" s="116"/>
      <c r="OA47" s="216" t="s">
        <v>58</v>
      </c>
      <c r="OB47" s="217" t="s">
        <v>351</v>
      </c>
      <c r="OC47" s="216" t="s">
        <v>22</v>
      </c>
      <c r="OD47" s="116" t="s">
        <v>22</v>
      </c>
      <c r="OF47" s="137"/>
    </row>
    <row r="48" spans="1:396" ht="60">
      <c r="C48" s="43"/>
      <c r="E48" s="22"/>
      <c r="F48" s="23"/>
      <c r="G48" s="23"/>
      <c r="O48" s="22" t="s">
        <v>519</v>
      </c>
      <c r="AW48" s="21"/>
      <c r="BF48" s="22"/>
      <c r="BG48" s="22"/>
      <c r="BI48" s="46"/>
      <c r="BK48" s="22"/>
      <c r="BT48" s="22"/>
      <c r="BW48" s="22"/>
      <c r="BX48" s="22"/>
      <c r="CB48" s="22"/>
      <c r="CC48" s="22"/>
      <c r="CD48" s="22"/>
      <c r="CJ48" s="22"/>
      <c r="CK48" s="22"/>
      <c r="CL48" s="22"/>
      <c r="CM48" s="22"/>
      <c r="CO48" s="22"/>
      <c r="EL48" s="116">
        <v>9</v>
      </c>
      <c r="EO48" s="112">
        <v>8</v>
      </c>
      <c r="EP48" s="112" t="s">
        <v>1086</v>
      </c>
      <c r="EQ48" s="116">
        <v>2027</v>
      </c>
      <c r="ES48" s="116" t="s">
        <v>449</v>
      </c>
      <c r="ET48" s="116">
        <v>23456723</v>
      </c>
      <c r="GU48" s="169"/>
      <c r="GV48" s="169"/>
      <c r="HA48" s="47"/>
      <c r="HB48" s="47"/>
      <c r="HC48" s="40"/>
      <c r="HD48" s="40" t="s">
        <v>716</v>
      </c>
      <c r="HF48" s="22" t="s">
        <v>456</v>
      </c>
      <c r="HG48" s="21" t="s">
        <v>528</v>
      </c>
      <c r="HH48" s="22" t="s">
        <v>69</v>
      </c>
      <c r="HI48" s="21">
        <v>400</v>
      </c>
      <c r="HO48" s="22" t="s">
        <v>444</v>
      </c>
      <c r="HP48" s="116">
        <v>5</v>
      </c>
      <c r="HQ48" s="46" t="s">
        <v>482</v>
      </c>
      <c r="HR48" s="22"/>
      <c r="HS48" s="21">
        <v>11</v>
      </c>
      <c r="HT48" s="116">
        <v>13</v>
      </c>
      <c r="HU48" s="21">
        <v>2037</v>
      </c>
      <c r="HV48" s="21" t="s">
        <v>530</v>
      </c>
      <c r="HW48" s="22" t="s">
        <v>695</v>
      </c>
      <c r="HX48" s="21">
        <v>10</v>
      </c>
      <c r="HY48" s="21">
        <v>2021</v>
      </c>
      <c r="HZ48" s="22" t="s">
        <v>452</v>
      </c>
      <c r="IA48" s="22"/>
      <c r="IB48" s="22"/>
      <c r="IC48" s="22"/>
      <c r="IF48" s="22" t="s">
        <v>723</v>
      </c>
      <c r="IG48" s="117" t="s">
        <v>69</v>
      </c>
      <c r="II48" s="116">
        <v>1250</v>
      </c>
      <c r="IJ48" s="22"/>
      <c r="IK48" s="47"/>
      <c r="IL48" s="22" t="s">
        <v>450</v>
      </c>
      <c r="IM48" s="21" t="s">
        <v>437</v>
      </c>
      <c r="IN48" s="22" t="s">
        <v>438</v>
      </c>
      <c r="IP48" s="41">
        <v>41733</v>
      </c>
      <c r="IQ48" s="21" t="s">
        <v>534</v>
      </c>
      <c r="IS48" s="21" t="s">
        <v>773</v>
      </c>
      <c r="IT48" s="21" t="s">
        <v>439</v>
      </c>
      <c r="IU48" s="116" t="s">
        <v>1138</v>
      </c>
      <c r="IV48" s="21" t="s">
        <v>447</v>
      </c>
      <c r="IW48" s="116" t="s">
        <v>1136</v>
      </c>
      <c r="IX48" s="21" t="s">
        <v>495</v>
      </c>
      <c r="IY48" s="21">
        <v>18</v>
      </c>
      <c r="IZ48" s="21">
        <v>1987</v>
      </c>
      <c r="JA48" s="21" t="s">
        <v>78</v>
      </c>
      <c r="JB48" s="22" t="s">
        <v>489</v>
      </c>
      <c r="JC48" s="21">
        <v>123456</v>
      </c>
      <c r="JE48" s="21" t="s">
        <v>495</v>
      </c>
      <c r="JF48" s="21">
        <v>18</v>
      </c>
      <c r="JG48" s="21">
        <v>2036</v>
      </c>
      <c r="JH48" s="21" t="s">
        <v>448</v>
      </c>
      <c r="JI48" s="22" t="s">
        <v>536</v>
      </c>
      <c r="JJ48" s="22" t="s">
        <v>536</v>
      </c>
      <c r="JK48" s="22" t="s">
        <v>496</v>
      </c>
      <c r="JL48" s="22" t="s">
        <v>496</v>
      </c>
      <c r="JM48" s="21" t="s">
        <v>449</v>
      </c>
      <c r="JN48" s="22">
        <v>456</v>
      </c>
      <c r="JO48" s="21" t="s">
        <v>530</v>
      </c>
      <c r="JP48" s="22" t="s">
        <v>531</v>
      </c>
      <c r="JQ48" s="22" t="s">
        <v>515</v>
      </c>
      <c r="JR48" s="22" t="s">
        <v>453</v>
      </c>
      <c r="JS48" s="22" t="s">
        <v>194</v>
      </c>
      <c r="JT48" s="21" t="s">
        <v>440</v>
      </c>
      <c r="JU48" s="21" t="s">
        <v>441</v>
      </c>
      <c r="JV48" s="21">
        <v>108</v>
      </c>
      <c r="JW48" s="21">
        <v>10</v>
      </c>
      <c r="JX48" s="21">
        <v>2022</v>
      </c>
      <c r="JY48" s="22" t="s">
        <v>451</v>
      </c>
      <c r="JZ48" s="22" t="s">
        <v>452</v>
      </c>
      <c r="KA48" s="47">
        <v>1409.22</v>
      </c>
      <c r="KB48" s="113" t="s">
        <v>489</v>
      </c>
      <c r="KC48" s="22" t="s">
        <v>778</v>
      </c>
      <c r="KI48" s="28">
        <v>41724.563391203701</v>
      </c>
      <c r="KJ48" s="28">
        <v>41724.568287037036</v>
      </c>
      <c r="KK48" s="21" t="s">
        <v>779</v>
      </c>
      <c r="LS48" s="21" t="s">
        <v>724</v>
      </c>
      <c r="MC48" s="22"/>
      <c r="OA48" s="21" t="s">
        <v>58</v>
      </c>
      <c r="OB48" s="22" t="s">
        <v>351</v>
      </c>
      <c r="OC48" s="21" t="s">
        <v>22</v>
      </c>
    </row>
    <row r="49" spans="1:393" ht="75">
      <c r="B49" s="37">
        <v>1</v>
      </c>
      <c r="C49" s="43" t="s">
        <v>312</v>
      </c>
      <c r="E49" s="22"/>
      <c r="F49" s="50"/>
      <c r="G49" s="23"/>
      <c r="O49" s="22" t="s">
        <v>519</v>
      </c>
      <c r="P49" s="21" t="s">
        <v>726</v>
      </c>
      <c r="AW49" s="21"/>
      <c r="CT49" s="22"/>
      <c r="CU49" s="22"/>
      <c r="CW49" s="22"/>
      <c r="DR49" s="35"/>
      <c r="EO49" s="112">
        <v>9</v>
      </c>
      <c r="EP49" s="112" t="s">
        <v>1088</v>
      </c>
      <c r="EQ49" s="116">
        <v>2028</v>
      </c>
      <c r="ES49" s="116" t="s">
        <v>449</v>
      </c>
      <c r="ET49" s="116">
        <v>23456723</v>
      </c>
      <c r="GU49" s="169"/>
      <c r="GV49" s="169"/>
      <c r="HA49" s="47"/>
      <c r="HB49" s="47"/>
      <c r="HC49" s="40"/>
      <c r="HD49" s="40" t="s">
        <v>716</v>
      </c>
      <c r="HO49" s="22">
        <v>25</v>
      </c>
      <c r="HP49" s="21" t="s">
        <v>442</v>
      </c>
      <c r="HQ49" s="21">
        <v>1985</v>
      </c>
      <c r="HR49" s="22" t="s">
        <v>452</v>
      </c>
      <c r="HS49" s="21">
        <v>11</v>
      </c>
      <c r="HT49" s="116">
        <v>14</v>
      </c>
      <c r="HU49" s="21">
        <v>2041</v>
      </c>
      <c r="HV49" s="21" t="s">
        <v>530</v>
      </c>
      <c r="HW49" s="22" t="s">
        <v>695</v>
      </c>
      <c r="HX49" s="22" t="s">
        <v>461</v>
      </c>
      <c r="HY49" s="22" t="s">
        <v>462</v>
      </c>
      <c r="HZ49" s="22" t="s">
        <v>452</v>
      </c>
      <c r="IA49" s="22"/>
      <c r="IB49" s="22"/>
      <c r="IC49" s="22"/>
      <c r="IF49" s="22" t="s">
        <v>528</v>
      </c>
      <c r="IG49" s="117" t="s">
        <v>1090</v>
      </c>
      <c r="II49" s="21">
        <v>800</v>
      </c>
      <c r="IK49" s="47"/>
      <c r="IL49" s="22" t="s">
        <v>535</v>
      </c>
      <c r="IM49" s="22" t="s">
        <v>457</v>
      </c>
      <c r="IN49" s="22" t="s">
        <v>438</v>
      </c>
      <c r="IP49" s="41">
        <v>41759</v>
      </c>
      <c r="IQ49" s="21" t="s">
        <v>788</v>
      </c>
      <c r="IS49" s="21" t="s">
        <v>816</v>
      </c>
      <c r="IT49" s="21" t="s">
        <v>439</v>
      </c>
      <c r="IU49" s="116" t="s">
        <v>982</v>
      </c>
      <c r="IV49" s="21" t="s">
        <v>447</v>
      </c>
      <c r="IW49" s="116" t="s">
        <v>471</v>
      </c>
      <c r="IX49" s="22" t="s">
        <v>495</v>
      </c>
      <c r="IY49" s="21">
        <v>19</v>
      </c>
      <c r="IZ49" s="21">
        <v>1987</v>
      </c>
      <c r="JA49" s="21" t="s">
        <v>78</v>
      </c>
      <c r="JB49" s="22" t="s">
        <v>489</v>
      </c>
      <c r="JC49" s="21">
        <v>123456</v>
      </c>
      <c r="JE49" s="21" t="s">
        <v>495</v>
      </c>
      <c r="JF49" s="21">
        <v>19</v>
      </c>
      <c r="JG49" s="21">
        <v>2036</v>
      </c>
      <c r="JH49" s="21" t="s">
        <v>448</v>
      </c>
      <c r="JI49" s="22" t="s">
        <v>536</v>
      </c>
      <c r="JJ49" s="22" t="s">
        <v>536</v>
      </c>
      <c r="JK49" s="22" t="s">
        <v>809</v>
      </c>
      <c r="JL49" s="22" t="s">
        <v>809</v>
      </c>
      <c r="JM49" s="21" t="s">
        <v>449</v>
      </c>
      <c r="JN49" s="22">
        <v>456</v>
      </c>
      <c r="JO49" s="21" t="s">
        <v>530</v>
      </c>
      <c r="JP49" s="22" t="s">
        <v>531</v>
      </c>
      <c r="JQ49" s="22" t="s">
        <v>515</v>
      </c>
      <c r="JR49" s="22" t="s">
        <v>453</v>
      </c>
      <c r="JS49" s="22" t="s">
        <v>194</v>
      </c>
      <c r="JT49" s="21" t="s">
        <v>440</v>
      </c>
      <c r="JU49" s="21" t="s">
        <v>441</v>
      </c>
      <c r="JV49" s="21">
        <v>108</v>
      </c>
      <c r="JW49" s="21">
        <v>10</v>
      </c>
      <c r="JX49" s="21">
        <v>2022</v>
      </c>
      <c r="JY49" s="22" t="s">
        <v>451</v>
      </c>
      <c r="JZ49" s="22" t="s">
        <v>452</v>
      </c>
      <c r="KA49" s="21">
        <v>899.99</v>
      </c>
      <c r="KB49" s="21" t="s">
        <v>489</v>
      </c>
      <c r="KC49" s="22" t="s">
        <v>828</v>
      </c>
      <c r="KI49" s="28">
        <v>41743.691400462965</v>
      </c>
      <c r="KJ49" s="28">
        <v>41743.700381944444</v>
      </c>
      <c r="KK49" s="21" t="s">
        <v>829</v>
      </c>
      <c r="LS49" s="22" t="s">
        <v>825</v>
      </c>
      <c r="OA49" s="21" t="s">
        <v>58</v>
      </c>
      <c r="OB49" s="22" t="s">
        <v>351</v>
      </c>
      <c r="OC49" s="21" t="s">
        <v>22</v>
      </c>
    </row>
    <row r="50" spans="1:393" ht="75">
      <c r="B50" s="37">
        <v>1</v>
      </c>
      <c r="C50" s="43" t="s">
        <v>313</v>
      </c>
      <c r="E50" s="22"/>
      <c r="F50" s="23"/>
      <c r="G50" s="23"/>
      <c r="O50" s="22" t="s">
        <v>519</v>
      </c>
      <c r="AW50" s="21"/>
      <c r="ET50" s="116">
        <v>23456723</v>
      </c>
      <c r="GU50" s="169"/>
      <c r="GV50" s="169"/>
      <c r="HA50" s="47"/>
      <c r="HB50" s="47"/>
      <c r="HC50" s="40"/>
      <c r="HD50" s="40" t="s">
        <v>716</v>
      </c>
      <c r="HF50" s="22" t="s">
        <v>456</v>
      </c>
      <c r="HG50" s="21" t="s">
        <v>528</v>
      </c>
      <c r="HH50" s="21" t="s">
        <v>69</v>
      </c>
      <c r="HI50" s="21">
        <v>200</v>
      </c>
      <c r="HO50" s="22" t="s">
        <v>444</v>
      </c>
      <c r="HP50" s="21" t="s">
        <v>445</v>
      </c>
      <c r="HQ50" s="21">
        <v>1986</v>
      </c>
      <c r="HS50" s="21">
        <v>29</v>
      </c>
      <c r="HT50" s="116">
        <v>15</v>
      </c>
      <c r="HU50" s="21">
        <v>2037</v>
      </c>
      <c r="HV50" s="21" t="s">
        <v>530</v>
      </c>
      <c r="HW50" s="22" t="s">
        <v>532</v>
      </c>
      <c r="HX50" s="21">
        <v>10</v>
      </c>
      <c r="HY50" s="21">
        <v>2021</v>
      </c>
      <c r="HZ50" s="22" t="s">
        <v>452</v>
      </c>
      <c r="IA50" s="22"/>
      <c r="IB50" s="22"/>
      <c r="IC50" s="22"/>
      <c r="IF50" s="22" t="s">
        <v>723</v>
      </c>
      <c r="IG50" s="117" t="s">
        <v>1091</v>
      </c>
      <c r="II50" s="21">
        <v>600</v>
      </c>
      <c r="IK50" s="47"/>
      <c r="IL50" s="22" t="s">
        <v>537</v>
      </c>
      <c r="IM50" s="22" t="s">
        <v>457</v>
      </c>
      <c r="IN50" s="22" t="s">
        <v>438</v>
      </c>
      <c r="IP50" s="41">
        <v>41733</v>
      </c>
      <c r="IQ50" s="21" t="s">
        <v>534</v>
      </c>
      <c r="IS50" s="21" t="s">
        <v>773</v>
      </c>
      <c r="IT50" s="21" t="s">
        <v>439</v>
      </c>
      <c r="IU50" s="21" t="s">
        <v>497</v>
      </c>
      <c r="IV50" s="21" t="s">
        <v>447</v>
      </c>
      <c r="IW50" s="116" t="s">
        <v>472</v>
      </c>
      <c r="IX50" s="21" t="s">
        <v>495</v>
      </c>
      <c r="IY50" s="21">
        <v>20</v>
      </c>
      <c r="IZ50" s="21">
        <v>1987</v>
      </c>
      <c r="JA50" s="21" t="s">
        <v>78</v>
      </c>
      <c r="JB50" s="22" t="s">
        <v>489</v>
      </c>
      <c r="JC50" s="21">
        <v>123456</v>
      </c>
      <c r="JE50" s="21" t="s">
        <v>495</v>
      </c>
      <c r="JF50" s="21">
        <v>20</v>
      </c>
      <c r="JG50" s="21">
        <v>2036</v>
      </c>
      <c r="JH50" s="21" t="s">
        <v>448</v>
      </c>
      <c r="JI50" s="22" t="s">
        <v>536</v>
      </c>
      <c r="JJ50" s="22" t="s">
        <v>536</v>
      </c>
      <c r="JK50" s="22" t="s">
        <v>496</v>
      </c>
      <c r="JL50" s="22" t="s">
        <v>496</v>
      </c>
      <c r="JM50" s="21" t="s">
        <v>449</v>
      </c>
      <c r="JN50" s="22">
        <v>456</v>
      </c>
      <c r="JO50" s="21" t="s">
        <v>530</v>
      </c>
      <c r="JP50" s="22" t="s">
        <v>531</v>
      </c>
      <c r="JQ50" s="22" t="s">
        <v>515</v>
      </c>
      <c r="JR50" s="22" t="s">
        <v>453</v>
      </c>
      <c r="JS50" s="22" t="s">
        <v>194</v>
      </c>
      <c r="JT50" s="21" t="s">
        <v>440</v>
      </c>
      <c r="JU50" s="21" t="s">
        <v>441</v>
      </c>
      <c r="JV50" s="21">
        <v>108</v>
      </c>
      <c r="JW50" s="21">
        <v>10</v>
      </c>
      <c r="JX50" s="21">
        <v>2022</v>
      </c>
      <c r="JY50" s="22" t="s">
        <v>451</v>
      </c>
      <c r="JZ50" s="22" t="s">
        <v>452</v>
      </c>
      <c r="KA50" s="47">
        <v>1184.23</v>
      </c>
      <c r="KB50" s="113" t="s">
        <v>489</v>
      </c>
      <c r="KC50" s="22" t="s">
        <v>780</v>
      </c>
      <c r="KI50" s="28">
        <v>41724.608923611115</v>
      </c>
      <c r="KJ50" s="28">
        <v>41724.616539351853</v>
      </c>
      <c r="KK50" s="21" t="s">
        <v>781</v>
      </c>
      <c r="LS50" s="21" t="s">
        <v>724</v>
      </c>
      <c r="OA50" s="21" t="s">
        <v>58</v>
      </c>
      <c r="OB50" s="22" t="s">
        <v>351</v>
      </c>
      <c r="OC50" s="21" t="s">
        <v>22</v>
      </c>
    </row>
    <row r="51" spans="1:393">
      <c r="B51" s="37">
        <v>1</v>
      </c>
      <c r="C51" s="43" t="s">
        <v>510</v>
      </c>
      <c r="F51" s="23"/>
      <c r="G51" s="23"/>
      <c r="AW51" s="21"/>
      <c r="BF51" s="35" t="s">
        <v>443</v>
      </c>
      <c r="BG51" s="21" t="s">
        <v>514</v>
      </c>
      <c r="BH51" s="21" t="s">
        <v>963</v>
      </c>
      <c r="BI51" s="51" t="s">
        <v>962</v>
      </c>
      <c r="BJ51" s="47">
        <v>976.75</v>
      </c>
      <c r="BK51" s="22" t="s">
        <v>524</v>
      </c>
      <c r="ET51" s="116">
        <v>23456723</v>
      </c>
      <c r="GU51" s="169"/>
      <c r="GV51" s="169"/>
      <c r="HT51" s="116">
        <v>16</v>
      </c>
      <c r="IW51" s="116" t="s">
        <v>476</v>
      </c>
      <c r="KI51" s="28">
        <v>41762.571331018517</v>
      </c>
      <c r="KJ51" s="28">
        <v>41762.571388888886</v>
      </c>
      <c r="KK51" s="21" t="s">
        <v>1033</v>
      </c>
      <c r="MC51" s="21" t="s">
        <v>504</v>
      </c>
      <c r="NU51" s="21" t="s">
        <v>310</v>
      </c>
      <c r="NV51" s="21">
        <v>11</v>
      </c>
      <c r="NW51" s="21" t="s">
        <v>520</v>
      </c>
      <c r="NX51" s="21" t="s">
        <v>521</v>
      </c>
      <c r="NZ51" s="21" t="s">
        <v>1028</v>
      </c>
    </row>
    <row r="52" spans="1:393">
      <c r="B52" s="37">
        <v>1</v>
      </c>
      <c r="C52" s="43" t="s">
        <v>511</v>
      </c>
      <c r="F52" s="23"/>
      <c r="G52" s="23"/>
      <c r="AW52" s="21"/>
      <c r="BF52" s="21" t="s">
        <v>443</v>
      </c>
      <c r="BG52" s="21" t="s">
        <v>514</v>
      </c>
      <c r="BH52" s="21" t="s">
        <v>963</v>
      </c>
      <c r="BI52" s="51" t="s">
        <v>962</v>
      </c>
      <c r="BJ52" s="21">
        <v>921.45</v>
      </c>
      <c r="BK52" s="21" t="s">
        <v>525</v>
      </c>
      <c r="GU52" s="169"/>
      <c r="GV52" s="169"/>
      <c r="KI52" s="28">
        <v>41762.571423611109</v>
      </c>
      <c r="KJ52" s="28">
        <v>41762.571516203701</v>
      </c>
      <c r="KK52" s="21" t="s">
        <v>1026</v>
      </c>
      <c r="MC52" s="21" t="s">
        <v>504</v>
      </c>
      <c r="NU52" s="21" t="s">
        <v>310</v>
      </c>
      <c r="NV52" s="21">
        <v>12</v>
      </c>
      <c r="NW52" s="21" t="s">
        <v>520</v>
      </c>
      <c r="NX52" s="21" t="s">
        <v>521</v>
      </c>
      <c r="NZ52" s="21" t="s">
        <v>1029</v>
      </c>
    </row>
    <row r="53" spans="1:393">
      <c r="B53" s="37">
        <v>1</v>
      </c>
      <c r="C53" s="43" t="s">
        <v>512</v>
      </c>
      <c r="F53" s="23"/>
      <c r="G53" s="23"/>
      <c r="AW53" s="21"/>
      <c r="BF53" s="21" t="s">
        <v>443</v>
      </c>
      <c r="BG53" s="21" t="s">
        <v>514</v>
      </c>
      <c r="BH53" s="21" t="s">
        <v>963</v>
      </c>
      <c r="BI53" s="51" t="s">
        <v>962</v>
      </c>
      <c r="BJ53" s="21">
        <v>879.08</v>
      </c>
      <c r="BK53" s="22" t="s">
        <v>526</v>
      </c>
      <c r="GU53" s="169"/>
      <c r="GV53" s="169"/>
      <c r="KI53" s="28">
        <v>41762.571539351855</v>
      </c>
      <c r="KJ53" s="28">
        <v>41762.571597222224</v>
      </c>
      <c r="KK53" s="21" t="s">
        <v>1033</v>
      </c>
      <c r="MC53" s="21" t="s">
        <v>504</v>
      </c>
      <c r="NU53" s="21" t="s">
        <v>310</v>
      </c>
      <c r="NV53" s="21">
        <v>13</v>
      </c>
      <c r="NW53" s="21" t="s">
        <v>520</v>
      </c>
      <c r="NX53" s="21" t="s">
        <v>521</v>
      </c>
      <c r="NZ53" s="21" t="s">
        <v>1030</v>
      </c>
    </row>
    <row r="54" spans="1:393" s="113" customFormat="1">
      <c r="A54" s="36"/>
      <c r="B54" s="37">
        <v>1</v>
      </c>
      <c r="C54" s="43" t="s">
        <v>1013</v>
      </c>
      <c r="F54" s="23"/>
      <c r="G54" s="23"/>
      <c r="BF54" s="113" t="s">
        <v>443</v>
      </c>
      <c r="BG54" s="113" t="s">
        <v>514</v>
      </c>
      <c r="BH54" s="113" t="s">
        <v>963</v>
      </c>
      <c r="BI54" s="51" t="s">
        <v>962</v>
      </c>
      <c r="BJ54" s="113">
        <v>1918.47</v>
      </c>
      <c r="BK54" s="113" t="s">
        <v>525</v>
      </c>
      <c r="GU54" s="169"/>
      <c r="GV54" s="169"/>
      <c r="KI54" s="28">
        <v>41762.571631944447</v>
      </c>
      <c r="KJ54" s="28">
        <v>41762.571689814817</v>
      </c>
      <c r="KK54" s="113" t="s">
        <v>1033</v>
      </c>
      <c r="MC54" s="113" t="s">
        <v>504</v>
      </c>
      <c r="NU54" s="113" t="s">
        <v>310</v>
      </c>
      <c r="NV54" s="113">
        <v>14</v>
      </c>
      <c r="NW54" s="113" t="s">
        <v>520</v>
      </c>
      <c r="NX54" s="113" t="s">
        <v>521</v>
      </c>
      <c r="NZ54" s="113" t="s">
        <v>1031</v>
      </c>
    </row>
    <row r="55" spans="1:393" s="113" customFormat="1">
      <c r="A55" s="36"/>
      <c r="B55" s="37">
        <v>1</v>
      </c>
      <c r="C55" s="43" t="s">
        <v>1016</v>
      </c>
      <c r="F55" s="23"/>
      <c r="G55" s="23"/>
      <c r="BF55" s="35" t="s">
        <v>443</v>
      </c>
      <c r="BG55" s="113" t="s">
        <v>964</v>
      </c>
      <c r="BH55" s="113" t="s">
        <v>963</v>
      </c>
      <c r="BI55" s="51" t="s">
        <v>1020</v>
      </c>
      <c r="BJ55" s="47">
        <v>1151.81</v>
      </c>
      <c r="BK55" s="114" t="s">
        <v>524</v>
      </c>
      <c r="GU55" s="169"/>
      <c r="GV55" s="169"/>
      <c r="IW55" s="116" t="s">
        <v>476</v>
      </c>
      <c r="KI55" s="28">
        <v>41762.528900462959</v>
      </c>
      <c r="KJ55" s="28">
        <v>41762.528993055559</v>
      </c>
      <c r="KK55" s="113" t="s">
        <v>1026</v>
      </c>
      <c r="MC55" s="113" t="s">
        <v>501</v>
      </c>
      <c r="NU55" s="113" t="s">
        <v>310</v>
      </c>
      <c r="NV55" s="113">
        <v>19</v>
      </c>
      <c r="NW55" s="113" t="s">
        <v>520</v>
      </c>
      <c r="NX55" s="113" t="s">
        <v>521</v>
      </c>
      <c r="NZ55" s="113" t="s">
        <v>1015</v>
      </c>
    </row>
    <row r="56" spans="1:393" s="113" customFormat="1">
      <c r="A56" s="36"/>
      <c r="B56" s="37">
        <v>1</v>
      </c>
      <c r="C56" s="43" t="s">
        <v>1017</v>
      </c>
      <c r="F56" s="23"/>
      <c r="G56" s="23"/>
      <c r="BF56" s="113" t="s">
        <v>443</v>
      </c>
      <c r="BG56" s="113" t="s">
        <v>514</v>
      </c>
      <c r="BH56" s="113" t="s">
        <v>963</v>
      </c>
      <c r="BI56" s="51" t="s">
        <v>1020</v>
      </c>
      <c r="BJ56" s="113">
        <v>1151.81</v>
      </c>
      <c r="BK56" s="113" t="s">
        <v>525</v>
      </c>
      <c r="GU56" s="169"/>
      <c r="GV56" s="169"/>
      <c r="KI56" s="28">
        <v>41762.57980324074</v>
      </c>
      <c r="KJ56" s="28">
        <v>41762.579861111109</v>
      </c>
      <c r="KK56" s="113" t="s">
        <v>1033</v>
      </c>
      <c r="MC56" s="113" t="s">
        <v>501</v>
      </c>
      <c r="NU56" s="113" t="s">
        <v>310</v>
      </c>
      <c r="NV56" s="113">
        <v>20</v>
      </c>
      <c r="NW56" s="113" t="s">
        <v>520</v>
      </c>
      <c r="NX56" s="113" t="s">
        <v>521</v>
      </c>
      <c r="NZ56" s="113" t="s">
        <v>1021</v>
      </c>
    </row>
    <row r="57" spans="1:393" s="113" customFormat="1">
      <c r="A57" s="36"/>
      <c r="B57" s="37">
        <v>1</v>
      </c>
      <c r="C57" s="43" t="s">
        <v>1018</v>
      </c>
      <c r="F57" s="23"/>
      <c r="G57" s="23"/>
      <c r="BF57" s="113" t="s">
        <v>443</v>
      </c>
      <c r="BG57" s="113" t="s">
        <v>514</v>
      </c>
      <c r="BH57" s="113" t="s">
        <v>963</v>
      </c>
      <c r="BI57" s="51" t="s">
        <v>1020</v>
      </c>
      <c r="BJ57" s="113">
        <v>1151.81</v>
      </c>
      <c r="BK57" s="114" t="s">
        <v>526</v>
      </c>
      <c r="GU57" s="169"/>
      <c r="GV57" s="169"/>
      <c r="KI57" s="28">
        <v>41762.579884259256</v>
      </c>
      <c r="KJ57" s="28">
        <v>41762.579953703702</v>
      </c>
      <c r="KK57" s="113" t="s">
        <v>1027</v>
      </c>
      <c r="MC57" s="113" t="s">
        <v>501</v>
      </c>
      <c r="NU57" s="113" t="s">
        <v>310</v>
      </c>
      <c r="NV57" s="113">
        <v>21</v>
      </c>
      <c r="NW57" s="113" t="s">
        <v>520</v>
      </c>
      <c r="NX57" s="113" t="s">
        <v>521</v>
      </c>
      <c r="NZ57" s="113" t="s">
        <v>1023</v>
      </c>
    </row>
    <row r="58" spans="1:393" s="113" customFormat="1">
      <c r="A58" s="36"/>
      <c r="B58" s="37">
        <v>1</v>
      </c>
      <c r="C58" s="43" t="s">
        <v>1019</v>
      </c>
      <c r="F58" s="23"/>
      <c r="G58" s="23"/>
      <c r="BF58" s="113" t="s">
        <v>443</v>
      </c>
      <c r="BG58" s="113" t="s">
        <v>514</v>
      </c>
      <c r="BH58" s="113" t="s">
        <v>963</v>
      </c>
      <c r="BI58" s="51" t="s">
        <v>1020</v>
      </c>
      <c r="BJ58" s="113">
        <v>1151.81</v>
      </c>
      <c r="BK58" s="113" t="s">
        <v>525</v>
      </c>
      <c r="GU58" s="169"/>
      <c r="GV58" s="169"/>
      <c r="KI58" s="28">
        <v>41762.579976851855</v>
      </c>
      <c r="KJ58" s="28">
        <v>41762.580046296294</v>
      </c>
      <c r="KK58" s="113" t="s">
        <v>1027</v>
      </c>
      <c r="MC58" s="113" t="s">
        <v>501</v>
      </c>
      <c r="NU58" s="113" t="s">
        <v>310</v>
      </c>
      <c r="NV58" s="113">
        <v>22</v>
      </c>
      <c r="NW58" s="113" t="s">
        <v>520</v>
      </c>
      <c r="NX58" s="113" t="s">
        <v>521</v>
      </c>
      <c r="NZ58" s="113" t="s">
        <v>1025</v>
      </c>
    </row>
    <row r="59" spans="1:393" ht="30">
      <c r="B59" s="37">
        <v>1</v>
      </c>
      <c r="C59" s="43" t="s">
        <v>544</v>
      </c>
      <c r="E59" s="22"/>
      <c r="F59" s="23"/>
      <c r="G59" s="23"/>
      <c r="AW59" s="21"/>
      <c r="BF59" s="22" t="s">
        <v>551</v>
      </c>
      <c r="BG59" s="22" t="s">
        <v>62</v>
      </c>
      <c r="BH59" s="21">
        <v>900</v>
      </c>
      <c r="BI59" s="22" t="s">
        <v>74</v>
      </c>
      <c r="BJ59" s="22" t="s">
        <v>87</v>
      </c>
      <c r="BK59" s="21">
        <v>900</v>
      </c>
      <c r="BP59" s="22" t="s">
        <v>62</v>
      </c>
      <c r="BQ59" s="21">
        <v>900</v>
      </c>
      <c r="BR59" s="22" t="s">
        <v>74</v>
      </c>
      <c r="BT59" s="22" t="s">
        <v>555</v>
      </c>
      <c r="BU59" s="22" t="s">
        <v>690</v>
      </c>
      <c r="BV59" s="52" t="s">
        <v>439</v>
      </c>
      <c r="BW59" s="52" t="s">
        <v>473</v>
      </c>
      <c r="BX59" s="52" t="s">
        <v>447</v>
      </c>
      <c r="BY59" s="52" t="s">
        <v>474</v>
      </c>
      <c r="BZ59" s="52" t="s">
        <v>466</v>
      </c>
      <c r="CA59" s="52">
        <v>5</v>
      </c>
      <c r="CB59" s="52">
        <v>1987</v>
      </c>
      <c r="CC59" s="53" t="s">
        <v>668</v>
      </c>
      <c r="CD59" s="53" t="s">
        <v>668</v>
      </c>
      <c r="CE59" s="53" t="s">
        <v>529</v>
      </c>
      <c r="CF59" s="53" t="s">
        <v>78</v>
      </c>
      <c r="CG59" s="53" t="s">
        <v>443</v>
      </c>
      <c r="CH59" s="53" t="s">
        <v>669</v>
      </c>
      <c r="CI59" s="53" t="s">
        <v>669</v>
      </c>
      <c r="CJ59" s="52" t="s">
        <v>466</v>
      </c>
      <c r="CK59" s="52">
        <v>5</v>
      </c>
      <c r="CL59" s="52">
        <v>2024</v>
      </c>
      <c r="CN59" s="52" t="s">
        <v>449</v>
      </c>
      <c r="CO59" s="53">
        <v>456</v>
      </c>
      <c r="CP59" s="53" t="s">
        <v>671</v>
      </c>
      <c r="CQ59" s="53"/>
      <c r="CR59" s="53" t="s">
        <v>672</v>
      </c>
      <c r="CS59" s="53" t="s">
        <v>453</v>
      </c>
      <c r="CT59" s="53" t="s">
        <v>194</v>
      </c>
      <c r="CU59" s="52" t="s">
        <v>473</v>
      </c>
      <c r="CV59" s="52"/>
      <c r="CW59" s="52">
        <v>108</v>
      </c>
      <c r="CX59" s="52">
        <v>10</v>
      </c>
      <c r="CY59" s="52">
        <v>2022</v>
      </c>
      <c r="CZ59" s="21" t="s">
        <v>670</v>
      </c>
      <c r="DA59" s="21" t="s">
        <v>516</v>
      </c>
      <c r="DB59" s="21" t="b">
        <v>1</v>
      </c>
      <c r="DC59" s="52" t="s">
        <v>449</v>
      </c>
      <c r="DD59" s="53">
        <v>456</v>
      </c>
      <c r="DE59" s="53" t="s">
        <v>671</v>
      </c>
      <c r="DF59" s="53"/>
      <c r="DG59" s="53" t="s">
        <v>672</v>
      </c>
      <c r="DI59" s="52"/>
      <c r="DJ59" s="52"/>
      <c r="DK59" s="52"/>
      <c r="DL59" s="52"/>
      <c r="DM59" s="52"/>
      <c r="DN59" s="53"/>
      <c r="DO59" s="53"/>
      <c r="DP59" s="53"/>
      <c r="DQ59" s="53" t="s">
        <v>666</v>
      </c>
      <c r="DR59" s="53" t="s">
        <v>450</v>
      </c>
      <c r="DS59" s="22" t="s">
        <v>685</v>
      </c>
      <c r="DT59" s="22" t="s">
        <v>686</v>
      </c>
      <c r="DU59" s="30" t="s">
        <v>687</v>
      </c>
      <c r="GU59" s="169"/>
      <c r="GV59" s="169"/>
      <c r="IH59" s="22"/>
      <c r="II59" s="21">
        <v>900</v>
      </c>
      <c r="KB59" s="113" t="s">
        <v>489</v>
      </c>
      <c r="KI59" s="28">
        <v>41698.541365740741</v>
      </c>
      <c r="KJ59" s="28">
        <v>41698.54760416667</v>
      </c>
      <c r="KK59" s="21" t="s">
        <v>712</v>
      </c>
      <c r="LP59" s="22" t="s">
        <v>684</v>
      </c>
      <c r="MC59" s="22" t="s">
        <v>351</v>
      </c>
      <c r="NZ59" s="22" t="s">
        <v>22</v>
      </c>
      <c r="OA59" s="49" t="s">
        <v>551</v>
      </c>
      <c r="OB59" s="49" t="s">
        <v>351</v>
      </c>
      <c r="OC59" s="49" t="s">
        <v>22</v>
      </c>
    </row>
    <row r="60" spans="1:393" ht="30">
      <c r="B60" s="37">
        <v>1</v>
      </c>
      <c r="C60" s="43" t="s">
        <v>545</v>
      </c>
      <c r="E60" s="22"/>
      <c r="F60" s="23"/>
      <c r="G60" s="23"/>
      <c r="AW60" s="21"/>
      <c r="BF60" s="22" t="s">
        <v>551</v>
      </c>
      <c r="BG60" s="22" t="s">
        <v>71</v>
      </c>
      <c r="BH60" s="21">
        <v>900</v>
      </c>
      <c r="BI60" s="22" t="s">
        <v>74</v>
      </c>
      <c r="BJ60" s="22" t="s">
        <v>87</v>
      </c>
      <c r="BK60" s="21">
        <v>900</v>
      </c>
      <c r="BP60" s="22" t="s">
        <v>71</v>
      </c>
      <c r="BQ60" s="21">
        <v>900</v>
      </c>
      <c r="BR60" s="22" t="s">
        <v>74</v>
      </c>
      <c r="BS60" s="53"/>
      <c r="BT60" s="22" t="s">
        <v>555</v>
      </c>
      <c r="BU60" s="21" t="s">
        <v>690</v>
      </c>
      <c r="BV60" s="52" t="s">
        <v>439</v>
      </c>
      <c r="BW60" s="52" t="s">
        <v>473</v>
      </c>
      <c r="BX60" s="52" t="s">
        <v>447</v>
      </c>
      <c r="BY60" s="52" t="s">
        <v>474</v>
      </c>
      <c r="BZ60" s="52" t="s">
        <v>466</v>
      </c>
      <c r="CA60" s="52">
        <v>5</v>
      </c>
      <c r="CB60" s="52">
        <v>1987</v>
      </c>
      <c r="CC60" s="53" t="s">
        <v>668</v>
      </c>
      <c r="CD60" s="53" t="s">
        <v>668</v>
      </c>
      <c r="CE60" s="53" t="s">
        <v>702</v>
      </c>
      <c r="CF60" s="53" t="s">
        <v>78</v>
      </c>
      <c r="CG60" s="53" t="s">
        <v>443</v>
      </c>
      <c r="CH60" s="53">
        <v>12345</v>
      </c>
      <c r="CI60" s="53">
        <v>12345</v>
      </c>
      <c r="CJ60" s="52" t="s">
        <v>466</v>
      </c>
      <c r="CK60" s="52">
        <v>5</v>
      </c>
      <c r="CL60" s="52">
        <v>2024</v>
      </c>
      <c r="CN60" s="52" t="s">
        <v>449</v>
      </c>
      <c r="CO60" s="53">
        <v>456</v>
      </c>
      <c r="CP60" s="53" t="s">
        <v>671</v>
      </c>
      <c r="CQ60" s="53"/>
      <c r="CR60" s="53" t="s">
        <v>515</v>
      </c>
      <c r="CS60" s="21" t="s">
        <v>453</v>
      </c>
      <c r="CT60" s="53" t="s">
        <v>194</v>
      </c>
      <c r="CU60" s="53" t="s">
        <v>473</v>
      </c>
      <c r="CV60" s="52"/>
      <c r="CW60" s="52">
        <v>108</v>
      </c>
      <c r="CX60" s="52">
        <v>10</v>
      </c>
      <c r="CY60" s="52">
        <v>2022</v>
      </c>
      <c r="CZ60" s="52" t="s">
        <v>670</v>
      </c>
      <c r="DA60" s="53" t="s">
        <v>516</v>
      </c>
      <c r="DB60" s="21" t="b">
        <v>1</v>
      </c>
      <c r="DC60" s="52" t="s">
        <v>449</v>
      </c>
      <c r="DD60" s="53">
        <v>456</v>
      </c>
      <c r="DE60" s="53" t="s">
        <v>671</v>
      </c>
      <c r="DF60" s="53"/>
      <c r="DG60" s="53" t="s">
        <v>672</v>
      </c>
      <c r="DH60" s="53"/>
      <c r="DI60" s="52"/>
      <c r="DJ60" s="52"/>
      <c r="DK60" s="52"/>
      <c r="DL60" s="52"/>
      <c r="DM60" s="52"/>
      <c r="DN60" s="53"/>
      <c r="DO60" s="53"/>
      <c r="DP60" s="53"/>
      <c r="DQ60" s="21" t="s">
        <v>666</v>
      </c>
      <c r="DR60" s="21" t="s">
        <v>450</v>
      </c>
      <c r="DS60" s="21" t="s">
        <v>685</v>
      </c>
      <c r="DT60" s="52" t="s">
        <v>686</v>
      </c>
      <c r="DU60" s="53" t="s">
        <v>687</v>
      </c>
      <c r="GU60" s="169"/>
      <c r="GV60" s="169"/>
      <c r="IH60" s="22"/>
      <c r="II60" s="21">
        <v>900</v>
      </c>
      <c r="KB60" s="113" t="s">
        <v>489</v>
      </c>
      <c r="KI60" s="28">
        <v>41698.583541666667</v>
      </c>
      <c r="KJ60" s="28">
        <v>41698.591111111113</v>
      </c>
      <c r="KK60" s="21" t="s">
        <v>713</v>
      </c>
      <c r="LP60" s="21" t="s">
        <v>684</v>
      </c>
      <c r="MC60" s="22" t="s">
        <v>351</v>
      </c>
      <c r="NZ60" s="22" t="s">
        <v>22</v>
      </c>
      <c r="OA60" s="22" t="s">
        <v>551</v>
      </c>
      <c r="OB60" s="22" t="s">
        <v>351</v>
      </c>
      <c r="OC60" s="22" t="s">
        <v>22</v>
      </c>
    </row>
    <row r="61" spans="1:393">
      <c r="B61" s="54">
        <v>1</v>
      </c>
      <c r="C61" s="43" t="s">
        <v>547</v>
      </c>
      <c r="F61" s="23"/>
      <c r="G61" s="23"/>
      <c r="AW61" s="21"/>
      <c r="BL61" s="55" t="s">
        <v>310</v>
      </c>
      <c r="BM61" s="21">
        <v>9</v>
      </c>
      <c r="BN61" s="21" t="s">
        <v>159</v>
      </c>
      <c r="BO61" s="21" t="s">
        <v>198</v>
      </c>
      <c r="GP61" s="28">
        <v>41625.659791666665</v>
      </c>
      <c r="GS61" s="21" t="s">
        <v>463</v>
      </c>
      <c r="GU61" s="169"/>
      <c r="GV61" s="169"/>
      <c r="GX61" s="21" t="s">
        <v>463</v>
      </c>
      <c r="NU61" s="21" t="s">
        <v>544</v>
      </c>
      <c r="NV61" s="21">
        <v>1</v>
      </c>
      <c r="NX61" s="21" t="s">
        <v>198</v>
      </c>
    </row>
    <row r="62" spans="1:393">
      <c r="B62" s="54">
        <v>1</v>
      </c>
      <c r="C62" s="43" t="s">
        <v>548</v>
      </c>
      <c r="F62" s="23"/>
      <c r="G62" s="23"/>
      <c r="AW62" s="21"/>
      <c r="BL62" s="55" t="s">
        <v>310</v>
      </c>
      <c r="BM62" s="21">
        <v>11</v>
      </c>
      <c r="BN62" s="22" t="s">
        <v>159</v>
      </c>
      <c r="BO62" s="22" t="s">
        <v>198</v>
      </c>
      <c r="GP62" s="28">
        <v>41625.664699074077</v>
      </c>
      <c r="GS62" s="21" t="s">
        <v>463</v>
      </c>
      <c r="GU62" s="169"/>
      <c r="GV62" s="169"/>
      <c r="GX62" s="21" t="s">
        <v>463</v>
      </c>
      <c r="NU62" s="21" t="s">
        <v>544</v>
      </c>
      <c r="NV62" s="21">
        <v>1</v>
      </c>
      <c r="NX62" s="21" t="s">
        <v>198</v>
      </c>
    </row>
    <row r="63" spans="1:393">
      <c r="B63" s="54">
        <v>1</v>
      </c>
      <c r="C63" s="43" t="s">
        <v>549</v>
      </c>
      <c r="F63" s="23"/>
      <c r="G63" s="23"/>
      <c r="AW63" s="21"/>
      <c r="BD63" s="21">
        <v>41625.664652777778</v>
      </c>
      <c r="BE63" s="21" t="s">
        <v>488</v>
      </c>
      <c r="BL63" s="55"/>
      <c r="BN63" s="22"/>
      <c r="BO63" s="22" t="s">
        <v>310</v>
      </c>
      <c r="GP63" s="28"/>
      <c r="GS63" s="21" t="s">
        <v>463</v>
      </c>
      <c r="GU63" s="169"/>
      <c r="GV63" s="169"/>
      <c r="GX63" s="22" t="s">
        <v>194</v>
      </c>
      <c r="JN63" s="21" t="s">
        <v>198</v>
      </c>
      <c r="KC63" s="21" t="s">
        <v>159</v>
      </c>
      <c r="NU63" s="21" t="s">
        <v>545</v>
      </c>
      <c r="NV63" s="21">
        <v>1</v>
      </c>
      <c r="NX63" s="21" t="s">
        <v>198</v>
      </c>
    </row>
    <row r="64" spans="1:393">
      <c r="B64" s="54">
        <v>1</v>
      </c>
      <c r="C64" s="43" t="s">
        <v>550</v>
      </c>
      <c r="F64" s="23"/>
      <c r="G64" s="23"/>
      <c r="AW64" s="21"/>
      <c r="BL64" s="55" t="s">
        <v>310</v>
      </c>
      <c r="BM64" s="21">
        <v>12</v>
      </c>
      <c r="BN64" s="22" t="s">
        <v>159</v>
      </c>
      <c r="BO64" s="22" t="s">
        <v>198</v>
      </c>
      <c r="GP64" s="28">
        <v>41625.667384259257</v>
      </c>
      <c r="GS64" s="21" t="s">
        <v>463</v>
      </c>
      <c r="GU64" s="169"/>
      <c r="GV64" s="169"/>
      <c r="GX64" s="22" t="s">
        <v>194</v>
      </c>
      <c r="NU64" s="21" t="s">
        <v>545</v>
      </c>
      <c r="NV64" s="21">
        <v>1</v>
      </c>
      <c r="NX64" s="21" t="s">
        <v>198</v>
      </c>
    </row>
    <row r="65" spans="1:396">
      <c r="B65" s="37">
        <v>1</v>
      </c>
      <c r="C65" s="43" t="s">
        <v>691</v>
      </c>
      <c r="F65" s="50"/>
      <c r="G65" s="23"/>
      <c r="AW65" s="21"/>
      <c r="DQ65" s="21" t="s">
        <v>666</v>
      </c>
      <c r="DR65" s="21" t="s">
        <v>667</v>
      </c>
      <c r="GU65" s="169"/>
      <c r="GV65" s="169"/>
      <c r="KI65" s="28">
        <v>41697.798182870371</v>
      </c>
      <c r="KJ65" s="28">
        <v>41697.798981481479</v>
      </c>
      <c r="KK65" s="21" t="s">
        <v>703</v>
      </c>
      <c r="OA65" s="21" t="s">
        <v>551</v>
      </c>
      <c r="OB65" s="21" t="s">
        <v>351</v>
      </c>
      <c r="OC65" s="21" t="s">
        <v>22</v>
      </c>
    </row>
    <row r="66" spans="1:396">
      <c r="B66" s="37">
        <v>1</v>
      </c>
      <c r="C66" s="43" t="s">
        <v>692</v>
      </c>
      <c r="F66" s="23"/>
      <c r="G66" s="23"/>
      <c r="AW66" s="21"/>
      <c r="BW66" s="52" t="s">
        <v>473</v>
      </c>
      <c r="BX66" s="52" t="s">
        <v>447</v>
      </c>
      <c r="BY66" s="52" t="s">
        <v>474</v>
      </c>
      <c r="BZ66" s="52" t="s">
        <v>466</v>
      </c>
      <c r="CA66" s="52">
        <v>5</v>
      </c>
      <c r="CB66" s="52">
        <v>1987</v>
      </c>
      <c r="CC66" s="53" t="s">
        <v>668</v>
      </c>
      <c r="CD66" s="53" t="s">
        <v>668</v>
      </c>
      <c r="CE66" s="53" t="s">
        <v>529</v>
      </c>
      <c r="CF66" s="53" t="s">
        <v>78</v>
      </c>
      <c r="CG66" s="53" t="s">
        <v>443</v>
      </c>
      <c r="CH66" s="53" t="s">
        <v>669</v>
      </c>
      <c r="CI66" s="53" t="s">
        <v>669</v>
      </c>
      <c r="CJ66" s="52" t="s">
        <v>466</v>
      </c>
      <c r="CK66" s="52">
        <v>5</v>
      </c>
      <c r="CL66" s="52">
        <v>2024</v>
      </c>
      <c r="CN66" s="52" t="s">
        <v>449</v>
      </c>
      <c r="CO66" s="53">
        <v>456</v>
      </c>
      <c r="CP66" s="53" t="s">
        <v>671</v>
      </c>
      <c r="CQ66" s="53"/>
      <c r="CR66" s="53" t="s">
        <v>672</v>
      </c>
      <c r="CS66" s="53" t="s">
        <v>453</v>
      </c>
      <c r="CT66" s="53" t="s">
        <v>194</v>
      </c>
      <c r="CU66" s="52" t="s">
        <v>473</v>
      </c>
      <c r="CV66" s="52"/>
      <c r="CW66" s="52">
        <v>108</v>
      </c>
      <c r="CX66" s="52">
        <v>10</v>
      </c>
      <c r="CY66" s="52">
        <v>2022</v>
      </c>
      <c r="CZ66" s="21" t="s">
        <v>670</v>
      </c>
      <c r="DA66" s="21" t="s">
        <v>516</v>
      </c>
      <c r="DB66" s="21" t="b">
        <v>1</v>
      </c>
      <c r="DC66" s="52" t="s">
        <v>449</v>
      </c>
      <c r="DD66" s="53">
        <v>456</v>
      </c>
      <c r="DE66" s="53" t="s">
        <v>671</v>
      </c>
      <c r="DF66" s="53"/>
      <c r="DG66" s="53" t="s">
        <v>672</v>
      </c>
      <c r="GU66" s="169"/>
      <c r="GV66" s="169"/>
      <c r="KI66" s="28">
        <v>41697.799004629633</v>
      </c>
      <c r="KJ66" s="28">
        <v>41697.79991898148</v>
      </c>
      <c r="KK66" s="21" t="s">
        <v>704</v>
      </c>
    </row>
    <row r="67" spans="1:396">
      <c r="B67" s="37">
        <v>1</v>
      </c>
      <c r="C67" s="43" t="s">
        <v>693</v>
      </c>
      <c r="F67" s="23"/>
      <c r="G67" s="23"/>
      <c r="AW67" s="21"/>
      <c r="GU67" s="169"/>
      <c r="GV67" s="169"/>
      <c r="KI67" s="28">
        <v>41697.799930555557</v>
      </c>
      <c r="KJ67" s="28">
        <v>41697.800555555557</v>
      </c>
      <c r="KK67" s="21" t="s">
        <v>705</v>
      </c>
    </row>
    <row r="68" spans="1:396">
      <c r="B68" s="37">
        <v>1</v>
      </c>
      <c r="C68" s="40" t="s">
        <v>678</v>
      </c>
      <c r="F68" s="23"/>
      <c r="G68" s="23"/>
      <c r="AW68" s="21"/>
      <c r="DS68" s="22" t="s">
        <v>517</v>
      </c>
      <c r="DT68" s="22" t="s">
        <v>686</v>
      </c>
      <c r="DU68" s="30" t="s">
        <v>687</v>
      </c>
      <c r="GU68" s="169"/>
      <c r="GV68" s="169"/>
      <c r="KB68" s="113" t="s">
        <v>489</v>
      </c>
      <c r="KI68" s="28">
        <v>41698.541168981479</v>
      </c>
      <c r="KJ68" s="28">
        <v>41698.541331018518</v>
      </c>
      <c r="KK68" s="21" t="s">
        <v>711</v>
      </c>
      <c r="LP68" s="22" t="s">
        <v>527</v>
      </c>
    </row>
    <row r="69" spans="1:396">
      <c r="A69" s="56"/>
      <c r="B69" s="37">
        <v>1</v>
      </c>
      <c r="C69" s="40" t="s">
        <v>546</v>
      </c>
      <c r="AW69" s="21"/>
      <c r="BP69" s="22" t="s">
        <v>73</v>
      </c>
      <c r="BQ69" s="21">
        <v>900</v>
      </c>
      <c r="BR69" s="21" t="s">
        <v>74</v>
      </c>
      <c r="BS69" s="22" t="s">
        <v>710</v>
      </c>
      <c r="BV69" s="21" t="s">
        <v>439</v>
      </c>
      <c r="BW69" s="21" t="s">
        <v>473</v>
      </c>
      <c r="BX69" s="21" t="s">
        <v>447</v>
      </c>
      <c r="BY69" s="21" t="s">
        <v>474</v>
      </c>
      <c r="BZ69" s="21" t="s">
        <v>466</v>
      </c>
      <c r="CA69" s="21">
        <v>5</v>
      </c>
      <c r="CB69" s="21">
        <v>1987</v>
      </c>
      <c r="CC69" s="21" t="s">
        <v>668</v>
      </c>
      <c r="CD69" s="21" t="s">
        <v>668</v>
      </c>
      <c r="CE69" s="22" t="s">
        <v>702</v>
      </c>
      <c r="CF69" s="21" t="s">
        <v>78</v>
      </c>
      <c r="CG69" s="21" t="s">
        <v>443</v>
      </c>
      <c r="CH69" s="21">
        <v>12345</v>
      </c>
      <c r="CI69" s="21">
        <v>12345</v>
      </c>
      <c r="CJ69" s="21" t="s">
        <v>466</v>
      </c>
      <c r="CK69" s="21">
        <v>5</v>
      </c>
      <c r="CL69" s="21">
        <v>2024</v>
      </c>
      <c r="CN69" s="21" t="s">
        <v>449</v>
      </c>
      <c r="CO69" s="21">
        <v>456</v>
      </c>
      <c r="CP69" s="21" t="s">
        <v>671</v>
      </c>
      <c r="CQ69" s="22" t="s">
        <v>519</v>
      </c>
      <c r="CR69" s="21">
        <v>4812</v>
      </c>
      <c r="CS69" s="21" t="s">
        <v>453</v>
      </c>
      <c r="CT69" s="22" t="s">
        <v>194</v>
      </c>
      <c r="CU69" s="21" t="s">
        <v>473</v>
      </c>
      <c r="CW69" s="21">
        <v>108</v>
      </c>
      <c r="CX69" s="21">
        <v>10</v>
      </c>
      <c r="CY69" s="21">
        <v>2022</v>
      </c>
      <c r="CZ69" s="21" t="s">
        <v>670</v>
      </c>
      <c r="DA69" s="21" t="s">
        <v>516</v>
      </c>
      <c r="DB69" s="21" t="b">
        <v>1</v>
      </c>
      <c r="DS69" s="21" t="s">
        <v>685</v>
      </c>
      <c r="DT69" s="21" t="s">
        <v>686</v>
      </c>
      <c r="DU69" s="21" t="s">
        <v>687</v>
      </c>
      <c r="GU69" s="169"/>
      <c r="GV69" s="169"/>
      <c r="IH69" s="21" t="s">
        <v>83</v>
      </c>
      <c r="II69" s="21">
        <v>900</v>
      </c>
      <c r="IJ69" s="21" t="s">
        <v>85</v>
      </c>
      <c r="IK69" s="21">
        <v>900</v>
      </c>
      <c r="KB69" s="113" t="s">
        <v>489</v>
      </c>
      <c r="LP69" s="21" t="s">
        <v>684</v>
      </c>
      <c r="OA69" s="21" t="s">
        <v>551</v>
      </c>
      <c r="OB69" s="21" t="s">
        <v>351</v>
      </c>
      <c r="OC69" s="21" t="s">
        <v>22</v>
      </c>
    </row>
    <row r="70" spans="1:396" ht="21">
      <c r="A70" s="56"/>
      <c r="B70" s="57">
        <v>1</v>
      </c>
      <c r="C70" s="58" t="s">
        <v>714</v>
      </c>
      <c r="F70" s="50"/>
      <c r="G70" s="23"/>
      <c r="AW70" s="21"/>
      <c r="GU70" s="169"/>
      <c r="GV70" s="169"/>
      <c r="KI70" s="28">
        <v>41758.602268518516</v>
      </c>
      <c r="KJ70" s="28">
        <v>41758.602476851855</v>
      </c>
      <c r="KK70" s="21" t="s">
        <v>883</v>
      </c>
    </row>
    <row r="71" spans="1:396">
      <c r="A71" s="56"/>
      <c r="B71" s="37">
        <v>1</v>
      </c>
      <c r="C71" s="59" t="s">
        <v>736</v>
      </c>
      <c r="F71" s="23"/>
      <c r="G71" s="23"/>
      <c r="AW71" s="21"/>
      <c r="DV71" s="21" t="s">
        <v>83</v>
      </c>
      <c r="DW71" s="35" t="s">
        <v>771</v>
      </c>
      <c r="GU71" s="169"/>
      <c r="GV71" s="169"/>
      <c r="KI71" s="28">
        <v>41739.753240740742</v>
      </c>
      <c r="KJ71" s="28">
        <v>41739.75440972222</v>
      </c>
      <c r="KK71" s="21" t="s">
        <v>787</v>
      </c>
      <c r="OA71" s="21" t="s">
        <v>58</v>
      </c>
      <c r="OB71" s="21" t="s">
        <v>96</v>
      </c>
      <c r="OC71" s="21" t="s">
        <v>22</v>
      </c>
      <c r="OD71" s="21" t="s">
        <v>443</v>
      </c>
    </row>
    <row r="72" spans="1:396">
      <c r="A72" s="56"/>
      <c r="B72" s="37">
        <v>1</v>
      </c>
      <c r="C72" s="59" t="s">
        <v>738</v>
      </c>
      <c r="F72" s="23"/>
      <c r="G72" s="23"/>
      <c r="AW72" s="21"/>
      <c r="DV72" s="21" t="s">
        <v>83</v>
      </c>
      <c r="GU72" s="169"/>
      <c r="GV72" s="169"/>
      <c r="KI72" s="28">
        <v>41739.75445601852</v>
      </c>
      <c r="KJ72" s="28">
        <v>41739.754745370374</v>
      </c>
      <c r="KK72" s="21" t="s">
        <v>796</v>
      </c>
      <c r="OD72" s="21" t="s">
        <v>443</v>
      </c>
    </row>
    <row r="73" spans="1:396">
      <c r="A73" s="56"/>
      <c r="B73" s="37">
        <v>1</v>
      </c>
      <c r="C73" s="59" t="s">
        <v>740</v>
      </c>
      <c r="F73" s="23"/>
      <c r="G73" s="23"/>
      <c r="AW73" s="21"/>
      <c r="DV73" s="21" t="s">
        <v>83</v>
      </c>
      <c r="DW73" s="35" t="s">
        <v>771</v>
      </c>
      <c r="DY73" s="21" t="s">
        <v>74</v>
      </c>
      <c r="DZ73" s="21">
        <v>500</v>
      </c>
      <c r="GU73" s="169"/>
      <c r="GV73" s="169"/>
      <c r="KI73" s="28">
        <v>41739.75476851852</v>
      </c>
      <c r="KJ73" s="28">
        <v>41739.755381944444</v>
      </c>
      <c r="KK73" s="21" t="s">
        <v>797</v>
      </c>
      <c r="OA73" s="21" t="s">
        <v>58</v>
      </c>
      <c r="OB73" s="21" t="s">
        <v>96</v>
      </c>
      <c r="OC73" s="21" t="s">
        <v>22</v>
      </c>
      <c r="OD73" s="21" t="s">
        <v>443</v>
      </c>
    </row>
    <row r="74" spans="1:396">
      <c r="A74" s="56"/>
      <c r="B74" s="37">
        <v>1</v>
      </c>
      <c r="C74" s="40" t="s">
        <v>741</v>
      </c>
      <c r="E74" s="22"/>
      <c r="F74" s="23"/>
      <c r="G74" s="23"/>
      <c r="AW74" s="21"/>
      <c r="DV74" s="21" t="s">
        <v>83</v>
      </c>
      <c r="DW74" s="35" t="s">
        <v>771</v>
      </c>
      <c r="EB74" s="21" t="s">
        <v>825</v>
      </c>
      <c r="EC74" s="22" t="s">
        <v>450</v>
      </c>
      <c r="GU74" s="169"/>
      <c r="GV74" s="169"/>
      <c r="KI74" s="28">
        <v>41739.75540509259</v>
      </c>
      <c r="KJ74" s="28">
        <v>41739.757800925923</v>
      </c>
      <c r="KK74" s="21" t="s">
        <v>798</v>
      </c>
      <c r="OD74" s="21" t="s">
        <v>443</v>
      </c>
    </row>
    <row r="75" spans="1:396">
      <c r="A75" s="56"/>
      <c r="B75" s="37">
        <v>1</v>
      </c>
      <c r="C75" s="40" t="s">
        <v>743</v>
      </c>
      <c r="F75" s="23"/>
      <c r="G75" s="23"/>
      <c r="AW75" s="21"/>
      <c r="DV75" s="21" t="s">
        <v>83</v>
      </c>
      <c r="DW75" s="35" t="s">
        <v>771</v>
      </c>
      <c r="EB75" s="21" t="s">
        <v>792</v>
      </c>
      <c r="EC75" s="21" t="s">
        <v>793</v>
      </c>
      <c r="GU75" s="169"/>
      <c r="GV75" s="169"/>
      <c r="KI75" s="28">
        <v>41739.7578125</v>
      </c>
      <c r="KJ75" s="28">
        <v>41739.759872685187</v>
      </c>
      <c r="KK75" s="21" t="s">
        <v>799</v>
      </c>
      <c r="OD75" s="21" t="s">
        <v>443</v>
      </c>
    </row>
    <row r="76" spans="1:396">
      <c r="A76" s="56"/>
      <c r="B76" s="37">
        <v>1</v>
      </c>
      <c r="C76" s="40" t="s">
        <v>744</v>
      </c>
      <c r="F76" s="23"/>
      <c r="G76" s="23"/>
      <c r="AW76" s="21"/>
      <c r="DV76" s="21" t="s">
        <v>83</v>
      </c>
      <c r="DW76" s="35" t="s">
        <v>771</v>
      </c>
      <c r="EB76" s="21" t="s">
        <v>827</v>
      </c>
      <c r="EC76" s="21" t="s">
        <v>826</v>
      </c>
      <c r="GU76" s="169"/>
      <c r="GV76" s="169"/>
      <c r="KI76" s="28">
        <v>41739.75990740741</v>
      </c>
      <c r="KJ76" s="28">
        <v>41739.76295138889</v>
      </c>
      <c r="KK76" s="21" t="s">
        <v>783</v>
      </c>
      <c r="OD76" s="21" t="s">
        <v>443</v>
      </c>
    </row>
    <row r="77" spans="1:396" s="124" customFormat="1" ht="15" customHeight="1">
      <c r="A77" s="120"/>
      <c r="B77" s="201">
        <v>15</v>
      </c>
      <c r="C77" s="202" t="s">
        <v>310</v>
      </c>
      <c r="D77" s="173"/>
      <c r="E77" s="137"/>
      <c r="F77" s="138"/>
      <c r="G77" s="138"/>
      <c r="H77" s="116"/>
      <c r="I77" s="116"/>
      <c r="J77" s="116"/>
      <c r="K77" s="116"/>
      <c r="L77" s="116"/>
      <c r="M77" s="116"/>
      <c r="N77" s="117" t="s">
        <v>1135</v>
      </c>
      <c r="O77" s="117" t="s">
        <v>519</v>
      </c>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116"/>
      <c r="BY77" s="116"/>
      <c r="BZ77" s="116"/>
      <c r="CA77" s="116"/>
      <c r="CB77" s="116"/>
      <c r="CC77" s="116"/>
      <c r="CD77" s="116"/>
      <c r="CE77" s="116"/>
      <c r="CF77" s="116"/>
      <c r="CG77" s="116"/>
      <c r="CH77" s="116"/>
      <c r="CI77" s="116"/>
      <c r="CJ77" s="116"/>
      <c r="CK77" s="116"/>
      <c r="CL77" s="116"/>
      <c r="CM77" s="116"/>
      <c r="CN77" s="116"/>
      <c r="CO77" s="116"/>
      <c r="CP77" s="116"/>
      <c r="CQ77" s="116"/>
      <c r="CR77" s="116"/>
      <c r="CS77" s="116"/>
      <c r="CT77" s="116"/>
      <c r="CU77" s="116"/>
      <c r="CV77" s="116"/>
      <c r="CW77" s="116"/>
      <c r="CX77" s="116"/>
      <c r="CY77" s="116"/>
      <c r="CZ77" s="116"/>
      <c r="DA77" s="116"/>
      <c r="DB77" s="116"/>
      <c r="DC77" s="116"/>
      <c r="DD77" s="116"/>
      <c r="DE77" s="116"/>
      <c r="DF77" s="116"/>
      <c r="DG77" s="116"/>
      <c r="DH77" s="116"/>
      <c r="DI77" s="116"/>
      <c r="DJ77" s="116"/>
      <c r="DK77" s="116"/>
      <c r="DL77" s="116"/>
      <c r="DM77" s="116"/>
      <c r="DN77" s="116"/>
      <c r="DO77" s="116"/>
      <c r="DP77" s="116"/>
      <c r="DQ77" s="116"/>
      <c r="DR77" s="116"/>
      <c r="DS77" s="116"/>
      <c r="DT77" s="116"/>
      <c r="DU77" s="116"/>
      <c r="DV77" s="116"/>
      <c r="DW77" s="116"/>
      <c r="DX77" s="116"/>
      <c r="DY77" s="116"/>
      <c r="DZ77" s="116"/>
      <c r="EA77" s="116"/>
      <c r="EB77" s="116"/>
      <c r="EC77" s="116"/>
      <c r="ED77" s="116"/>
      <c r="EE77" s="116"/>
      <c r="EF77" s="116"/>
      <c r="EG77" s="116"/>
      <c r="EH77" s="116"/>
      <c r="EI77" s="116"/>
      <c r="EJ77" s="116"/>
      <c r="EK77" s="116"/>
      <c r="EL77" s="116">
        <v>5</v>
      </c>
      <c r="EM77" s="116" t="s">
        <v>1085</v>
      </c>
      <c r="EN77" s="116">
        <v>1988</v>
      </c>
      <c r="EO77" s="112">
        <v>8</v>
      </c>
      <c r="EP77" s="112" t="s">
        <v>1086</v>
      </c>
      <c r="EQ77" s="116">
        <v>2027</v>
      </c>
      <c r="ER77" s="117">
        <v>123</v>
      </c>
      <c r="ES77" s="116" t="s">
        <v>460</v>
      </c>
      <c r="ET77" s="116">
        <v>23456723</v>
      </c>
      <c r="EU77" s="117">
        <v>60000</v>
      </c>
      <c r="EV77" s="116" t="s">
        <v>1089</v>
      </c>
      <c r="EW77" s="116">
        <v>10</v>
      </c>
      <c r="EX77" s="116">
        <v>2018</v>
      </c>
      <c r="EY77" s="123">
        <v>41758.008622685185</v>
      </c>
      <c r="EZ77" s="116" t="s">
        <v>834</v>
      </c>
      <c r="FC77" s="18" t="s">
        <v>351</v>
      </c>
      <c r="GF77" s="116"/>
      <c r="GG77" s="116"/>
      <c r="GH77" s="116"/>
      <c r="GI77" s="116"/>
      <c r="GJ77" s="116">
        <v>500</v>
      </c>
      <c r="GK77" s="116">
        <v>477.33</v>
      </c>
      <c r="GL77" s="116"/>
      <c r="GM77" s="122" t="s">
        <v>716</v>
      </c>
      <c r="GN77" s="116"/>
      <c r="GO77" s="116"/>
      <c r="GP77" s="117" t="s">
        <v>519</v>
      </c>
      <c r="GQ77" s="116"/>
      <c r="GR77" s="117" t="s">
        <v>807</v>
      </c>
      <c r="GS77" s="116"/>
      <c r="GT77" s="116"/>
      <c r="GU77" s="169"/>
      <c r="GV77" s="169"/>
      <c r="GW77" s="116"/>
      <c r="GX77" s="116"/>
      <c r="HA77" s="116"/>
      <c r="HB77" s="116"/>
      <c r="HC77" s="116"/>
      <c r="HD77" s="116"/>
      <c r="HE77" s="116"/>
      <c r="HF77" s="116"/>
      <c r="HG77" s="116"/>
      <c r="HH77" s="116"/>
      <c r="HI77" s="116"/>
      <c r="HJ77" s="116"/>
      <c r="HK77" s="116"/>
      <c r="HL77" s="116"/>
      <c r="HM77" s="123">
        <v>41758.004293981481</v>
      </c>
      <c r="HN77" s="116"/>
      <c r="HO77" s="116" t="s">
        <v>445</v>
      </c>
      <c r="HP77" s="117" t="s">
        <v>1155</v>
      </c>
      <c r="HQ77" s="143" t="s">
        <v>486</v>
      </c>
      <c r="HS77" s="116" t="s">
        <v>446</v>
      </c>
      <c r="HT77" s="116">
        <v>11</v>
      </c>
      <c r="HU77" s="124">
        <v>2037</v>
      </c>
      <c r="HV77" s="124" t="s">
        <v>530</v>
      </c>
      <c r="HW77" s="137" t="s">
        <v>532</v>
      </c>
      <c r="HX77" s="124">
        <v>10</v>
      </c>
      <c r="HY77" s="124">
        <v>2021</v>
      </c>
      <c r="HZ77" s="137" t="s">
        <v>452</v>
      </c>
      <c r="ID77" s="137" t="s">
        <v>519</v>
      </c>
      <c r="IF77" s="137" t="s">
        <v>528</v>
      </c>
      <c r="IG77" s="117" t="s">
        <v>64</v>
      </c>
      <c r="IH77" s="140"/>
      <c r="II77" s="124">
        <v>1000</v>
      </c>
      <c r="IK77" s="142"/>
      <c r="IL77" s="117" t="s">
        <v>1185</v>
      </c>
      <c r="IM77" s="124" t="s">
        <v>437</v>
      </c>
      <c r="IN77" s="137" t="s">
        <v>438</v>
      </c>
      <c r="IT77" s="116" t="s">
        <v>439</v>
      </c>
      <c r="IU77" s="116" t="s">
        <v>1136</v>
      </c>
      <c r="IV77" s="124" t="s">
        <v>447</v>
      </c>
      <c r="IW77" s="116" t="s">
        <v>1136</v>
      </c>
      <c r="IX77" s="116" t="s">
        <v>442</v>
      </c>
      <c r="IY77" s="116">
        <v>16</v>
      </c>
      <c r="IZ77" s="116">
        <v>1990</v>
      </c>
      <c r="JA77" s="116" t="s">
        <v>78</v>
      </c>
      <c r="JB77" s="117" t="s">
        <v>443</v>
      </c>
      <c r="JC77" s="124">
        <v>123456</v>
      </c>
      <c r="JD77" s="124">
        <v>123456</v>
      </c>
      <c r="JE77" s="116" t="s">
        <v>495</v>
      </c>
      <c r="JF77" s="116">
        <v>15</v>
      </c>
      <c r="JG77" s="116">
        <v>2034</v>
      </c>
      <c r="JH77" s="116" t="s">
        <v>1137</v>
      </c>
      <c r="JI77" s="117" t="s">
        <v>1134</v>
      </c>
      <c r="JJ77" s="117" t="s">
        <v>1134</v>
      </c>
      <c r="JK77" s="137" t="s">
        <v>809</v>
      </c>
      <c r="JL77" s="137" t="s">
        <v>809</v>
      </c>
      <c r="JM77" s="124" t="s">
        <v>449</v>
      </c>
      <c r="JN77" s="137">
        <v>456</v>
      </c>
      <c r="JO77" s="124" t="s">
        <v>530</v>
      </c>
      <c r="JP77" s="177" t="s">
        <v>1156</v>
      </c>
      <c r="JQ77" s="117" t="s">
        <v>1157</v>
      </c>
      <c r="JR77" s="117" t="s">
        <v>453</v>
      </c>
      <c r="JS77" s="117" t="s">
        <v>194</v>
      </c>
      <c r="JU77" s="124" t="s">
        <v>441</v>
      </c>
      <c r="JV77" s="124">
        <v>108</v>
      </c>
      <c r="JW77" s="116">
        <v>10</v>
      </c>
      <c r="JX77" s="116">
        <v>2022</v>
      </c>
      <c r="JY77" s="137" t="s">
        <v>451</v>
      </c>
      <c r="JZ77" s="137" t="s">
        <v>452</v>
      </c>
      <c r="KA77" s="142">
        <v>989.14</v>
      </c>
      <c r="KB77" s="113" t="s">
        <v>489</v>
      </c>
      <c r="KI77" s="123">
        <v>41815.718414351853</v>
      </c>
      <c r="KJ77" s="123">
        <v>41815.721018518518</v>
      </c>
      <c r="KK77" s="116" t="s">
        <v>1180</v>
      </c>
      <c r="KQ77" s="116"/>
      <c r="LP77" s="116"/>
      <c r="LS77" s="117" t="s">
        <v>1184</v>
      </c>
      <c r="LV77" s="116"/>
      <c r="LW77" s="116"/>
      <c r="MC77" s="116"/>
      <c r="NU77" s="116"/>
      <c r="NV77" s="116"/>
      <c r="NW77" s="116"/>
      <c r="NX77" s="116"/>
      <c r="NZ77" s="116"/>
      <c r="OA77" s="124" t="s">
        <v>58</v>
      </c>
      <c r="OB77" s="139" t="s">
        <v>351</v>
      </c>
      <c r="OC77" s="124" t="s">
        <v>22</v>
      </c>
      <c r="OD77" s="116" t="s">
        <v>22</v>
      </c>
      <c r="OF77" s="137"/>
    </row>
    <row r="78" spans="1:396" s="124" customFormat="1" ht="15" customHeight="1">
      <c r="A78" s="120"/>
      <c r="B78" s="201">
        <v>16</v>
      </c>
      <c r="C78" s="202" t="s">
        <v>310</v>
      </c>
      <c r="D78" s="173"/>
      <c r="F78" s="138"/>
      <c r="G78" s="138"/>
      <c r="H78" s="116"/>
      <c r="I78" s="116"/>
      <c r="J78" s="116"/>
      <c r="K78" s="116"/>
      <c r="L78" s="116"/>
      <c r="M78" s="116"/>
      <c r="N78" s="117" t="s">
        <v>1135</v>
      </c>
      <c r="O78" s="117" t="s">
        <v>519</v>
      </c>
      <c r="P78" s="116"/>
      <c r="Q78" s="116"/>
      <c r="R78" s="116"/>
      <c r="S78" s="116"/>
      <c r="T78" s="116"/>
      <c r="U78" s="116"/>
      <c r="V78" s="116"/>
      <c r="W78" s="116"/>
      <c r="X78" s="116"/>
      <c r="Y78" s="116"/>
      <c r="Z78" s="116"/>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116"/>
      <c r="BY78" s="116"/>
      <c r="BZ78" s="116"/>
      <c r="CA78" s="116"/>
      <c r="CB78" s="116"/>
      <c r="CC78" s="116"/>
      <c r="CD78" s="116"/>
      <c r="CE78" s="116"/>
      <c r="CF78" s="116"/>
      <c r="CG78" s="116"/>
      <c r="CH78" s="116"/>
      <c r="CI78" s="116"/>
      <c r="CJ78" s="116"/>
      <c r="CK78" s="116"/>
      <c r="CL78" s="116"/>
      <c r="CM78" s="116"/>
      <c r="CN78" s="116"/>
      <c r="CO78" s="116"/>
      <c r="CP78" s="116"/>
      <c r="CQ78" s="116"/>
      <c r="CR78" s="116"/>
      <c r="CS78" s="116"/>
      <c r="CT78" s="116"/>
      <c r="CU78" s="116"/>
      <c r="CV78" s="116"/>
      <c r="CW78" s="116"/>
      <c r="CX78" s="116"/>
      <c r="CY78" s="116"/>
      <c r="CZ78" s="116"/>
      <c r="DA78" s="116"/>
      <c r="DB78" s="116"/>
      <c r="DC78" s="116"/>
      <c r="DD78" s="116"/>
      <c r="DE78" s="116"/>
      <c r="DF78" s="116"/>
      <c r="DG78" s="116"/>
      <c r="DH78" s="116"/>
      <c r="DI78" s="116"/>
      <c r="DJ78" s="116"/>
      <c r="DK78" s="116"/>
      <c r="DL78" s="116"/>
      <c r="DM78" s="116"/>
      <c r="DN78" s="116"/>
      <c r="DO78" s="116"/>
      <c r="DP78" s="116"/>
      <c r="DQ78" s="116"/>
      <c r="DR78" s="116"/>
      <c r="DS78" s="116"/>
      <c r="DT78" s="116"/>
      <c r="DU78" s="116"/>
      <c r="DV78" s="116"/>
      <c r="DW78" s="116"/>
      <c r="DX78" s="116"/>
      <c r="DY78" s="116"/>
      <c r="DZ78" s="116"/>
      <c r="EA78" s="116"/>
      <c r="EB78" s="116"/>
      <c r="EC78" s="116"/>
      <c r="ED78" s="116"/>
      <c r="EE78" s="116"/>
      <c r="EF78" s="116"/>
      <c r="EG78" s="116"/>
      <c r="EH78" s="116"/>
      <c r="EI78" s="116"/>
      <c r="EJ78" s="116"/>
      <c r="EK78" s="116"/>
      <c r="EL78" s="116">
        <v>6</v>
      </c>
      <c r="EM78" s="116" t="s">
        <v>1085</v>
      </c>
      <c r="EN78" s="116">
        <v>1988</v>
      </c>
      <c r="EO78" s="112">
        <v>9</v>
      </c>
      <c r="EP78" s="112" t="s">
        <v>1088</v>
      </c>
      <c r="EQ78" s="116">
        <v>2028</v>
      </c>
      <c r="ER78" s="117">
        <v>456</v>
      </c>
      <c r="ES78" s="116" t="s">
        <v>460</v>
      </c>
      <c r="ET78" s="116">
        <v>23456723</v>
      </c>
      <c r="EU78" s="117">
        <v>60000</v>
      </c>
      <c r="EV78" s="116" t="s">
        <v>1089</v>
      </c>
      <c r="EW78" s="116">
        <v>10</v>
      </c>
      <c r="EX78" s="116">
        <v>2018</v>
      </c>
      <c r="EY78" s="123">
        <v>41758.013009259259</v>
      </c>
      <c r="EZ78" s="116" t="s">
        <v>990</v>
      </c>
      <c r="FC78" s="18" t="s">
        <v>351</v>
      </c>
      <c r="GF78" s="116"/>
      <c r="GG78" s="116"/>
      <c r="GH78" s="116"/>
      <c r="GI78" s="116"/>
      <c r="GJ78" s="116"/>
      <c r="GK78" s="116"/>
      <c r="GL78" s="116"/>
      <c r="GM78" s="122" t="s">
        <v>716</v>
      </c>
      <c r="GN78" s="116"/>
      <c r="GO78" s="116"/>
      <c r="GP78" s="117" t="s">
        <v>519</v>
      </c>
      <c r="GQ78" s="116"/>
      <c r="GR78" s="117" t="s">
        <v>74</v>
      </c>
      <c r="GS78" s="116"/>
      <c r="GT78" s="116"/>
      <c r="GU78" s="169"/>
      <c r="GV78" s="169"/>
      <c r="GW78" s="116"/>
      <c r="GX78" s="116"/>
      <c r="HA78" s="116"/>
      <c r="HB78" s="116"/>
      <c r="HC78" s="116"/>
      <c r="HD78" s="116"/>
      <c r="HE78" s="116"/>
      <c r="HF78" s="116"/>
      <c r="HG78" s="116"/>
      <c r="HH78" s="116"/>
      <c r="HI78" s="116"/>
      <c r="HJ78" s="116"/>
      <c r="HK78" s="116"/>
      <c r="HL78" s="116"/>
      <c r="HM78" s="123">
        <v>41758.008657407408</v>
      </c>
      <c r="HN78" s="116"/>
      <c r="HO78" s="116" t="s">
        <v>445</v>
      </c>
      <c r="HP78" s="116">
        <v>2</v>
      </c>
      <c r="HQ78" s="143" t="s">
        <v>486</v>
      </c>
      <c r="HS78" s="116" t="s">
        <v>446</v>
      </c>
      <c r="HT78" s="116">
        <v>12</v>
      </c>
      <c r="HU78" s="124">
        <v>2037</v>
      </c>
      <c r="HV78" s="124" t="s">
        <v>530</v>
      </c>
      <c r="HW78" s="137" t="s">
        <v>532</v>
      </c>
      <c r="HX78" s="124">
        <v>10</v>
      </c>
      <c r="HY78" s="124">
        <v>2021</v>
      </c>
      <c r="HZ78" s="137" t="s">
        <v>452</v>
      </c>
      <c r="ID78" s="137" t="s">
        <v>519</v>
      </c>
      <c r="IF78" s="137" t="s">
        <v>723</v>
      </c>
      <c r="IG78" s="117" t="s">
        <v>1130</v>
      </c>
      <c r="IH78" s="140"/>
      <c r="II78" s="124">
        <v>800</v>
      </c>
      <c r="IK78" s="142"/>
      <c r="IL78" s="117" t="s">
        <v>1185</v>
      </c>
      <c r="IM78" s="124" t="s">
        <v>437</v>
      </c>
      <c r="IN78" s="137" t="s">
        <v>438</v>
      </c>
      <c r="IR78" s="142"/>
      <c r="IT78" s="116" t="s">
        <v>439</v>
      </c>
      <c r="IU78" s="116" t="s">
        <v>471</v>
      </c>
      <c r="IV78" s="124" t="s">
        <v>447</v>
      </c>
      <c r="IW78" s="116" t="s">
        <v>471</v>
      </c>
      <c r="IX78" s="116" t="s">
        <v>442</v>
      </c>
      <c r="IY78" s="116">
        <v>16</v>
      </c>
      <c r="IZ78" s="116">
        <v>1990</v>
      </c>
      <c r="JA78" s="116" t="s">
        <v>78</v>
      </c>
      <c r="JB78" s="117" t="s">
        <v>443</v>
      </c>
      <c r="JC78" s="124">
        <v>123456</v>
      </c>
      <c r="JD78" s="124">
        <v>123456</v>
      </c>
      <c r="JE78" s="116" t="s">
        <v>495</v>
      </c>
      <c r="JF78" s="116">
        <v>15</v>
      </c>
      <c r="JG78" s="116">
        <v>2034</v>
      </c>
      <c r="JH78" s="116" t="s">
        <v>1137</v>
      </c>
      <c r="JI78" s="117" t="s">
        <v>1134</v>
      </c>
      <c r="JJ78" s="117" t="s">
        <v>1134</v>
      </c>
      <c r="JK78" s="137" t="s">
        <v>809</v>
      </c>
      <c r="JL78" s="137" t="s">
        <v>809</v>
      </c>
      <c r="JM78" s="124" t="s">
        <v>449</v>
      </c>
      <c r="JN78" s="137">
        <v>456</v>
      </c>
      <c r="JO78" s="124" t="s">
        <v>530</v>
      </c>
      <c r="JP78" s="177" t="s">
        <v>1156</v>
      </c>
      <c r="JQ78" s="117" t="s">
        <v>1157</v>
      </c>
      <c r="JR78" s="117" t="s">
        <v>453</v>
      </c>
      <c r="JS78" s="117" t="s">
        <v>194</v>
      </c>
      <c r="JU78" s="124" t="s">
        <v>441</v>
      </c>
      <c r="JV78" s="124">
        <v>108</v>
      </c>
      <c r="JW78" s="116">
        <v>10</v>
      </c>
      <c r="JX78" s="116">
        <v>2022</v>
      </c>
      <c r="JY78" s="137" t="s">
        <v>451</v>
      </c>
      <c r="JZ78" s="137" t="s">
        <v>452</v>
      </c>
      <c r="KA78" s="142">
        <v>1278.98</v>
      </c>
      <c r="KB78" s="113" t="s">
        <v>489</v>
      </c>
      <c r="KI78" s="123">
        <v>41762.565694444442</v>
      </c>
      <c r="KJ78" s="123">
        <v>41762.571250000001</v>
      </c>
      <c r="KK78" s="116" t="s">
        <v>1032</v>
      </c>
      <c r="KQ78" s="116"/>
      <c r="LP78" s="116"/>
      <c r="LS78" s="117" t="s">
        <v>1184</v>
      </c>
      <c r="LV78" s="116"/>
      <c r="LW78" s="116"/>
      <c r="MC78" s="116"/>
      <c r="NU78" s="116"/>
      <c r="NV78" s="116"/>
      <c r="NW78" s="116"/>
      <c r="NX78" s="116"/>
      <c r="NZ78" s="116"/>
      <c r="OA78" s="124" t="s">
        <v>58</v>
      </c>
      <c r="OB78" s="139" t="s">
        <v>351</v>
      </c>
      <c r="OC78" s="124" t="s">
        <v>22</v>
      </c>
      <c r="OD78" s="116" t="s">
        <v>22</v>
      </c>
      <c r="OF78" s="137"/>
    </row>
    <row r="79" spans="1:396" s="176" customFormat="1" ht="15" customHeight="1">
      <c r="A79" s="120"/>
      <c r="B79" s="201">
        <v>17</v>
      </c>
      <c r="C79" s="202" t="s">
        <v>310</v>
      </c>
      <c r="D79" s="173"/>
      <c r="E79" s="177"/>
      <c r="F79" s="178"/>
      <c r="G79" s="178"/>
      <c r="H79" s="116"/>
      <c r="I79" s="116"/>
      <c r="J79" s="116"/>
      <c r="K79" s="116"/>
      <c r="L79" s="116"/>
      <c r="N79" s="177" t="s">
        <v>1151</v>
      </c>
      <c r="O79" s="177" t="s">
        <v>1150</v>
      </c>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7" t="s">
        <v>531</v>
      </c>
      <c r="BM79" s="116"/>
      <c r="BN79" s="116"/>
      <c r="BO79" s="116"/>
      <c r="BP79" s="116"/>
      <c r="BQ79" s="116"/>
      <c r="BR79" s="116"/>
      <c r="BS79" s="116"/>
      <c r="BT79" s="116"/>
      <c r="BU79" s="116"/>
      <c r="BV79" s="116"/>
      <c r="BW79" s="116"/>
      <c r="BX79" s="116"/>
      <c r="BY79" s="116"/>
      <c r="BZ79" s="116"/>
      <c r="CA79" s="116"/>
      <c r="CB79" s="116"/>
      <c r="CC79" s="116"/>
      <c r="CD79" s="116"/>
      <c r="CE79" s="116"/>
      <c r="CF79" s="116"/>
      <c r="CG79" s="116"/>
      <c r="CH79" s="116"/>
      <c r="CI79" s="116"/>
      <c r="CJ79" s="116"/>
      <c r="CK79" s="116"/>
      <c r="CL79" s="116"/>
      <c r="CM79" s="116"/>
      <c r="CN79" s="116"/>
      <c r="CO79" s="116"/>
      <c r="CP79" s="116"/>
      <c r="CQ79" s="116"/>
      <c r="CR79" s="116"/>
      <c r="CS79" s="116"/>
      <c r="CT79" s="116"/>
      <c r="CU79" s="116"/>
      <c r="CV79" s="116"/>
      <c r="CW79" s="116"/>
      <c r="CX79" s="116"/>
      <c r="CY79" s="116"/>
      <c r="CZ79" s="116"/>
      <c r="DA79" s="116"/>
      <c r="DB79" s="116"/>
      <c r="DC79" s="116"/>
      <c r="DD79" s="116"/>
      <c r="DE79" s="116"/>
      <c r="DF79" s="116"/>
      <c r="DG79" s="116"/>
      <c r="DH79" s="116"/>
      <c r="DI79" s="116"/>
      <c r="DJ79" s="116"/>
      <c r="DK79" s="116"/>
      <c r="DL79" s="116"/>
      <c r="DM79" s="116"/>
      <c r="DN79" s="116"/>
      <c r="DO79" s="116"/>
      <c r="DP79" s="116"/>
      <c r="DQ79" s="116"/>
      <c r="DR79" s="116"/>
      <c r="DS79" s="116"/>
      <c r="DT79" s="116"/>
      <c r="DU79" s="116"/>
      <c r="DV79" s="116"/>
      <c r="DW79" s="116"/>
      <c r="DX79" s="116"/>
      <c r="DY79" s="116"/>
      <c r="DZ79" s="116"/>
      <c r="EA79" s="116"/>
      <c r="EB79" s="116"/>
      <c r="EC79" s="116"/>
      <c r="ED79" s="116"/>
      <c r="EE79" s="116"/>
      <c r="EF79" s="116"/>
      <c r="EG79" s="116"/>
      <c r="EH79" s="116"/>
      <c r="EI79" s="116"/>
      <c r="EJ79" s="116"/>
      <c r="EK79" s="116"/>
      <c r="EL79" s="116">
        <v>8</v>
      </c>
      <c r="EM79" s="116" t="s">
        <v>1085</v>
      </c>
      <c r="EN79" s="116">
        <v>1988</v>
      </c>
      <c r="EO79" s="112">
        <v>1</v>
      </c>
      <c r="EP79" s="112" t="s">
        <v>1082</v>
      </c>
      <c r="EQ79" s="116">
        <v>2020</v>
      </c>
      <c r="ER79" s="117">
        <v>546</v>
      </c>
      <c r="ES79" s="116" t="s">
        <v>449</v>
      </c>
      <c r="ET79" s="116">
        <v>23456723</v>
      </c>
      <c r="EU79" s="117">
        <v>60000</v>
      </c>
      <c r="EV79" s="116" t="s">
        <v>1089</v>
      </c>
      <c r="EW79" s="116">
        <v>10</v>
      </c>
      <c r="EX79" s="116">
        <v>2018</v>
      </c>
      <c r="EY79" s="123">
        <v>41758.017523148148</v>
      </c>
      <c r="EZ79" s="116" t="s">
        <v>992</v>
      </c>
      <c r="FA79" s="116"/>
      <c r="FB79" s="116"/>
      <c r="FC79" s="18" t="s">
        <v>351</v>
      </c>
      <c r="GF79" s="116"/>
      <c r="GG79" s="116"/>
      <c r="GH79" s="116"/>
      <c r="GI79" s="116"/>
      <c r="GJ79" s="116">
        <v>440</v>
      </c>
      <c r="GK79" s="99">
        <v>703.44</v>
      </c>
      <c r="GL79" s="13"/>
      <c r="GM79" s="122" t="s">
        <v>716</v>
      </c>
      <c r="GN79" s="116"/>
      <c r="GO79" s="116"/>
      <c r="GP79" s="117" t="s">
        <v>519</v>
      </c>
      <c r="GQ79" s="116"/>
      <c r="GR79" s="117" t="s">
        <v>74</v>
      </c>
      <c r="GS79" s="116"/>
      <c r="GT79" s="116"/>
      <c r="GU79" s="169"/>
      <c r="GV79" s="169"/>
      <c r="GW79" s="116"/>
      <c r="GX79" s="116"/>
      <c r="GY79" s="116"/>
      <c r="GZ79" s="116"/>
      <c r="HA79" s="116"/>
      <c r="HB79" s="116"/>
      <c r="HC79" s="116"/>
      <c r="HD79" s="116"/>
      <c r="HE79" s="116"/>
      <c r="HF79" s="116"/>
      <c r="HG79" s="116"/>
      <c r="HH79" s="116"/>
      <c r="HI79" s="116"/>
      <c r="HJ79" s="116"/>
      <c r="HK79" s="116"/>
      <c r="HL79" s="116"/>
      <c r="HM79" s="123">
        <v>41758.013055555559</v>
      </c>
      <c r="HN79" s="116"/>
      <c r="HO79" s="116" t="s">
        <v>445</v>
      </c>
      <c r="HP79" s="116">
        <v>3</v>
      </c>
      <c r="HQ79" s="119" t="s">
        <v>483</v>
      </c>
      <c r="HR79" s="116"/>
      <c r="HS79" s="116" t="s">
        <v>446</v>
      </c>
      <c r="HT79" s="116">
        <v>13</v>
      </c>
      <c r="HU79" s="116">
        <v>2037</v>
      </c>
      <c r="HV79" s="116" t="s">
        <v>530</v>
      </c>
      <c r="HW79" s="117" t="s">
        <v>695</v>
      </c>
      <c r="HX79" s="116">
        <v>10</v>
      </c>
      <c r="HY79" s="116">
        <v>2021</v>
      </c>
      <c r="HZ79" s="117" t="s">
        <v>452</v>
      </c>
      <c r="IA79" s="117"/>
      <c r="IB79" s="117"/>
      <c r="IC79" s="117"/>
      <c r="ID79" s="117" t="s">
        <v>519</v>
      </c>
      <c r="IE79" s="116"/>
      <c r="IF79" s="177" t="s">
        <v>723</v>
      </c>
      <c r="IG79" s="177" t="s">
        <v>1130</v>
      </c>
      <c r="IH79" s="179"/>
      <c r="II79" s="176">
        <v>900</v>
      </c>
      <c r="IL79" s="117" t="s">
        <v>1185</v>
      </c>
      <c r="IM79" s="116" t="s">
        <v>437</v>
      </c>
      <c r="IN79" s="117" t="s">
        <v>438</v>
      </c>
      <c r="IO79" s="116"/>
      <c r="IP79" s="116"/>
      <c r="IR79" s="99"/>
      <c r="IS79" s="116"/>
      <c r="IT79" s="176" t="s">
        <v>439</v>
      </c>
      <c r="IU79" s="176" t="s">
        <v>1146</v>
      </c>
      <c r="IV79" s="176" t="s">
        <v>447</v>
      </c>
      <c r="IW79" s="176" t="s">
        <v>1147</v>
      </c>
      <c r="IX79" s="176" t="s">
        <v>442</v>
      </c>
      <c r="IY79" s="176">
        <v>28</v>
      </c>
      <c r="IZ79" s="176">
        <v>1975</v>
      </c>
      <c r="JA79" s="176" t="s">
        <v>78</v>
      </c>
      <c r="JB79" s="177" t="s">
        <v>443</v>
      </c>
      <c r="JC79" s="176">
        <v>123456</v>
      </c>
      <c r="JD79" s="176">
        <v>123456</v>
      </c>
      <c r="JE79" s="176" t="s">
        <v>442</v>
      </c>
      <c r="JF79" s="176">
        <v>28</v>
      </c>
      <c r="JG79" s="116">
        <v>2029</v>
      </c>
      <c r="JH79" s="176" t="s">
        <v>1137</v>
      </c>
      <c r="JI79" s="177" t="s">
        <v>1134</v>
      </c>
      <c r="JJ79" s="177" t="s">
        <v>1134</v>
      </c>
      <c r="JK79" s="177" t="s">
        <v>809</v>
      </c>
      <c r="JL79" s="177" t="s">
        <v>809</v>
      </c>
      <c r="JM79" s="176" t="s">
        <v>1148</v>
      </c>
      <c r="JN79" s="177">
        <v>123</v>
      </c>
      <c r="JO79" s="176" t="s">
        <v>1149</v>
      </c>
      <c r="JP79" s="177" t="s">
        <v>1156</v>
      </c>
      <c r="JQ79" s="117" t="s">
        <v>1157</v>
      </c>
      <c r="JR79" s="177" t="s">
        <v>453</v>
      </c>
      <c r="JS79" s="177" t="s">
        <v>194</v>
      </c>
      <c r="JU79" s="176" t="s">
        <v>441</v>
      </c>
      <c r="JV79" s="176">
        <v>108</v>
      </c>
      <c r="JW79" s="176">
        <v>10</v>
      </c>
      <c r="JX79" s="176">
        <v>2022</v>
      </c>
      <c r="JY79" s="177" t="s">
        <v>451</v>
      </c>
      <c r="JZ79" s="177" t="s">
        <v>452</v>
      </c>
      <c r="KA79" s="176">
        <v>703.44</v>
      </c>
      <c r="KB79" s="113" t="s">
        <v>489</v>
      </c>
      <c r="KC79" s="117"/>
      <c r="KD79" s="116"/>
      <c r="KE79" s="116"/>
      <c r="KI79" s="123">
        <v>41779.631203703706</v>
      </c>
      <c r="KJ79" s="123">
        <v>41779.633726851855</v>
      </c>
      <c r="KK79" s="116" t="s">
        <v>1153</v>
      </c>
      <c r="KQ79" s="116"/>
      <c r="LP79" s="116"/>
      <c r="LS79" s="117" t="s">
        <v>1184</v>
      </c>
      <c r="LT79" s="116"/>
      <c r="LV79" s="116"/>
      <c r="LW79" s="116"/>
      <c r="MC79" s="116"/>
      <c r="NS79" s="116"/>
      <c r="NT79" s="116"/>
      <c r="NU79" s="116"/>
      <c r="NV79" s="116"/>
      <c r="NW79" s="116"/>
      <c r="NX79" s="116"/>
      <c r="NZ79" s="116"/>
      <c r="OA79" s="116" t="s">
        <v>58</v>
      </c>
      <c r="OB79" s="18" t="s">
        <v>351</v>
      </c>
      <c r="OC79" s="116" t="s">
        <v>22</v>
      </c>
      <c r="OD79" s="116" t="s">
        <v>22</v>
      </c>
      <c r="OF79" s="117"/>
    </row>
    <row r="80" spans="1:396" s="116" customFormat="1" ht="15" customHeight="1">
      <c r="A80" s="120"/>
      <c r="B80" s="201">
        <v>18</v>
      </c>
      <c r="C80" s="202" t="s">
        <v>310</v>
      </c>
      <c r="D80" s="173"/>
      <c r="E80" s="117"/>
      <c r="F80" s="121"/>
      <c r="G80" s="121"/>
      <c r="N80" s="117" t="s">
        <v>1135</v>
      </c>
      <c r="O80" s="117" t="s">
        <v>519</v>
      </c>
      <c r="BL80" s="117" t="s">
        <v>531</v>
      </c>
      <c r="EL80" s="116">
        <v>5</v>
      </c>
      <c r="EM80" s="116" t="s">
        <v>1085</v>
      </c>
      <c r="EN80" s="116">
        <v>1988</v>
      </c>
      <c r="EO80" s="112">
        <v>8</v>
      </c>
      <c r="EP80" s="112" t="s">
        <v>1086</v>
      </c>
      <c r="EQ80" s="116">
        <v>2027</v>
      </c>
      <c r="ER80" s="117">
        <v>123</v>
      </c>
      <c r="ES80" s="116" t="s">
        <v>449</v>
      </c>
      <c r="ET80" s="116">
        <v>23456723</v>
      </c>
      <c r="EU80" s="117">
        <v>60000</v>
      </c>
      <c r="EV80" s="116" t="s">
        <v>1089</v>
      </c>
      <c r="EW80" s="116">
        <v>10</v>
      </c>
      <c r="EX80" s="116">
        <v>2018</v>
      </c>
      <c r="EY80" s="123">
        <v>41758.021793981483</v>
      </c>
      <c r="EZ80" s="116" t="s">
        <v>830</v>
      </c>
      <c r="FC80" s="18" t="s">
        <v>351</v>
      </c>
      <c r="GJ80" s="116">
        <v>440</v>
      </c>
      <c r="GK80" s="99">
        <v>703.44</v>
      </c>
      <c r="GL80" s="13"/>
      <c r="GM80" s="122" t="s">
        <v>716</v>
      </c>
      <c r="GP80" s="117" t="s">
        <v>519</v>
      </c>
      <c r="GR80" s="117" t="s">
        <v>74</v>
      </c>
      <c r="GU80" s="169"/>
      <c r="GV80" s="169"/>
      <c r="HM80" s="123">
        <v>41758.017557870371</v>
      </c>
      <c r="HO80" s="116" t="s">
        <v>445</v>
      </c>
      <c r="HP80" s="116">
        <v>4</v>
      </c>
      <c r="HQ80" s="119" t="s">
        <v>483</v>
      </c>
      <c r="HS80" s="116" t="s">
        <v>446</v>
      </c>
      <c r="HT80" s="116">
        <v>14</v>
      </c>
      <c r="HU80" s="116">
        <v>2037</v>
      </c>
      <c r="HV80" s="116" t="s">
        <v>530</v>
      </c>
      <c r="HW80" s="117" t="s">
        <v>695</v>
      </c>
      <c r="HX80" s="116">
        <v>10</v>
      </c>
      <c r="HY80" s="116">
        <v>2021</v>
      </c>
      <c r="HZ80" s="117" t="s">
        <v>452</v>
      </c>
      <c r="IA80" s="117"/>
      <c r="IB80" s="117"/>
      <c r="IC80" s="117"/>
      <c r="ID80" s="117" t="s">
        <v>519</v>
      </c>
      <c r="IF80" s="117" t="s">
        <v>528</v>
      </c>
      <c r="IG80" s="117" t="s">
        <v>68</v>
      </c>
      <c r="IH80" s="118"/>
      <c r="II80" s="116">
        <v>1200</v>
      </c>
      <c r="IK80" s="99"/>
      <c r="IL80" s="117" t="s">
        <v>1185</v>
      </c>
      <c r="IM80" s="116" t="s">
        <v>437</v>
      </c>
      <c r="IN80" s="117" t="s">
        <v>438</v>
      </c>
      <c r="IR80" s="99"/>
      <c r="IT80" s="116" t="s">
        <v>439</v>
      </c>
      <c r="IU80" s="116" t="s">
        <v>473</v>
      </c>
      <c r="IV80" s="116" t="s">
        <v>447</v>
      </c>
      <c r="IW80" s="116" t="s">
        <v>473</v>
      </c>
      <c r="IX80" s="116" t="s">
        <v>442</v>
      </c>
      <c r="IY80" s="116">
        <v>16</v>
      </c>
      <c r="IZ80" s="116">
        <v>1990</v>
      </c>
      <c r="JA80" s="116" t="s">
        <v>78</v>
      </c>
      <c r="JB80" s="117" t="s">
        <v>443</v>
      </c>
      <c r="JC80" s="116">
        <v>123456</v>
      </c>
      <c r="JD80" s="116">
        <v>123456</v>
      </c>
      <c r="JE80" s="116" t="s">
        <v>446</v>
      </c>
      <c r="JF80" s="116">
        <v>15</v>
      </c>
      <c r="JG80" s="116">
        <v>2034</v>
      </c>
      <c r="JH80" s="116" t="s">
        <v>1137</v>
      </c>
      <c r="JI80" s="117" t="s">
        <v>1134</v>
      </c>
      <c r="JJ80" s="117" t="s">
        <v>1134</v>
      </c>
      <c r="JK80" s="117" t="s">
        <v>809</v>
      </c>
      <c r="JL80" s="117" t="s">
        <v>809</v>
      </c>
      <c r="JM80" s="116" t="s">
        <v>449</v>
      </c>
      <c r="JN80" s="117">
        <v>123</v>
      </c>
      <c r="JO80" s="116" t="s">
        <v>530</v>
      </c>
      <c r="JP80" s="177" t="s">
        <v>1156</v>
      </c>
      <c r="JQ80" s="117" t="s">
        <v>1157</v>
      </c>
      <c r="JR80" s="117" t="s">
        <v>453</v>
      </c>
      <c r="JS80" s="117" t="s">
        <v>194</v>
      </c>
      <c r="JU80" s="116" t="s">
        <v>441</v>
      </c>
      <c r="JV80" s="116">
        <v>108</v>
      </c>
      <c r="JW80" s="116">
        <v>10</v>
      </c>
      <c r="JX80" s="116">
        <v>2022</v>
      </c>
      <c r="JY80" s="117" t="s">
        <v>451</v>
      </c>
      <c r="JZ80" s="117" t="s">
        <v>452</v>
      </c>
      <c r="KA80" s="99">
        <v>1288.6400000000001</v>
      </c>
      <c r="KB80" s="113" t="s">
        <v>489</v>
      </c>
      <c r="KC80" s="117"/>
      <c r="KI80" s="123">
        <v>41815.721087962964</v>
      </c>
      <c r="KJ80" s="123">
        <v>41815.723657407405</v>
      </c>
      <c r="KK80" s="116" t="s">
        <v>1179</v>
      </c>
      <c r="LS80" s="117" t="s">
        <v>1184</v>
      </c>
      <c r="OA80" s="116" t="s">
        <v>58</v>
      </c>
      <c r="OB80" s="18" t="s">
        <v>351</v>
      </c>
      <c r="OC80" s="116" t="s">
        <v>22</v>
      </c>
      <c r="OD80" s="116" t="s">
        <v>22</v>
      </c>
      <c r="OF80" s="117"/>
    </row>
    <row r="81" spans="1:396" s="131" customFormat="1" ht="15" customHeight="1">
      <c r="A81" s="120"/>
      <c r="B81" s="201">
        <v>19</v>
      </c>
      <c r="C81" s="202" t="s">
        <v>310</v>
      </c>
      <c r="D81" s="173"/>
      <c r="E81" s="132"/>
      <c r="F81" s="133"/>
      <c r="G81" s="133"/>
      <c r="N81" s="117" t="s">
        <v>1135</v>
      </c>
      <c r="O81" s="117" t="s">
        <v>519</v>
      </c>
      <c r="EL81" s="116">
        <v>5</v>
      </c>
      <c r="EM81" s="116" t="s">
        <v>1085</v>
      </c>
      <c r="EN81" s="116">
        <v>1988</v>
      </c>
      <c r="EO81" s="112">
        <v>9</v>
      </c>
      <c r="EP81" s="112" t="s">
        <v>1088</v>
      </c>
      <c r="EQ81" s="116">
        <v>2028</v>
      </c>
      <c r="ER81" s="117">
        <v>456</v>
      </c>
      <c r="ES81" s="116" t="s">
        <v>449</v>
      </c>
      <c r="ET81" s="116">
        <v>23456723</v>
      </c>
      <c r="EU81" s="117">
        <v>60000</v>
      </c>
      <c r="EV81" s="116" t="s">
        <v>1089</v>
      </c>
      <c r="EW81" s="116">
        <v>10</v>
      </c>
      <c r="EX81" s="116">
        <v>2018</v>
      </c>
      <c r="EY81" s="145">
        <v>41758.008622685185</v>
      </c>
      <c r="EZ81" s="131" t="s">
        <v>834</v>
      </c>
      <c r="FC81" s="90" t="s">
        <v>351</v>
      </c>
      <c r="GJ81" s="131">
        <v>500</v>
      </c>
      <c r="GK81" s="131">
        <v>477.33</v>
      </c>
      <c r="GM81" s="144" t="s">
        <v>716</v>
      </c>
      <c r="GP81" s="132" t="s">
        <v>519</v>
      </c>
      <c r="GR81" s="132" t="s">
        <v>807</v>
      </c>
      <c r="GU81" s="169"/>
      <c r="GV81" s="169"/>
      <c r="HM81" s="145">
        <v>41758.004293981481</v>
      </c>
      <c r="HO81" s="116" t="s">
        <v>445</v>
      </c>
      <c r="HP81" s="116">
        <v>5</v>
      </c>
      <c r="HQ81" s="136" t="s">
        <v>486</v>
      </c>
      <c r="HS81" s="116" t="s">
        <v>446</v>
      </c>
      <c r="HT81" s="116">
        <v>15</v>
      </c>
      <c r="HU81" s="131">
        <v>2037</v>
      </c>
      <c r="HV81" s="131" t="s">
        <v>530</v>
      </c>
      <c r="HW81" s="132" t="s">
        <v>1014</v>
      </c>
      <c r="HX81" s="131">
        <v>10</v>
      </c>
      <c r="HY81" s="131">
        <v>2021</v>
      </c>
      <c r="HZ81" s="132" t="s">
        <v>452</v>
      </c>
      <c r="ID81" s="132" t="s">
        <v>519</v>
      </c>
      <c r="IF81" s="132" t="s">
        <v>528</v>
      </c>
      <c r="IG81" s="117" t="s">
        <v>470</v>
      </c>
      <c r="IH81" s="134"/>
      <c r="II81" s="131">
        <v>1000</v>
      </c>
      <c r="IK81" s="135"/>
      <c r="IL81" s="117" t="s">
        <v>1185</v>
      </c>
      <c r="IM81" s="131" t="s">
        <v>437</v>
      </c>
      <c r="IN81" s="132" t="s">
        <v>438</v>
      </c>
      <c r="IT81" s="116" t="s">
        <v>439</v>
      </c>
      <c r="IU81" s="116" t="s">
        <v>1138</v>
      </c>
      <c r="IV81" s="131" t="s">
        <v>447</v>
      </c>
      <c r="IW81" s="116" t="s">
        <v>1138</v>
      </c>
      <c r="IX81" s="116" t="s">
        <v>442</v>
      </c>
      <c r="IY81" s="116">
        <v>16</v>
      </c>
      <c r="IZ81" s="116">
        <v>1990</v>
      </c>
      <c r="JA81" s="116" t="s">
        <v>78</v>
      </c>
      <c r="JB81" s="117" t="s">
        <v>443</v>
      </c>
      <c r="JC81" s="131">
        <v>123456</v>
      </c>
      <c r="JD81" s="131">
        <v>123456</v>
      </c>
      <c r="JE81" s="116" t="s">
        <v>490</v>
      </c>
      <c r="JF81" s="116">
        <v>15</v>
      </c>
      <c r="JG81" s="116">
        <v>2034</v>
      </c>
      <c r="JH81" s="116" t="s">
        <v>1137</v>
      </c>
      <c r="JI81" s="117" t="s">
        <v>1134</v>
      </c>
      <c r="JJ81" s="117" t="s">
        <v>1134</v>
      </c>
      <c r="JK81" s="132" t="s">
        <v>809</v>
      </c>
      <c r="JL81" s="132" t="s">
        <v>809</v>
      </c>
      <c r="JM81" s="131" t="s">
        <v>449</v>
      </c>
      <c r="JN81" s="132">
        <v>456</v>
      </c>
      <c r="JO81" s="131" t="s">
        <v>530</v>
      </c>
      <c r="JP81" s="177" t="s">
        <v>1156</v>
      </c>
      <c r="JQ81" s="117" t="s">
        <v>1157</v>
      </c>
      <c r="JR81" s="117" t="s">
        <v>453</v>
      </c>
      <c r="JS81" s="117" t="s">
        <v>194</v>
      </c>
      <c r="JU81" s="131" t="s">
        <v>441</v>
      </c>
      <c r="JV81" s="131">
        <v>108</v>
      </c>
      <c r="JW81" s="116">
        <v>10</v>
      </c>
      <c r="JX81" s="116">
        <v>2022</v>
      </c>
      <c r="JY81" s="132" t="s">
        <v>451</v>
      </c>
      <c r="JZ81" s="132" t="s">
        <v>452</v>
      </c>
      <c r="KA81" s="135">
        <v>1151.81</v>
      </c>
      <c r="KB81" s="113" t="s">
        <v>489</v>
      </c>
      <c r="KI81" s="145">
        <v>41761.821909722225</v>
      </c>
      <c r="KJ81" s="145">
        <v>41761.82608796296</v>
      </c>
      <c r="KK81" s="131" t="s">
        <v>835</v>
      </c>
      <c r="LS81" s="117" t="s">
        <v>1184</v>
      </c>
      <c r="OA81" s="131" t="s">
        <v>58</v>
      </c>
      <c r="OB81" s="90" t="s">
        <v>351</v>
      </c>
      <c r="OC81" s="131" t="s">
        <v>22</v>
      </c>
      <c r="OD81" s="131" t="s">
        <v>22</v>
      </c>
      <c r="OF81" s="132"/>
    </row>
    <row r="82" spans="1:396" s="131" customFormat="1" ht="15" customHeight="1">
      <c r="A82" s="120"/>
      <c r="B82" s="201">
        <v>20</v>
      </c>
      <c r="C82" s="202" t="s">
        <v>310</v>
      </c>
      <c r="D82" s="173"/>
      <c r="E82" s="132"/>
      <c r="F82" s="133"/>
      <c r="G82" s="133"/>
      <c r="N82" s="117" t="s">
        <v>1135</v>
      </c>
      <c r="O82" s="117" t="s">
        <v>519</v>
      </c>
      <c r="EL82" s="116">
        <v>6</v>
      </c>
      <c r="EM82" s="116" t="s">
        <v>1085</v>
      </c>
      <c r="EN82" s="116">
        <v>1988</v>
      </c>
      <c r="EO82" s="112">
        <v>8</v>
      </c>
      <c r="EP82" s="112" t="s">
        <v>1086</v>
      </c>
      <c r="EQ82" s="116">
        <v>2027</v>
      </c>
      <c r="ER82" s="117">
        <v>546</v>
      </c>
      <c r="ES82" s="116" t="s">
        <v>449</v>
      </c>
      <c r="ET82" s="116">
        <v>23456723</v>
      </c>
      <c r="EU82" s="117">
        <v>60000</v>
      </c>
      <c r="EV82" s="116" t="s">
        <v>1089</v>
      </c>
      <c r="EW82" s="116">
        <v>10</v>
      </c>
      <c r="EX82" s="116">
        <v>2018</v>
      </c>
      <c r="EY82" s="145">
        <v>41758.008622685185</v>
      </c>
      <c r="EZ82" s="131" t="s">
        <v>834</v>
      </c>
      <c r="FC82" s="90" t="s">
        <v>351</v>
      </c>
      <c r="GJ82" s="131">
        <v>500</v>
      </c>
      <c r="GK82" s="131">
        <v>477.33</v>
      </c>
      <c r="GM82" s="144" t="s">
        <v>716</v>
      </c>
      <c r="GP82" s="132" t="s">
        <v>519</v>
      </c>
      <c r="GR82" s="132" t="s">
        <v>807</v>
      </c>
      <c r="GU82" s="169"/>
      <c r="GV82" s="169"/>
      <c r="HM82" s="145">
        <v>41758.004293981481</v>
      </c>
      <c r="HO82" s="116" t="s">
        <v>445</v>
      </c>
      <c r="HP82" s="117" t="s">
        <v>1155</v>
      </c>
      <c r="HQ82" s="136" t="s">
        <v>486</v>
      </c>
      <c r="HS82" s="116" t="s">
        <v>446</v>
      </c>
      <c r="HT82" s="116">
        <v>16</v>
      </c>
      <c r="HU82" s="131">
        <v>2037</v>
      </c>
      <c r="HV82" s="131" t="s">
        <v>530</v>
      </c>
      <c r="HW82" s="132" t="s">
        <v>1014</v>
      </c>
      <c r="HX82" s="131">
        <v>10</v>
      </c>
      <c r="HY82" s="131">
        <v>2021</v>
      </c>
      <c r="HZ82" s="132" t="s">
        <v>452</v>
      </c>
      <c r="ID82" s="132" t="s">
        <v>519</v>
      </c>
      <c r="IF82" s="132" t="s">
        <v>528</v>
      </c>
      <c r="IG82" s="117" t="s">
        <v>1132</v>
      </c>
      <c r="IH82" s="134"/>
      <c r="II82" s="131">
        <v>1000</v>
      </c>
      <c r="IK82" s="135"/>
      <c r="IL82" s="117" t="s">
        <v>1185</v>
      </c>
      <c r="IM82" s="131" t="s">
        <v>437</v>
      </c>
      <c r="IN82" s="132" t="s">
        <v>438</v>
      </c>
      <c r="IT82" s="116" t="s">
        <v>439</v>
      </c>
      <c r="IU82" s="116" t="s">
        <v>1136</v>
      </c>
      <c r="IV82" s="131" t="s">
        <v>447</v>
      </c>
      <c r="IW82" s="116" t="s">
        <v>1136</v>
      </c>
      <c r="IX82" s="116" t="s">
        <v>442</v>
      </c>
      <c r="IY82" s="116">
        <v>16</v>
      </c>
      <c r="IZ82" s="116">
        <v>1990</v>
      </c>
      <c r="JA82" s="116" t="s">
        <v>78</v>
      </c>
      <c r="JB82" s="117" t="s">
        <v>443</v>
      </c>
      <c r="JC82" s="131">
        <v>123456</v>
      </c>
      <c r="JD82" s="131">
        <v>123456</v>
      </c>
      <c r="JE82" s="116" t="s">
        <v>490</v>
      </c>
      <c r="JF82" s="116">
        <v>15</v>
      </c>
      <c r="JG82" s="116">
        <v>2034</v>
      </c>
      <c r="JH82" s="116" t="s">
        <v>1137</v>
      </c>
      <c r="JI82" s="117" t="s">
        <v>1134</v>
      </c>
      <c r="JJ82" s="117" t="s">
        <v>1134</v>
      </c>
      <c r="JK82" s="132" t="s">
        <v>809</v>
      </c>
      <c r="JL82" s="132" t="s">
        <v>809</v>
      </c>
      <c r="JM82" s="131" t="s">
        <v>449</v>
      </c>
      <c r="JN82" s="132">
        <v>456</v>
      </c>
      <c r="JO82" s="131" t="s">
        <v>530</v>
      </c>
      <c r="JP82" s="177" t="s">
        <v>1156</v>
      </c>
      <c r="JQ82" s="117" t="s">
        <v>1157</v>
      </c>
      <c r="JR82" s="117" t="s">
        <v>453</v>
      </c>
      <c r="JS82" s="117" t="s">
        <v>194</v>
      </c>
      <c r="JU82" s="131" t="s">
        <v>441</v>
      </c>
      <c r="JV82" s="131">
        <v>108</v>
      </c>
      <c r="JW82" s="116">
        <v>10</v>
      </c>
      <c r="JX82" s="116">
        <v>2022</v>
      </c>
      <c r="JY82" s="132" t="s">
        <v>451</v>
      </c>
      <c r="JZ82" s="132" t="s">
        <v>452</v>
      </c>
      <c r="KA82" s="135">
        <v>1151.81</v>
      </c>
      <c r="KB82" s="113" t="s">
        <v>489</v>
      </c>
      <c r="KI82" s="145">
        <v>41762.51489583333</v>
      </c>
      <c r="KJ82" s="145">
        <v>41762.519849537035</v>
      </c>
      <c r="KK82" s="131" t="s">
        <v>1022</v>
      </c>
      <c r="LS82" s="117" t="s">
        <v>1184</v>
      </c>
      <c r="OA82" s="131" t="s">
        <v>58</v>
      </c>
      <c r="OB82" s="90" t="s">
        <v>351</v>
      </c>
      <c r="OC82" s="131" t="s">
        <v>22</v>
      </c>
      <c r="OD82" s="131" t="s">
        <v>22</v>
      </c>
      <c r="OF82" s="132"/>
    </row>
    <row r="83" spans="1:396" s="131" customFormat="1" ht="15" customHeight="1">
      <c r="A83" s="120"/>
      <c r="B83" s="201">
        <v>21</v>
      </c>
      <c r="C83" s="202" t="s">
        <v>310</v>
      </c>
      <c r="D83" s="173"/>
      <c r="E83" s="132"/>
      <c r="F83" s="133"/>
      <c r="G83" s="133"/>
      <c r="N83" s="117" t="s">
        <v>1135</v>
      </c>
      <c r="O83" s="117" t="s">
        <v>519</v>
      </c>
      <c r="EL83" s="116">
        <v>8</v>
      </c>
      <c r="EM83" s="116" t="s">
        <v>1085</v>
      </c>
      <c r="EN83" s="116">
        <v>1988</v>
      </c>
      <c r="EO83" s="112">
        <v>9</v>
      </c>
      <c r="EP83" s="112" t="s">
        <v>1088</v>
      </c>
      <c r="EQ83" s="116">
        <v>2028</v>
      </c>
      <c r="ER83" s="117">
        <v>123</v>
      </c>
      <c r="ES83" s="116" t="s">
        <v>449</v>
      </c>
      <c r="ET83" s="116">
        <v>23456723</v>
      </c>
      <c r="EU83" s="117">
        <v>60000</v>
      </c>
      <c r="EV83" s="116" t="s">
        <v>1089</v>
      </c>
      <c r="EW83" s="116">
        <v>10</v>
      </c>
      <c r="EX83" s="116">
        <v>2018</v>
      </c>
      <c r="EY83" s="145">
        <v>41758.008622685185</v>
      </c>
      <c r="EZ83" s="131" t="s">
        <v>834</v>
      </c>
      <c r="FC83" s="90" t="s">
        <v>351</v>
      </c>
      <c r="GJ83" s="131">
        <v>500</v>
      </c>
      <c r="GK83" s="131">
        <v>477.33</v>
      </c>
      <c r="GM83" s="144" t="s">
        <v>716</v>
      </c>
      <c r="GP83" s="132" t="s">
        <v>519</v>
      </c>
      <c r="GR83" s="132" t="s">
        <v>807</v>
      </c>
      <c r="GU83" s="169"/>
      <c r="GV83" s="169"/>
      <c r="HM83" s="145">
        <v>41758.004293981481</v>
      </c>
      <c r="HO83" s="116" t="s">
        <v>445</v>
      </c>
      <c r="HP83" s="116">
        <v>2</v>
      </c>
      <c r="HQ83" s="136" t="s">
        <v>486</v>
      </c>
      <c r="HS83" s="116" t="s">
        <v>446</v>
      </c>
      <c r="HT83" s="116">
        <v>11</v>
      </c>
      <c r="HU83" s="131">
        <v>2037</v>
      </c>
      <c r="HV83" s="131" t="s">
        <v>530</v>
      </c>
      <c r="HW83" s="132" t="s">
        <v>1014</v>
      </c>
      <c r="HX83" s="131">
        <v>10</v>
      </c>
      <c r="HY83" s="131">
        <v>2021</v>
      </c>
      <c r="HZ83" s="132" t="s">
        <v>452</v>
      </c>
      <c r="ID83" s="132" t="s">
        <v>519</v>
      </c>
      <c r="IF83" s="132" t="s">
        <v>528</v>
      </c>
      <c r="IG83" s="117" t="s">
        <v>1132</v>
      </c>
      <c r="IH83" s="134"/>
      <c r="II83" s="131">
        <v>1000</v>
      </c>
      <c r="IK83" s="135"/>
      <c r="IL83" s="117" t="s">
        <v>1185</v>
      </c>
      <c r="IM83" s="131" t="s">
        <v>437</v>
      </c>
      <c r="IN83" s="132" t="s">
        <v>438</v>
      </c>
      <c r="IT83" s="116" t="s">
        <v>439</v>
      </c>
      <c r="IU83" s="116" t="s">
        <v>471</v>
      </c>
      <c r="IV83" s="131" t="s">
        <v>447</v>
      </c>
      <c r="IW83" s="116" t="s">
        <v>471</v>
      </c>
      <c r="IX83" s="116" t="s">
        <v>442</v>
      </c>
      <c r="IY83" s="116">
        <v>16</v>
      </c>
      <c r="IZ83" s="116">
        <v>1990</v>
      </c>
      <c r="JA83" s="116" t="s">
        <v>78</v>
      </c>
      <c r="JB83" s="117" t="s">
        <v>443</v>
      </c>
      <c r="JC83" s="131">
        <v>123456</v>
      </c>
      <c r="JD83" s="131">
        <v>123456</v>
      </c>
      <c r="JE83" s="116" t="s">
        <v>490</v>
      </c>
      <c r="JF83" s="116">
        <v>15</v>
      </c>
      <c r="JG83" s="116">
        <v>2034</v>
      </c>
      <c r="JH83" s="116" t="s">
        <v>1137</v>
      </c>
      <c r="JI83" s="117" t="s">
        <v>1134</v>
      </c>
      <c r="JJ83" s="117" t="s">
        <v>1134</v>
      </c>
      <c r="JK83" s="132" t="s">
        <v>809</v>
      </c>
      <c r="JL83" s="132" t="s">
        <v>809</v>
      </c>
      <c r="JM83" s="131" t="s">
        <v>449</v>
      </c>
      <c r="JN83" s="132">
        <v>456</v>
      </c>
      <c r="JO83" s="131" t="s">
        <v>530</v>
      </c>
      <c r="JP83" s="177" t="s">
        <v>1156</v>
      </c>
      <c r="JQ83" s="117" t="s">
        <v>1157</v>
      </c>
      <c r="JR83" s="117" t="s">
        <v>453</v>
      </c>
      <c r="JS83" s="117" t="s">
        <v>194</v>
      </c>
      <c r="JU83" s="131" t="s">
        <v>441</v>
      </c>
      <c r="JV83" s="131">
        <v>108</v>
      </c>
      <c r="JW83" s="116">
        <v>10</v>
      </c>
      <c r="JX83" s="116">
        <v>2022</v>
      </c>
      <c r="JY83" s="132" t="s">
        <v>451</v>
      </c>
      <c r="JZ83" s="132" t="s">
        <v>452</v>
      </c>
      <c r="KA83" s="135">
        <v>1151.81</v>
      </c>
      <c r="KB83" s="113" t="s">
        <v>489</v>
      </c>
      <c r="KI83" s="145">
        <v>41762.519895833335</v>
      </c>
      <c r="KJ83" s="145">
        <v>41762.524525462963</v>
      </c>
      <c r="KK83" s="131" t="s">
        <v>1024</v>
      </c>
      <c r="LS83" s="117" t="s">
        <v>1184</v>
      </c>
      <c r="OA83" s="131" t="s">
        <v>58</v>
      </c>
      <c r="OB83" s="90" t="s">
        <v>351</v>
      </c>
      <c r="OC83" s="131" t="s">
        <v>22</v>
      </c>
      <c r="OD83" s="131" t="s">
        <v>22</v>
      </c>
      <c r="OF83" s="132"/>
    </row>
    <row r="84" spans="1:396" s="131" customFormat="1" ht="15" customHeight="1">
      <c r="A84" s="120"/>
      <c r="B84" s="201">
        <v>22</v>
      </c>
      <c r="C84" s="202" t="s">
        <v>310</v>
      </c>
      <c r="D84" s="173"/>
      <c r="E84" s="132"/>
      <c r="F84" s="133"/>
      <c r="G84" s="133"/>
      <c r="N84" s="117" t="s">
        <v>1135</v>
      </c>
      <c r="O84" s="117" t="s">
        <v>519</v>
      </c>
      <c r="EL84" s="116">
        <v>3</v>
      </c>
      <c r="EM84" s="116" t="s">
        <v>1085</v>
      </c>
      <c r="EN84" s="116">
        <v>1988</v>
      </c>
      <c r="EO84" s="112">
        <v>1</v>
      </c>
      <c r="EP84" s="112" t="s">
        <v>1082</v>
      </c>
      <c r="EQ84" s="116">
        <v>2020</v>
      </c>
      <c r="ER84" s="117">
        <v>456</v>
      </c>
      <c r="ES84" s="116" t="s">
        <v>449</v>
      </c>
      <c r="ET84" s="116">
        <v>23456723</v>
      </c>
      <c r="EU84" s="117">
        <v>60000</v>
      </c>
      <c r="EV84" s="116" t="s">
        <v>1089</v>
      </c>
      <c r="EW84" s="116">
        <v>10</v>
      </c>
      <c r="EX84" s="116">
        <v>2018</v>
      </c>
      <c r="EY84" s="145">
        <v>41758.008622685185</v>
      </c>
      <c r="EZ84" s="131" t="s">
        <v>834</v>
      </c>
      <c r="FC84" s="90" t="s">
        <v>351</v>
      </c>
      <c r="GJ84" s="131">
        <v>500</v>
      </c>
      <c r="GK84" s="131">
        <v>477.33</v>
      </c>
      <c r="GM84" s="144" t="s">
        <v>716</v>
      </c>
      <c r="GP84" s="132" t="s">
        <v>519</v>
      </c>
      <c r="GR84" s="132" t="s">
        <v>807</v>
      </c>
      <c r="GU84" s="169"/>
      <c r="GV84" s="169"/>
      <c r="HM84" s="145">
        <v>41758.004293981481</v>
      </c>
      <c r="HO84" s="116" t="s">
        <v>445</v>
      </c>
      <c r="HP84" s="116">
        <v>3</v>
      </c>
      <c r="HQ84" s="136" t="s">
        <v>486</v>
      </c>
      <c r="HS84" s="116" t="s">
        <v>446</v>
      </c>
      <c r="HT84" s="116">
        <v>12</v>
      </c>
      <c r="HU84" s="131">
        <v>2037</v>
      </c>
      <c r="HV84" s="131" t="s">
        <v>530</v>
      </c>
      <c r="HW84" s="132" t="s">
        <v>1014</v>
      </c>
      <c r="HX84" s="131">
        <v>10</v>
      </c>
      <c r="HY84" s="131">
        <v>2021</v>
      </c>
      <c r="HZ84" s="132" t="s">
        <v>452</v>
      </c>
      <c r="ID84" s="132" t="s">
        <v>519</v>
      </c>
      <c r="IF84" s="132" t="s">
        <v>528</v>
      </c>
      <c r="IG84" s="117" t="s">
        <v>1131</v>
      </c>
      <c r="IH84" s="134"/>
      <c r="II84" s="131">
        <v>1000</v>
      </c>
      <c r="IK84" s="135"/>
      <c r="IL84" s="117" t="s">
        <v>1185</v>
      </c>
      <c r="IM84" s="131" t="s">
        <v>437</v>
      </c>
      <c r="IN84" s="132" t="s">
        <v>438</v>
      </c>
      <c r="IT84" s="116" t="s">
        <v>439</v>
      </c>
      <c r="IU84" s="116" t="s">
        <v>472</v>
      </c>
      <c r="IV84" s="131" t="s">
        <v>447</v>
      </c>
      <c r="IW84" s="116" t="s">
        <v>472</v>
      </c>
      <c r="IX84" s="116" t="s">
        <v>442</v>
      </c>
      <c r="IY84" s="116">
        <v>16</v>
      </c>
      <c r="IZ84" s="116">
        <v>1990</v>
      </c>
      <c r="JA84" s="116" t="s">
        <v>78</v>
      </c>
      <c r="JB84" s="117" t="s">
        <v>443</v>
      </c>
      <c r="JC84" s="131">
        <v>123456</v>
      </c>
      <c r="JD84" s="131">
        <v>123456</v>
      </c>
      <c r="JE84" s="116" t="s">
        <v>490</v>
      </c>
      <c r="JF84" s="116">
        <v>15</v>
      </c>
      <c r="JG84" s="116">
        <v>2034</v>
      </c>
      <c r="JH84" s="116" t="s">
        <v>1137</v>
      </c>
      <c r="JI84" s="117" t="s">
        <v>1134</v>
      </c>
      <c r="JJ84" s="117" t="s">
        <v>1134</v>
      </c>
      <c r="JK84" s="132" t="s">
        <v>809</v>
      </c>
      <c r="JL84" s="132" t="s">
        <v>809</v>
      </c>
      <c r="JM84" s="131" t="s">
        <v>449</v>
      </c>
      <c r="JN84" s="132">
        <v>456</v>
      </c>
      <c r="JO84" s="131" t="s">
        <v>530</v>
      </c>
      <c r="JP84" s="177" t="s">
        <v>1156</v>
      </c>
      <c r="JQ84" s="117" t="s">
        <v>1157</v>
      </c>
      <c r="JR84" s="117" t="s">
        <v>453</v>
      </c>
      <c r="JS84" s="117" t="s">
        <v>194</v>
      </c>
      <c r="JU84" s="131" t="s">
        <v>441</v>
      </c>
      <c r="JV84" s="131">
        <v>108</v>
      </c>
      <c r="JW84" s="116">
        <v>10</v>
      </c>
      <c r="JX84" s="116">
        <v>2022</v>
      </c>
      <c r="JY84" s="132" t="s">
        <v>451</v>
      </c>
      <c r="JZ84" s="132" t="s">
        <v>452</v>
      </c>
      <c r="KA84" s="135">
        <v>1151.81</v>
      </c>
      <c r="KB84" s="113" t="s">
        <v>489</v>
      </c>
      <c r="KI84" s="145">
        <v>41762.524583333332</v>
      </c>
      <c r="KJ84" s="145">
        <v>41762.528854166667</v>
      </c>
      <c r="KK84" s="131" t="s">
        <v>988</v>
      </c>
      <c r="LS84" s="117" t="s">
        <v>1184</v>
      </c>
      <c r="OA84" s="131" t="s">
        <v>58</v>
      </c>
      <c r="OB84" s="90" t="s">
        <v>351</v>
      </c>
      <c r="OC84" s="131" t="s">
        <v>22</v>
      </c>
      <c r="OD84" s="131" t="s">
        <v>22</v>
      </c>
      <c r="OF84" s="132"/>
    </row>
    <row r="85" spans="1:396" s="124" customFormat="1" ht="15" customHeight="1">
      <c r="A85" s="120"/>
      <c r="B85" s="201">
        <v>23</v>
      </c>
      <c r="C85" s="202" t="s">
        <v>310</v>
      </c>
      <c r="D85" s="173"/>
      <c r="F85" s="138"/>
      <c r="G85" s="138"/>
      <c r="H85" s="116"/>
      <c r="I85" s="116"/>
      <c r="J85" s="116"/>
      <c r="K85" s="116"/>
      <c r="L85" s="116"/>
      <c r="M85" s="116"/>
      <c r="N85" s="117" t="s">
        <v>1135</v>
      </c>
      <c r="O85" s="117" t="s">
        <v>519</v>
      </c>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116"/>
      <c r="BY85" s="116"/>
      <c r="BZ85" s="116"/>
      <c r="CA85" s="116"/>
      <c r="CB85" s="116"/>
      <c r="CC85" s="116"/>
      <c r="CD85" s="116"/>
      <c r="CE85" s="116"/>
      <c r="CF85" s="116"/>
      <c r="CG85" s="116"/>
      <c r="CH85" s="116"/>
      <c r="CI85" s="116"/>
      <c r="CJ85" s="116"/>
      <c r="CK85" s="116"/>
      <c r="CL85" s="116"/>
      <c r="CM85" s="116"/>
      <c r="CN85" s="116"/>
      <c r="CO85" s="116"/>
      <c r="CP85" s="116"/>
      <c r="CQ85" s="116"/>
      <c r="CR85" s="116"/>
      <c r="CS85" s="116"/>
      <c r="CT85" s="116"/>
      <c r="CU85" s="116"/>
      <c r="CV85" s="116"/>
      <c r="CW85" s="116"/>
      <c r="CX85" s="116"/>
      <c r="CY85" s="116"/>
      <c r="CZ85" s="116"/>
      <c r="DA85" s="116"/>
      <c r="DB85" s="116"/>
      <c r="DC85" s="116"/>
      <c r="DD85" s="116"/>
      <c r="DE85" s="116"/>
      <c r="DF85" s="116"/>
      <c r="DG85" s="116"/>
      <c r="DH85" s="116"/>
      <c r="DI85" s="116"/>
      <c r="DJ85" s="116"/>
      <c r="DK85" s="116"/>
      <c r="DL85" s="116"/>
      <c r="DM85" s="116"/>
      <c r="DN85" s="116"/>
      <c r="DO85" s="116"/>
      <c r="DP85" s="116"/>
      <c r="DQ85" s="116"/>
      <c r="DR85" s="116"/>
      <c r="DS85" s="116"/>
      <c r="DT85" s="116"/>
      <c r="DU85" s="116"/>
      <c r="DV85" s="116"/>
      <c r="DW85" s="116"/>
      <c r="DX85" s="116"/>
      <c r="DY85" s="116"/>
      <c r="DZ85" s="116"/>
      <c r="EA85" s="116"/>
      <c r="EB85" s="116"/>
      <c r="EC85" s="116"/>
      <c r="ED85" s="116"/>
      <c r="EE85" s="116"/>
      <c r="EF85" s="116"/>
      <c r="EG85" s="116"/>
      <c r="EH85" s="116"/>
      <c r="EI85" s="116"/>
      <c r="EJ85" s="116"/>
      <c r="EK85" s="116"/>
      <c r="EL85" s="116">
        <v>9</v>
      </c>
      <c r="EM85" s="116" t="s">
        <v>1085</v>
      </c>
      <c r="EN85" s="116">
        <v>1988</v>
      </c>
      <c r="EO85" s="112">
        <v>8</v>
      </c>
      <c r="EP85" s="112" t="s">
        <v>1086</v>
      </c>
      <c r="EQ85" s="116">
        <v>2027</v>
      </c>
      <c r="ER85" s="117">
        <v>546</v>
      </c>
      <c r="ES85" s="116" t="s">
        <v>449</v>
      </c>
      <c r="ET85" s="116">
        <v>23456723</v>
      </c>
      <c r="EU85" s="117">
        <v>60000</v>
      </c>
      <c r="EV85" s="116" t="s">
        <v>1089</v>
      </c>
      <c r="EW85" s="116">
        <v>10</v>
      </c>
      <c r="EX85" s="116">
        <v>2018</v>
      </c>
      <c r="EY85" s="123">
        <v>41758.013009259259</v>
      </c>
      <c r="EZ85" s="116" t="s">
        <v>990</v>
      </c>
      <c r="FC85" s="18" t="s">
        <v>351</v>
      </c>
      <c r="GF85" s="116"/>
      <c r="GG85" s="116"/>
      <c r="GH85" s="116"/>
      <c r="GI85" s="116"/>
      <c r="GJ85" s="116"/>
      <c r="GK85" s="116"/>
      <c r="GL85" s="116"/>
      <c r="GM85" s="122" t="s">
        <v>716</v>
      </c>
      <c r="GN85" s="116"/>
      <c r="GO85" s="116"/>
      <c r="GP85" s="117" t="s">
        <v>519</v>
      </c>
      <c r="GQ85" s="116"/>
      <c r="GR85" s="117" t="s">
        <v>74</v>
      </c>
      <c r="GS85" s="116"/>
      <c r="GT85" s="116"/>
      <c r="GU85" s="169"/>
      <c r="GV85" s="169"/>
      <c r="GW85" s="116"/>
      <c r="GX85" s="116"/>
      <c r="HA85" s="116"/>
      <c r="HB85" s="116"/>
      <c r="HC85" s="116"/>
      <c r="HD85" s="116"/>
      <c r="HE85" s="116"/>
      <c r="HF85" s="116"/>
      <c r="HG85" s="116"/>
      <c r="HH85" s="116"/>
      <c r="HI85" s="116"/>
      <c r="HJ85" s="116"/>
      <c r="HK85" s="116"/>
      <c r="HL85" s="116"/>
      <c r="HM85" s="123">
        <v>41758.008657407408</v>
      </c>
      <c r="HN85" s="116"/>
      <c r="HO85" s="116" t="s">
        <v>445</v>
      </c>
      <c r="HP85" s="116">
        <v>4</v>
      </c>
      <c r="HQ85" s="143" t="s">
        <v>486</v>
      </c>
      <c r="HS85" s="116" t="s">
        <v>446</v>
      </c>
      <c r="HT85" s="116">
        <v>13</v>
      </c>
      <c r="HU85" s="124">
        <v>2037</v>
      </c>
      <c r="HV85" s="124" t="s">
        <v>530</v>
      </c>
      <c r="HW85" s="137" t="s">
        <v>532</v>
      </c>
      <c r="HX85" s="124">
        <v>10</v>
      </c>
      <c r="HY85" s="124">
        <v>2021</v>
      </c>
      <c r="HZ85" s="137" t="s">
        <v>452</v>
      </c>
      <c r="ID85" s="137" t="s">
        <v>519</v>
      </c>
      <c r="IF85" s="137" t="s">
        <v>723</v>
      </c>
      <c r="IG85" s="117" t="s">
        <v>1133</v>
      </c>
      <c r="IH85" s="140"/>
      <c r="II85" s="124">
        <v>800</v>
      </c>
      <c r="IK85" s="142"/>
      <c r="IL85" s="117" t="s">
        <v>1185</v>
      </c>
      <c r="IM85" s="124" t="s">
        <v>437</v>
      </c>
      <c r="IN85" s="137" t="s">
        <v>438</v>
      </c>
      <c r="IR85" s="142"/>
      <c r="IT85" s="116" t="s">
        <v>439</v>
      </c>
      <c r="IU85" s="116" t="s">
        <v>473</v>
      </c>
      <c r="IV85" s="124" t="s">
        <v>447</v>
      </c>
      <c r="IW85" s="116" t="s">
        <v>473</v>
      </c>
      <c r="IX85" s="116" t="s">
        <v>442</v>
      </c>
      <c r="IY85" s="116">
        <v>16</v>
      </c>
      <c r="IZ85" s="116">
        <v>1990</v>
      </c>
      <c r="JA85" s="116" t="s">
        <v>78</v>
      </c>
      <c r="JB85" s="117" t="s">
        <v>443</v>
      </c>
      <c r="JC85" s="124">
        <v>123456</v>
      </c>
      <c r="JD85" s="124">
        <v>123456</v>
      </c>
      <c r="JE85" s="116" t="s">
        <v>490</v>
      </c>
      <c r="JF85" s="116">
        <v>15</v>
      </c>
      <c r="JG85" s="116">
        <v>2034</v>
      </c>
      <c r="JH85" s="116" t="s">
        <v>1137</v>
      </c>
      <c r="JI85" s="117" t="s">
        <v>1134</v>
      </c>
      <c r="JJ85" s="117" t="s">
        <v>1134</v>
      </c>
      <c r="JK85" s="137" t="s">
        <v>809</v>
      </c>
      <c r="JL85" s="137" t="s">
        <v>809</v>
      </c>
      <c r="JM85" s="124" t="s">
        <v>449</v>
      </c>
      <c r="JN85" s="137">
        <v>456</v>
      </c>
      <c r="JO85" s="124" t="s">
        <v>530</v>
      </c>
      <c r="JP85" s="177" t="s">
        <v>1156</v>
      </c>
      <c r="JQ85" s="117" t="s">
        <v>1157</v>
      </c>
      <c r="JR85" s="117" t="s">
        <v>453</v>
      </c>
      <c r="JS85" s="117" t="s">
        <v>194</v>
      </c>
      <c r="JU85" s="124" t="s">
        <v>441</v>
      </c>
      <c r="JV85" s="124">
        <v>108</v>
      </c>
      <c r="JW85" s="116">
        <v>10</v>
      </c>
      <c r="JX85" s="116">
        <v>2022</v>
      </c>
      <c r="JY85" s="137" t="s">
        <v>451</v>
      </c>
      <c r="JZ85" s="137" t="s">
        <v>452</v>
      </c>
      <c r="KA85" s="142">
        <v>1278.98</v>
      </c>
      <c r="KB85" s="113" t="s">
        <v>489</v>
      </c>
      <c r="KI85" s="123">
        <v>41762.565694444442</v>
      </c>
      <c r="KJ85" s="123">
        <v>41762.571250000001</v>
      </c>
      <c r="KK85" s="116" t="s">
        <v>1032</v>
      </c>
      <c r="KQ85" s="116"/>
      <c r="LP85" s="116"/>
      <c r="LS85" s="117" t="s">
        <v>1184</v>
      </c>
      <c r="LV85" s="116"/>
      <c r="LW85" s="116"/>
      <c r="MC85" s="116"/>
      <c r="NU85" s="116"/>
      <c r="NV85" s="116"/>
      <c r="NW85" s="116"/>
      <c r="NX85" s="116"/>
      <c r="NZ85" s="116"/>
      <c r="OA85" s="124" t="s">
        <v>58</v>
      </c>
      <c r="OB85" s="139" t="s">
        <v>351</v>
      </c>
      <c r="OC85" s="124" t="s">
        <v>22</v>
      </c>
      <c r="OD85" s="116" t="s">
        <v>22</v>
      </c>
      <c r="OF85" s="137"/>
    </row>
    <row r="86" spans="1:396" s="124" customFormat="1" ht="15" customHeight="1">
      <c r="A86" s="120"/>
      <c r="B86" s="201">
        <v>24</v>
      </c>
      <c r="C86" s="202" t="s">
        <v>310</v>
      </c>
      <c r="D86" s="173"/>
      <c r="F86" s="138"/>
      <c r="G86" s="138"/>
      <c r="H86" s="116"/>
      <c r="I86" s="116"/>
      <c r="J86" s="116"/>
      <c r="K86" s="116"/>
      <c r="L86" s="116"/>
      <c r="M86" s="116"/>
      <c r="N86" s="117" t="s">
        <v>1135</v>
      </c>
      <c r="O86" s="117" t="s">
        <v>519</v>
      </c>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116"/>
      <c r="BY86" s="116"/>
      <c r="BZ86" s="116"/>
      <c r="CA86" s="116"/>
      <c r="CB86" s="116"/>
      <c r="CC86" s="116"/>
      <c r="CD86" s="116"/>
      <c r="CE86" s="116"/>
      <c r="CF86" s="116"/>
      <c r="CG86" s="116"/>
      <c r="CH86" s="116"/>
      <c r="CI86" s="116"/>
      <c r="CJ86" s="116"/>
      <c r="CK86" s="116"/>
      <c r="CL86" s="116"/>
      <c r="CM86" s="116"/>
      <c r="CN86" s="116"/>
      <c r="CO86" s="116"/>
      <c r="CP86" s="116"/>
      <c r="CQ86" s="116"/>
      <c r="CR86" s="116"/>
      <c r="CS86" s="116"/>
      <c r="CT86" s="116"/>
      <c r="CU86" s="116"/>
      <c r="CV86" s="116"/>
      <c r="CW86" s="116"/>
      <c r="CX86" s="116"/>
      <c r="CY86" s="116"/>
      <c r="CZ86" s="116"/>
      <c r="DA86" s="116"/>
      <c r="DB86" s="116"/>
      <c r="DC86" s="116"/>
      <c r="DD86" s="116"/>
      <c r="DE86" s="116"/>
      <c r="DF86" s="116"/>
      <c r="DG86" s="116"/>
      <c r="DH86" s="116"/>
      <c r="DI86" s="116"/>
      <c r="DJ86" s="116"/>
      <c r="DK86" s="116"/>
      <c r="DL86" s="116"/>
      <c r="DM86" s="116"/>
      <c r="DN86" s="116"/>
      <c r="DO86" s="116"/>
      <c r="DP86" s="116"/>
      <c r="DQ86" s="116"/>
      <c r="DR86" s="116"/>
      <c r="DS86" s="116"/>
      <c r="DT86" s="116"/>
      <c r="DU86" s="116"/>
      <c r="DV86" s="116"/>
      <c r="DW86" s="116"/>
      <c r="DX86" s="116"/>
      <c r="DY86" s="116"/>
      <c r="DZ86" s="116"/>
      <c r="EA86" s="116"/>
      <c r="EB86" s="116"/>
      <c r="EC86" s="116"/>
      <c r="ED86" s="116"/>
      <c r="EE86" s="116"/>
      <c r="EF86" s="116"/>
      <c r="EG86" s="116"/>
      <c r="EH86" s="116"/>
      <c r="EI86" s="116"/>
      <c r="EJ86" s="116"/>
      <c r="EK86" s="116"/>
      <c r="EL86" s="116">
        <v>3</v>
      </c>
      <c r="EM86" s="116" t="s">
        <v>1085</v>
      </c>
      <c r="EN86" s="116">
        <v>1988</v>
      </c>
      <c r="EO86" s="112">
        <v>9</v>
      </c>
      <c r="EP86" s="112" t="s">
        <v>1088</v>
      </c>
      <c r="EQ86" s="116">
        <v>2028</v>
      </c>
      <c r="ER86" s="117">
        <v>123</v>
      </c>
      <c r="ES86" s="116" t="s">
        <v>449</v>
      </c>
      <c r="ET86" s="116">
        <v>23456723</v>
      </c>
      <c r="EU86" s="117">
        <v>60000</v>
      </c>
      <c r="EV86" s="116" t="s">
        <v>1089</v>
      </c>
      <c r="EW86" s="116">
        <v>10</v>
      </c>
      <c r="EX86" s="116">
        <v>2018</v>
      </c>
      <c r="EY86" s="123">
        <v>41758.013009259259</v>
      </c>
      <c r="EZ86" s="116" t="s">
        <v>990</v>
      </c>
      <c r="FC86" s="18" t="s">
        <v>351</v>
      </c>
      <c r="GF86" s="116"/>
      <c r="GG86" s="116"/>
      <c r="GH86" s="116"/>
      <c r="GI86" s="116"/>
      <c r="GJ86" s="116"/>
      <c r="GK86" s="116"/>
      <c r="GL86" s="116"/>
      <c r="GM86" s="122" t="s">
        <v>716</v>
      </c>
      <c r="GN86" s="116"/>
      <c r="GO86" s="116"/>
      <c r="GP86" s="117" t="s">
        <v>519</v>
      </c>
      <c r="GQ86" s="116"/>
      <c r="GR86" s="117" t="s">
        <v>74</v>
      </c>
      <c r="GS86" s="116"/>
      <c r="GT86" s="116"/>
      <c r="GU86" s="169"/>
      <c r="GV86" s="169"/>
      <c r="GW86" s="116"/>
      <c r="GX86" s="116"/>
      <c r="HA86" s="116"/>
      <c r="HB86" s="116"/>
      <c r="HC86" s="116"/>
      <c r="HD86" s="116"/>
      <c r="HE86" s="116"/>
      <c r="HF86" s="116"/>
      <c r="HG86" s="116"/>
      <c r="HH86" s="116"/>
      <c r="HI86" s="116"/>
      <c r="HJ86" s="116"/>
      <c r="HK86" s="116"/>
      <c r="HL86" s="116"/>
      <c r="HM86" s="123">
        <v>41758.008657407408</v>
      </c>
      <c r="HN86" s="116"/>
      <c r="HO86" s="116" t="s">
        <v>445</v>
      </c>
      <c r="HP86" s="116">
        <v>5</v>
      </c>
      <c r="HQ86" s="143" t="s">
        <v>486</v>
      </c>
      <c r="HS86" s="116" t="s">
        <v>446</v>
      </c>
      <c r="HT86" s="116">
        <v>14</v>
      </c>
      <c r="HU86" s="124">
        <v>2037</v>
      </c>
      <c r="HV86" s="124" t="s">
        <v>530</v>
      </c>
      <c r="HW86" s="137" t="s">
        <v>532</v>
      </c>
      <c r="HX86" s="124">
        <v>10</v>
      </c>
      <c r="HY86" s="124">
        <v>2021</v>
      </c>
      <c r="HZ86" s="137" t="s">
        <v>452</v>
      </c>
      <c r="ID86" s="137" t="s">
        <v>519</v>
      </c>
      <c r="IF86" s="137" t="s">
        <v>723</v>
      </c>
      <c r="IG86" s="117" t="s">
        <v>1133</v>
      </c>
      <c r="IH86" s="140"/>
      <c r="II86" s="124">
        <v>800</v>
      </c>
      <c r="IK86" s="142"/>
      <c r="IL86" s="117" t="s">
        <v>1185</v>
      </c>
      <c r="IM86" s="124" t="s">
        <v>437</v>
      </c>
      <c r="IN86" s="137" t="s">
        <v>438</v>
      </c>
      <c r="IR86" s="142"/>
      <c r="IT86" s="116" t="s">
        <v>439</v>
      </c>
      <c r="IU86" s="116" t="s">
        <v>1138</v>
      </c>
      <c r="IV86" s="124" t="s">
        <v>447</v>
      </c>
      <c r="IW86" s="116" t="s">
        <v>1136</v>
      </c>
      <c r="IX86" s="116" t="s">
        <v>442</v>
      </c>
      <c r="IY86" s="116">
        <v>16</v>
      </c>
      <c r="IZ86" s="116">
        <v>1990</v>
      </c>
      <c r="JA86" s="116" t="s">
        <v>78</v>
      </c>
      <c r="JB86" s="117" t="s">
        <v>443</v>
      </c>
      <c r="JC86" s="124">
        <v>123456</v>
      </c>
      <c r="JD86" s="124">
        <v>123456</v>
      </c>
      <c r="JE86" s="116" t="s">
        <v>490</v>
      </c>
      <c r="JF86" s="116">
        <v>15</v>
      </c>
      <c r="JG86" s="116">
        <v>2034</v>
      </c>
      <c r="JH86" s="116" t="s">
        <v>1137</v>
      </c>
      <c r="JI86" s="117" t="s">
        <v>1134</v>
      </c>
      <c r="JJ86" s="117" t="s">
        <v>1134</v>
      </c>
      <c r="JK86" s="137" t="s">
        <v>809</v>
      </c>
      <c r="JL86" s="137" t="s">
        <v>809</v>
      </c>
      <c r="JM86" s="124" t="s">
        <v>449</v>
      </c>
      <c r="JN86" s="137">
        <v>456</v>
      </c>
      <c r="JO86" s="124" t="s">
        <v>530</v>
      </c>
      <c r="JP86" s="177" t="s">
        <v>1156</v>
      </c>
      <c r="JQ86" s="117" t="s">
        <v>1157</v>
      </c>
      <c r="JR86" s="117" t="s">
        <v>453</v>
      </c>
      <c r="JS86" s="117" t="s">
        <v>194</v>
      </c>
      <c r="JU86" s="124" t="s">
        <v>441</v>
      </c>
      <c r="JV86" s="124">
        <v>108</v>
      </c>
      <c r="JW86" s="116">
        <v>10</v>
      </c>
      <c r="JX86" s="116">
        <v>2022</v>
      </c>
      <c r="JY86" s="137" t="s">
        <v>451</v>
      </c>
      <c r="JZ86" s="137" t="s">
        <v>452</v>
      </c>
      <c r="KA86" s="142">
        <v>1278.98</v>
      </c>
      <c r="KB86" s="113" t="s">
        <v>489</v>
      </c>
      <c r="KI86" s="123">
        <v>41762.565694444442</v>
      </c>
      <c r="KJ86" s="123">
        <v>41762.571250000001</v>
      </c>
      <c r="KK86" s="116" t="s">
        <v>1032</v>
      </c>
      <c r="KQ86" s="116"/>
      <c r="LP86" s="116"/>
      <c r="LS86" s="117" t="s">
        <v>1184</v>
      </c>
      <c r="LV86" s="116"/>
      <c r="LW86" s="116"/>
      <c r="MC86" s="116"/>
      <c r="NU86" s="116"/>
      <c r="NV86" s="116"/>
      <c r="NW86" s="116"/>
      <c r="NX86" s="116"/>
      <c r="NZ86" s="116"/>
      <c r="OA86" s="124" t="s">
        <v>58</v>
      </c>
      <c r="OB86" s="234" t="s">
        <v>351</v>
      </c>
      <c r="OC86" s="124" t="s">
        <v>22</v>
      </c>
      <c r="OD86" s="116" t="s">
        <v>22</v>
      </c>
      <c r="OF86" s="137"/>
    </row>
    <row r="87" spans="1:396" ht="75">
      <c r="B87" s="37">
        <v>1</v>
      </c>
      <c r="C87" s="38" t="s">
        <v>889</v>
      </c>
      <c r="E87" s="22"/>
      <c r="F87" s="23"/>
      <c r="G87" s="23"/>
      <c r="P87" s="22" t="s">
        <v>726</v>
      </c>
      <c r="AS87" s="22" t="s">
        <v>58</v>
      </c>
      <c r="AT87" s="22" t="s">
        <v>351</v>
      </c>
      <c r="AW87" s="21"/>
      <c r="ES87" s="116" t="s">
        <v>449</v>
      </c>
      <c r="GU87" s="169"/>
      <c r="GV87" s="169"/>
      <c r="HA87" s="21">
        <v>800</v>
      </c>
      <c r="HB87" s="21">
        <v>899.99</v>
      </c>
      <c r="HC87" s="22" t="s">
        <v>895</v>
      </c>
      <c r="HD87" s="40" t="s">
        <v>716</v>
      </c>
      <c r="HF87" s="21" t="s">
        <v>456</v>
      </c>
      <c r="HG87" s="21" t="s">
        <v>528</v>
      </c>
      <c r="HH87" s="21" t="s">
        <v>69</v>
      </c>
      <c r="HI87" s="21">
        <v>400</v>
      </c>
      <c r="HJ87" s="21" t="s">
        <v>899</v>
      </c>
      <c r="HK87" s="21" t="s">
        <v>900</v>
      </c>
      <c r="HL87" s="21" t="s">
        <v>901</v>
      </c>
      <c r="HM87" s="21" t="s">
        <v>902</v>
      </c>
      <c r="HO87" s="22">
        <v>25</v>
      </c>
      <c r="HP87" s="21" t="s">
        <v>442</v>
      </c>
      <c r="HQ87" s="21">
        <v>1985</v>
      </c>
      <c r="HR87" s="22" t="s">
        <v>452</v>
      </c>
      <c r="HS87" s="21">
        <v>11</v>
      </c>
      <c r="HT87" s="116">
        <v>15</v>
      </c>
      <c r="HU87" s="21">
        <v>2041</v>
      </c>
      <c r="HV87" s="21" t="s">
        <v>530</v>
      </c>
      <c r="HW87" s="22" t="s">
        <v>695</v>
      </c>
      <c r="HX87" s="22" t="s">
        <v>461</v>
      </c>
      <c r="HY87" s="22" t="s">
        <v>462</v>
      </c>
      <c r="HZ87" s="22" t="s">
        <v>452</v>
      </c>
      <c r="IA87" s="22"/>
      <c r="IB87" s="22"/>
      <c r="IC87" s="22"/>
      <c r="IF87" s="22" t="s">
        <v>528</v>
      </c>
      <c r="IG87" s="22" t="s">
        <v>69</v>
      </c>
      <c r="IH87" s="21" t="s">
        <v>896</v>
      </c>
      <c r="II87" s="116">
        <v>1250</v>
      </c>
      <c r="IJ87" s="21" t="s">
        <v>897</v>
      </c>
      <c r="IK87" s="21" t="s">
        <v>898</v>
      </c>
      <c r="IL87" s="22" t="s">
        <v>535</v>
      </c>
      <c r="IM87" s="22" t="s">
        <v>457</v>
      </c>
      <c r="IN87" s="22" t="s">
        <v>438</v>
      </c>
      <c r="IP87" s="41">
        <v>41767</v>
      </c>
      <c r="IQ87" s="21" t="s">
        <v>788</v>
      </c>
      <c r="IS87" s="21" t="s">
        <v>903</v>
      </c>
      <c r="IT87" s="21" t="s">
        <v>439</v>
      </c>
      <c r="IU87" s="116" t="s">
        <v>982</v>
      </c>
      <c r="IV87" s="21" t="s">
        <v>447</v>
      </c>
      <c r="IW87" s="116" t="s">
        <v>471</v>
      </c>
      <c r="JA87" s="21" t="s">
        <v>78</v>
      </c>
      <c r="JB87" s="22" t="s">
        <v>489</v>
      </c>
      <c r="JC87" s="21">
        <v>123456</v>
      </c>
      <c r="JD87" s="21">
        <v>123456</v>
      </c>
      <c r="JH87" s="21" t="s">
        <v>448</v>
      </c>
      <c r="JI87" s="22" t="s">
        <v>536</v>
      </c>
      <c r="JJ87" s="22" t="s">
        <v>536</v>
      </c>
      <c r="JK87" s="42" t="s">
        <v>857</v>
      </c>
      <c r="JL87" s="42" t="s">
        <v>857</v>
      </c>
      <c r="JM87" s="21" t="s">
        <v>449</v>
      </c>
      <c r="JN87" s="22">
        <v>456</v>
      </c>
      <c r="JO87" s="21" t="s">
        <v>530</v>
      </c>
      <c r="JQ87" s="22" t="s">
        <v>515</v>
      </c>
      <c r="JR87" s="22" t="s">
        <v>453</v>
      </c>
      <c r="JS87" s="22" t="s">
        <v>194</v>
      </c>
      <c r="JT87" s="21" t="s">
        <v>440</v>
      </c>
      <c r="JU87" s="21" t="s">
        <v>441</v>
      </c>
      <c r="JV87" s="21">
        <v>108</v>
      </c>
      <c r="JY87" s="22" t="s">
        <v>451</v>
      </c>
      <c r="JZ87" s="22" t="s">
        <v>452</v>
      </c>
      <c r="KA87" s="47">
        <v>899.99</v>
      </c>
      <c r="KC87" s="22" t="s">
        <v>904</v>
      </c>
      <c r="KI87" s="28">
        <v>41758.415763888886</v>
      </c>
      <c r="KJ87" s="28">
        <v>41758.431840277779</v>
      </c>
      <c r="KK87" s="21" t="s">
        <v>894</v>
      </c>
      <c r="LS87" s="22" t="s">
        <v>856</v>
      </c>
      <c r="OA87" s="22" t="s">
        <v>58</v>
      </c>
      <c r="OB87" s="22" t="s">
        <v>351</v>
      </c>
      <c r="OC87" s="21" t="s">
        <v>22</v>
      </c>
    </row>
    <row r="88" spans="1:396" ht="75">
      <c r="B88" s="37">
        <v>2</v>
      </c>
      <c r="C88" s="38" t="s">
        <v>889</v>
      </c>
      <c r="F88" s="23"/>
      <c r="G88" s="23"/>
      <c r="P88" s="22" t="s">
        <v>726</v>
      </c>
      <c r="AS88" s="22" t="s">
        <v>58</v>
      </c>
      <c r="AT88" s="22" t="s">
        <v>351</v>
      </c>
      <c r="AW88" s="21"/>
      <c r="GU88" s="169"/>
      <c r="GV88" s="169"/>
      <c r="HA88" s="21">
        <v>800</v>
      </c>
      <c r="HB88" s="21">
        <v>899.99</v>
      </c>
      <c r="HC88" s="22" t="s">
        <v>895</v>
      </c>
      <c r="HD88" s="40" t="s">
        <v>716</v>
      </c>
      <c r="HO88" s="22">
        <v>25</v>
      </c>
      <c r="HP88" s="21" t="s">
        <v>442</v>
      </c>
      <c r="HQ88" s="21">
        <v>1985</v>
      </c>
      <c r="HR88" s="22" t="s">
        <v>452</v>
      </c>
      <c r="HS88" s="21">
        <v>11</v>
      </c>
      <c r="HT88" s="116">
        <v>16</v>
      </c>
      <c r="HU88" s="21">
        <v>2041</v>
      </c>
      <c r="HV88" s="21" t="s">
        <v>530</v>
      </c>
      <c r="HW88" s="22" t="s">
        <v>532</v>
      </c>
      <c r="HX88" s="22" t="s">
        <v>461</v>
      </c>
      <c r="HY88" s="22" t="s">
        <v>462</v>
      </c>
      <c r="HZ88" s="22" t="s">
        <v>452</v>
      </c>
      <c r="IA88" s="22"/>
      <c r="IB88" s="22"/>
      <c r="IC88" s="22"/>
      <c r="IF88" s="22" t="s">
        <v>528</v>
      </c>
      <c r="IG88" s="22" t="s">
        <v>69</v>
      </c>
      <c r="IH88" s="21" t="s">
        <v>83</v>
      </c>
      <c r="II88" s="21">
        <v>800</v>
      </c>
      <c r="IJ88" s="21" t="s">
        <v>84</v>
      </c>
      <c r="IK88" s="21">
        <v>899.99</v>
      </c>
      <c r="IL88" s="22" t="s">
        <v>535</v>
      </c>
      <c r="IM88" s="22" t="s">
        <v>457</v>
      </c>
      <c r="IN88" s="22" t="s">
        <v>438</v>
      </c>
      <c r="IP88" s="41">
        <v>41767</v>
      </c>
      <c r="IQ88" s="21" t="s">
        <v>788</v>
      </c>
      <c r="IS88" s="21" t="s">
        <v>903</v>
      </c>
      <c r="IT88" s="21" t="s">
        <v>439</v>
      </c>
      <c r="IU88" s="21" t="s">
        <v>440</v>
      </c>
      <c r="IV88" s="21" t="s">
        <v>447</v>
      </c>
      <c r="IW88" s="116" t="s">
        <v>472</v>
      </c>
      <c r="JA88" s="21" t="s">
        <v>78</v>
      </c>
      <c r="JB88" s="22" t="s">
        <v>489</v>
      </c>
      <c r="JC88" s="21">
        <v>123456</v>
      </c>
      <c r="JD88" s="21">
        <v>123456</v>
      </c>
      <c r="JH88" s="21" t="s">
        <v>448</v>
      </c>
      <c r="JI88" s="22" t="s">
        <v>536</v>
      </c>
      <c r="JJ88" s="22" t="s">
        <v>536</v>
      </c>
      <c r="JK88" s="42" t="s">
        <v>857</v>
      </c>
      <c r="JL88" s="42" t="s">
        <v>857</v>
      </c>
      <c r="JM88" s="21" t="s">
        <v>449</v>
      </c>
      <c r="JN88" s="22">
        <v>456</v>
      </c>
      <c r="JO88" s="21" t="s">
        <v>530</v>
      </c>
      <c r="JQ88" s="22" t="s">
        <v>515</v>
      </c>
      <c r="JR88" s="22" t="s">
        <v>453</v>
      </c>
      <c r="JS88" s="22" t="s">
        <v>194</v>
      </c>
      <c r="JT88" s="21" t="s">
        <v>440</v>
      </c>
      <c r="JU88" s="21" t="s">
        <v>441</v>
      </c>
      <c r="JV88" s="21">
        <v>108</v>
      </c>
      <c r="JY88" s="22" t="s">
        <v>451</v>
      </c>
      <c r="JZ88" s="22" t="s">
        <v>452</v>
      </c>
      <c r="KA88" s="21">
        <v>899.99</v>
      </c>
      <c r="KC88" s="22"/>
      <c r="KI88" s="28">
        <v>41758.432210648149</v>
      </c>
      <c r="KJ88" s="28">
        <v>41758.449340277781</v>
      </c>
      <c r="KK88" s="21" t="s">
        <v>905</v>
      </c>
      <c r="LS88" s="22" t="s">
        <v>856</v>
      </c>
      <c r="OA88" s="22" t="s">
        <v>58</v>
      </c>
      <c r="OB88" s="22" t="s">
        <v>351</v>
      </c>
      <c r="OC88" s="21" t="s">
        <v>22</v>
      </c>
    </row>
    <row r="89" spans="1:396">
      <c r="B89" s="37">
        <v>1</v>
      </c>
      <c r="C89" s="38" t="s">
        <v>890</v>
      </c>
      <c r="F89" s="23"/>
      <c r="G89" s="23"/>
      <c r="AS89" s="83" t="s">
        <v>58</v>
      </c>
      <c r="AT89" s="18" t="s">
        <v>351</v>
      </c>
      <c r="AW89" s="21"/>
      <c r="GU89" s="169"/>
      <c r="GV89" s="169"/>
      <c r="IF89" s="84" t="s">
        <v>528</v>
      </c>
      <c r="IG89" s="84" t="s">
        <v>470</v>
      </c>
      <c r="IH89" s="83" t="s">
        <v>844</v>
      </c>
      <c r="II89" s="83">
        <v>600</v>
      </c>
      <c r="IJ89" s="83" t="s">
        <v>845</v>
      </c>
      <c r="IK89" s="83" t="s">
        <v>907</v>
      </c>
      <c r="IL89" s="83" t="s">
        <v>450</v>
      </c>
      <c r="IM89" s="83" t="s">
        <v>437</v>
      </c>
      <c r="IN89" s="84" t="s">
        <v>438</v>
      </c>
      <c r="IO89" s="83"/>
      <c r="IP89" s="85">
        <v>41767</v>
      </c>
      <c r="IQ89" s="83"/>
      <c r="IR89" s="83"/>
      <c r="IS89" s="83"/>
      <c r="KI89" s="28">
        <v>41758.449571759258</v>
      </c>
      <c r="KJ89" s="28">
        <v>41758.450995370367</v>
      </c>
      <c r="KK89" s="21" t="s">
        <v>906</v>
      </c>
      <c r="LS89" s="84" t="s">
        <v>856</v>
      </c>
      <c r="LT89" s="83"/>
      <c r="OA89" s="83" t="s">
        <v>58</v>
      </c>
      <c r="OB89" s="18" t="s">
        <v>351</v>
      </c>
      <c r="OC89" s="83" t="s">
        <v>22</v>
      </c>
    </row>
    <row r="90" spans="1:396">
      <c r="B90" s="37">
        <v>1</v>
      </c>
      <c r="C90" s="38" t="s">
        <v>891</v>
      </c>
      <c r="F90" s="23"/>
      <c r="G90" s="23"/>
      <c r="AS90" s="83" t="s">
        <v>58</v>
      </c>
      <c r="AT90" s="18" t="s">
        <v>351</v>
      </c>
      <c r="AW90" s="21"/>
      <c r="GU90" s="169"/>
      <c r="GV90" s="169"/>
      <c r="IF90" s="84" t="s">
        <v>528</v>
      </c>
      <c r="IG90" s="84" t="s">
        <v>470</v>
      </c>
      <c r="IH90" s="83" t="s">
        <v>831</v>
      </c>
      <c r="II90" s="83">
        <v>600</v>
      </c>
      <c r="IJ90" s="83" t="s">
        <v>832</v>
      </c>
      <c r="IK90" s="83" t="s">
        <v>909</v>
      </c>
      <c r="IL90" s="83" t="s">
        <v>450</v>
      </c>
      <c r="IM90" s="83" t="s">
        <v>437</v>
      </c>
      <c r="IN90" s="84" t="s">
        <v>438</v>
      </c>
      <c r="IO90" s="83"/>
      <c r="IP90" s="85">
        <v>41767</v>
      </c>
      <c r="IQ90" s="83"/>
      <c r="IR90" s="83"/>
      <c r="IS90" s="83"/>
      <c r="KI90" s="28">
        <v>41758.451006944444</v>
      </c>
      <c r="KJ90" s="28">
        <v>41758.452696759261</v>
      </c>
      <c r="KK90" s="21" t="s">
        <v>908</v>
      </c>
      <c r="LS90" s="84" t="s">
        <v>856</v>
      </c>
      <c r="LT90" s="83"/>
      <c r="OA90" s="83" t="s">
        <v>58</v>
      </c>
      <c r="OB90" s="18" t="s">
        <v>351</v>
      </c>
      <c r="OC90" s="83" t="s">
        <v>22</v>
      </c>
    </row>
    <row r="91" spans="1:396">
      <c r="B91" s="37">
        <v>1</v>
      </c>
      <c r="C91" s="38" t="s">
        <v>892</v>
      </c>
      <c r="F91" s="23"/>
      <c r="G91" s="23"/>
      <c r="AS91" s="83" t="s">
        <v>58</v>
      </c>
      <c r="AT91" s="18" t="s">
        <v>351</v>
      </c>
      <c r="AW91" s="21"/>
      <c r="GU91" s="169"/>
      <c r="GV91" s="169"/>
      <c r="IF91" s="84" t="s">
        <v>528</v>
      </c>
      <c r="IG91" s="84" t="s">
        <v>470</v>
      </c>
      <c r="IH91" s="83" t="s">
        <v>831</v>
      </c>
      <c r="II91" s="83">
        <v>600</v>
      </c>
      <c r="IJ91" s="83" t="s">
        <v>832</v>
      </c>
      <c r="IK91" s="83" t="s">
        <v>909</v>
      </c>
      <c r="IL91" s="83" t="s">
        <v>450</v>
      </c>
      <c r="IM91" s="83" t="s">
        <v>437</v>
      </c>
      <c r="IN91" s="84" t="s">
        <v>438</v>
      </c>
      <c r="IO91" s="83"/>
      <c r="IP91" s="85">
        <v>41767</v>
      </c>
      <c r="IQ91" s="83"/>
      <c r="IR91" s="83"/>
      <c r="IS91" s="83"/>
      <c r="KI91" s="28">
        <v>41758.452708333331</v>
      </c>
      <c r="KJ91" s="28">
        <v>41758.454143518517</v>
      </c>
      <c r="KK91" s="21" t="s">
        <v>910</v>
      </c>
      <c r="LS91" s="84" t="s">
        <v>856</v>
      </c>
      <c r="LT91" s="83"/>
      <c r="OA91" s="83" t="s">
        <v>58</v>
      </c>
      <c r="OB91" s="18" t="s">
        <v>351</v>
      </c>
      <c r="OC91" s="83" t="s">
        <v>22</v>
      </c>
    </row>
    <row r="92" spans="1:396">
      <c r="B92" s="37">
        <v>1</v>
      </c>
      <c r="C92" s="38" t="s">
        <v>893</v>
      </c>
      <c r="AS92" s="21" t="s">
        <v>58</v>
      </c>
      <c r="AT92" s="21" t="s">
        <v>351</v>
      </c>
      <c r="AW92" s="21"/>
      <c r="GU92" s="169"/>
      <c r="GV92" s="169"/>
      <c r="HC92" s="21" t="s">
        <v>911</v>
      </c>
      <c r="HF92" s="21" t="s">
        <v>456</v>
      </c>
      <c r="HG92" s="21" t="s">
        <v>528</v>
      </c>
      <c r="HH92" s="21" t="s">
        <v>470</v>
      </c>
      <c r="HI92" s="21">
        <v>400</v>
      </c>
      <c r="IF92" s="21" t="s">
        <v>528</v>
      </c>
      <c r="IG92" s="21" t="s">
        <v>69</v>
      </c>
      <c r="II92" s="21">
        <v>500</v>
      </c>
      <c r="KB92" s="113" t="s">
        <v>489</v>
      </c>
      <c r="OA92" s="21" t="s">
        <v>58</v>
      </c>
      <c r="OB92" s="21" t="s">
        <v>351</v>
      </c>
      <c r="OC92" s="21" t="s">
        <v>22</v>
      </c>
    </row>
    <row r="93" spans="1:396">
      <c r="B93" s="37">
        <v>1</v>
      </c>
      <c r="C93" s="93" t="s">
        <v>935</v>
      </c>
      <c r="E93" s="22"/>
      <c r="F93" s="23"/>
      <c r="G93" s="23"/>
      <c r="AW93" s="21"/>
      <c r="GU93" s="169"/>
      <c r="GV93" s="169"/>
      <c r="KI93" s="28">
        <v>42046.767129629632</v>
      </c>
      <c r="KJ93" s="28">
        <v>42046.767557870371</v>
      </c>
      <c r="KK93" s="21" t="s">
        <v>1355</v>
      </c>
      <c r="OA93" s="83" t="s">
        <v>58</v>
      </c>
      <c r="OB93" s="18" t="s">
        <v>96</v>
      </c>
      <c r="OC93" s="83" t="s">
        <v>22</v>
      </c>
      <c r="OD93" s="114" t="s">
        <v>489</v>
      </c>
    </row>
    <row r="94" spans="1:396">
      <c r="B94" s="37">
        <v>1</v>
      </c>
      <c r="C94" s="93" t="s">
        <v>936</v>
      </c>
      <c r="E94" s="114"/>
      <c r="F94" s="23"/>
      <c r="G94" s="23"/>
      <c r="AW94" s="21"/>
      <c r="GU94" s="169"/>
      <c r="GV94" s="169"/>
      <c r="KI94" s="28">
        <v>42046.795763888891</v>
      </c>
      <c r="KJ94" s="28">
        <v>42046.798043981478</v>
      </c>
      <c r="KK94" s="21" t="s">
        <v>1366</v>
      </c>
      <c r="OA94" s="21" t="s">
        <v>58</v>
      </c>
      <c r="OB94" s="21" t="s">
        <v>96</v>
      </c>
      <c r="OC94" s="21" t="s">
        <v>22</v>
      </c>
      <c r="OD94" s="114" t="s">
        <v>489</v>
      </c>
    </row>
    <row r="95" spans="1:396">
      <c r="B95" s="37">
        <v>1</v>
      </c>
      <c r="C95" s="22" t="s">
        <v>937</v>
      </c>
      <c r="AW95" s="21"/>
      <c r="GU95" s="169"/>
      <c r="GV95" s="169"/>
    </row>
    <row r="96" spans="1:396">
      <c r="B96" s="37">
        <v>1</v>
      </c>
      <c r="C96" s="21" t="s">
        <v>938</v>
      </c>
      <c r="E96" s="114"/>
      <c r="F96" s="23"/>
      <c r="G96" s="23"/>
      <c r="AW96" s="21"/>
      <c r="EE96" s="21" t="s">
        <v>1368</v>
      </c>
      <c r="EF96" s="114"/>
      <c r="FC96" s="21" t="s">
        <v>960</v>
      </c>
      <c r="GU96" s="169"/>
      <c r="GV96" s="169"/>
      <c r="GZ96" s="129"/>
      <c r="KC96" s="21" t="s">
        <v>1359</v>
      </c>
      <c r="KI96" s="28">
        <v>42046.799502314818</v>
      </c>
      <c r="KJ96" s="28">
        <v>42046.800162037034</v>
      </c>
      <c r="KK96" s="21" t="s">
        <v>1369</v>
      </c>
      <c r="NU96" s="130" t="s">
        <v>1007</v>
      </c>
      <c r="NV96" s="129">
        <v>1</v>
      </c>
      <c r="NW96" s="130" t="s">
        <v>159</v>
      </c>
      <c r="NX96" s="130" t="s">
        <v>159</v>
      </c>
      <c r="NZ96" s="22" t="s">
        <v>961</v>
      </c>
      <c r="OA96" s="21" t="s">
        <v>58</v>
      </c>
      <c r="OB96" s="21" t="s">
        <v>96</v>
      </c>
      <c r="OC96" s="21" t="s">
        <v>22</v>
      </c>
      <c r="OD96" s="114" t="s">
        <v>489</v>
      </c>
    </row>
    <row r="97" spans="1:396" ht="30">
      <c r="B97" s="37">
        <v>1</v>
      </c>
      <c r="C97" s="38" t="s">
        <v>965</v>
      </c>
      <c r="D97" s="22"/>
      <c r="F97" s="50"/>
      <c r="G97" s="23"/>
      <c r="AW97" s="21"/>
      <c r="EE97" s="21" t="s">
        <v>976</v>
      </c>
      <c r="EG97" s="102" t="s">
        <v>58</v>
      </c>
      <c r="EH97" s="103" t="s">
        <v>96</v>
      </c>
      <c r="EI97" s="102" t="s">
        <v>22</v>
      </c>
      <c r="EJ97" s="22" t="s">
        <v>59</v>
      </c>
      <c r="EK97" s="21" t="s">
        <v>674</v>
      </c>
      <c r="EY97" s="22" t="s">
        <v>966</v>
      </c>
      <c r="EZ97" s="22" t="s">
        <v>967</v>
      </c>
      <c r="GU97" s="169"/>
      <c r="GV97" s="169"/>
      <c r="HO97" s="22" t="s">
        <v>444</v>
      </c>
      <c r="HP97" s="21" t="s">
        <v>445</v>
      </c>
      <c r="HQ97" s="46" t="s">
        <v>487</v>
      </c>
      <c r="HS97" s="21">
        <v>11</v>
      </c>
      <c r="HT97" s="21" t="s">
        <v>446</v>
      </c>
      <c r="HU97" s="21">
        <v>2037</v>
      </c>
      <c r="HV97" s="21" t="s">
        <v>530</v>
      </c>
      <c r="HW97" s="22" t="s">
        <v>695</v>
      </c>
      <c r="HX97" s="21">
        <v>10</v>
      </c>
      <c r="HY97" s="21">
        <v>2021</v>
      </c>
      <c r="HZ97" s="22" t="b">
        <v>0</v>
      </c>
      <c r="IA97" s="22" t="s">
        <v>838</v>
      </c>
      <c r="IB97" s="22" t="s">
        <v>838</v>
      </c>
      <c r="IC97" s="22" t="s">
        <v>838</v>
      </c>
      <c r="ID97" s="22" t="s">
        <v>519</v>
      </c>
      <c r="IE97" s="21">
        <v>1234</v>
      </c>
      <c r="IF97" s="22" t="s">
        <v>528</v>
      </c>
      <c r="IG97" s="22" t="s">
        <v>470</v>
      </c>
      <c r="IH97" s="21" t="s">
        <v>972</v>
      </c>
      <c r="II97" s="21">
        <v>600</v>
      </c>
      <c r="IJ97" s="21" t="s">
        <v>973</v>
      </c>
      <c r="IK97" s="21" t="s">
        <v>974</v>
      </c>
      <c r="IL97" s="21" t="s">
        <v>450</v>
      </c>
      <c r="IM97" s="21" t="s">
        <v>437</v>
      </c>
      <c r="IN97" s="22" t="s">
        <v>438</v>
      </c>
      <c r="IT97" s="21" t="s">
        <v>439</v>
      </c>
      <c r="IU97" s="21" t="s">
        <v>838</v>
      </c>
      <c r="IV97" s="21" t="s">
        <v>447</v>
      </c>
      <c r="IW97" s="21" t="s">
        <v>838</v>
      </c>
      <c r="JA97" s="21" t="s">
        <v>78</v>
      </c>
      <c r="JB97" s="22" t="s">
        <v>443</v>
      </c>
      <c r="JC97" s="21">
        <v>123456</v>
      </c>
      <c r="JD97" s="21">
        <v>123456</v>
      </c>
      <c r="JH97" s="21" t="s">
        <v>448</v>
      </c>
      <c r="JI97" s="22" t="s">
        <v>529</v>
      </c>
      <c r="JJ97" s="22" t="s">
        <v>529</v>
      </c>
      <c r="JK97" s="22" t="s">
        <v>809</v>
      </c>
      <c r="JL97" s="22" t="s">
        <v>809</v>
      </c>
      <c r="JM97" s="21" t="s">
        <v>449</v>
      </c>
      <c r="JO97" s="21" t="s">
        <v>530</v>
      </c>
      <c r="JQ97" s="22" t="s">
        <v>515</v>
      </c>
      <c r="JR97" s="22" t="s">
        <v>453</v>
      </c>
      <c r="JS97" s="22" t="s">
        <v>194</v>
      </c>
      <c r="JU97" s="21" t="s">
        <v>441</v>
      </c>
      <c r="JV97" s="21">
        <v>108</v>
      </c>
      <c r="JY97" s="22" t="s">
        <v>451</v>
      </c>
      <c r="JZ97" s="22" t="s">
        <v>452</v>
      </c>
      <c r="KA97" s="21">
        <v>697.09</v>
      </c>
      <c r="KC97" s="21" t="s">
        <v>975</v>
      </c>
      <c r="KI97" s="28">
        <v>41759.598506944443</v>
      </c>
      <c r="KJ97" s="28">
        <v>41759.603946759256</v>
      </c>
      <c r="KK97" s="21" t="s">
        <v>977</v>
      </c>
      <c r="KQ97" s="42" t="s">
        <v>715</v>
      </c>
      <c r="LS97" s="22" t="s">
        <v>812</v>
      </c>
      <c r="OA97" s="79" t="s">
        <v>58</v>
      </c>
      <c r="OB97" s="79" t="s">
        <v>351</v>
      </c>
      <c r="OC97" s="21" t="s">
        <v>22</v>
      </c>
      <c r="OD97" s="114" t="s">
        <v>489</v>
      </c>
    </row>
    <row r="98" spans="1:396" ht="30">
      <c r="B98" s="37">
        <v>1</v>
      </c>
      <c r="C98" s="38" t="s">
        <v>838</v>
      </c>
      <c r="F98" s="23"/>
      <c r="G98" s="23"/>
      <c r="AW98" s="21"/>
      <c r="EG98" s="12" t="s">
        <v>58</v>
      </c>
      <c r="EH98" s="12" t="s">
        <v>96</v>
      </c>
      <c r="EI98" s="21" t="s">
        <v>22</v>
      </c>
      <c r="EJ98" s="22" t="s">
        <v>59</v>
      </c>
      <c r="EK98" s="21" t="s">
        <v>674</v>
      </c>
      <c r="EZ98" s="21" t="s">
        <v>1109</v>
      </c>
      <c r="FC98" s="21" t="s">
        <v>1117</v>
      </c>
      <c r="GU98" s="169"/>
      <c r="GV98" s="169"/>
      <c r="KI98" s="28">
        <v>41759.575659722221</v>
      </c>
      <c r="KJ98" s="28">
        <v>41759.576597222222</v>
      </c>
      <c r="KK98" s="21" t="s">
        <v>970</v>
      </c>
      <c r="KQ98" s="22" t="s">
        <v>715</v>
      </c>
      <c r="OA98" s="21" t="s">
        <v>58</v>
      </c>
      <c r="OB98" s="21" t="s">
        <v>351</v>
      </c>
      <c r="OC98" s="21" t="s">
        <v>22</v>
      </c>
      <c r="OD98" s="114" t="s">
        <v>489</v>
      </c>
    </row>
    <row r="99" spans="1:396" ht="39.75" customHeight="1">
      <c r="B99" s="37">
        <v>1</v>
      </c>
      <c r="C99" s="40" t="s">
        <v>978</v>
      </c>
      <c r="E99" s="114"/>
      <c r="F99" s="23"/>
      <c r="G99" s="23"/>
      <c r="AW99" s="21"/>
      <c r="ED99" s="113"/>
      <c r="EL99" s="21">
        <v>5</v>
      </c>
      <c r="EM99" s="21" t="s">
        <v>1085</v>
      </c>
      <c r="EN99" s="21">
        <v>1988</v>
      </c>
      <c r="EO99" s="21">
        <v>1</v>
      </c>
      <c r="EP99" s="21" t="s">
        <v>1082</v>
      </c>
      <c r="EQ99" s="21">
        <v>2020</v>
      </c>
      <c r="ER99" s="21">
        <v>123</v>
      </c>
      <c r="ES99" s="21" t="s">
        <v>460</v>
      </c>
      <c r="ET99" s="21">
        <v>23456723</v>
      </c>
      <c r="EU99" s="21">
        <v>60000</v>
      </c>
      <c r="EV99" s="21" t="s">
        <v>1089</v>
      </c>
      <c r="EW99" s="21">
        <v>10</v>
      </c>
      <c r="EX99" s="21">
        <v>2018</v>
      </c>
      <c r="EY99" s="114" t="s">
        <v>1163</v>
      </c>
      <c r="EZ99" s="21" t="s">
        <v>1162</v>
      </c>
      <c r="FA99" s="114" t="s">
        <v>1164</v>
      </c>
      <c r="FB99" s="114" t="s">
        <v>1165</v>
      </c>
      <c r="FC99" s="114" t="s">
        <v>980</v>
      </c>
      <c r="GU99" s="169"/>
      <c r="GV99" s="169"/>
      <c r="HF99" s="108" t="s">
        <v>456</v>
      </c>
      <c r="HG99" s="114"/>
      <c r="HH99" s="114" t="s">
        <v>74</v>
      </c>
      <c r="HI99" s="109">
        <v>400</v>
      </c>
      <c r="HJ99" s="21" t="s">
        <v>1357</v>
      </c>
      <c r="HK99" s="21" t="s">
        <v>1363</v>
      </c>
      <c r="HL99" s="21" t="s">
        <v>1356</v>
      </c>
      <c r="HM99" s="21" t="s">
        <v>1362</v>
      </c>
      <c r="HO99" s="114" t="s">
        <v>444</v>
      </c>
      <c r="HP99" s="113" t="s">
        <v>445</v>
      </c>
      <c r="HQ99" s="115" t="s">
        <v>487</v>
      </c>
      <c r="HR99" s="112"/>
      <c r="HS99" s="113">
        <v>11</v>
      </c>
      <c r="HT99" s="113" t="s">
        <v>446</v>
      </c>
      <c r="HU99" s="113">
        <v>2037</v>
      </c>
      <c r="HV99" s="113" t="s">
        <v>530</v>
      </c>
      <c r="HW99" s="114" t="s">
        <v>695</v>
      </c>
      <c r="HX99" s="113">
        <v>10</v>
      </c>
      <c r="HY99" s="113">
        <v>2021</v>
      </c>
      <c r="HZ99" s="114" t="b">
        <v>1</v>
      </c>
      <c r="IA99" s="114" t="s">
        <v>838</v>
      </c>
      <c r="IB99" s="114" t="s">
        <v>838</v>
      </c>
      <c r="IC99" s="114" t="s">
        <v>838</v>
      </c>
      <c r="ID99" s="114" t="s">
        <v>519</v>
      </c>
      <c r="IE99" s="113">
        <v>1234</v>
      </c>
      <c r="IF99" s="114" t="s">
        <v>528</v>
      </c>
      <c r="IG99" s="114" t="s">
        <v>68</v>
      </c>
      <c r="IH99" s="107" t="s">
        <v>1356</v>
      </c>
      <c r="II99" s="107">
        <v>400</v>
      </c>
      <c r="IJ99" s="107" t="s">
        <v>1360</v>
      </c>
      <c r="IK99" s="107" t="s">
        <v>1361</v>
      </c>
      <c r="IL99" s="110" t="s">
        <v>1185</v>
      </c>
      <c r="IM99" s="110" t="s">
        <v>437</v>
      </c>
      <c r="IN99" s="111" t="s">
        <v>438</v>
      </c>
      <c r="IT99" s="113" t="s">
        <v>439</v>
      </c>
      <c r="IU99" s="113" t="s">
        <v>473</v>
      </c>
      <c r="IV99" s="113" t="s">
        <v>447</v>
      </c>
      <c r="IW99" s="113" t="s">
        <v>1168</v>
      </c>
      <c r="IX99" s="21" t="s">
        <v>442</v>
      </c>
      <c r="IY99" s="21">
        <v>14</v>
      </c>
      <c r="IZ99" s="21">
        <v>1988</v>
      </c>
      <c r="JA99" s="113" t="s">
        <v>78</v>
      </c>
      <c r="JB99" s="114" t="s">
        <v>443</v>
      </c>
      <c r="JC99" s="113">
        <v>123456</v>
      </c>
      <c r="JD99" s="113">
        <v>123456</v>
      </c>
      <c r="JE99" s="21" t="s">
        <v>442</v>
      </c>
      <c r="JF99" s="21">
        <v>14</v>
      </c>
      <c r="JG99" s="21">
        <v>2033</v>
      </c>
      <c r="JH99" s="113" t="s">
        <v>1137</v>
      </c>
      <c r="JI99" s="114">
        <v>9898989898</v>
      </c>
      <c r="JJ99" s="114">
        <v>9898989898</v>
      </c>
      <c r="JK99" s="114" t="s">
        <v>809</v>
      </c>
      <c r="JL99" s="114" t="s">
        <v>809</v>
      </c>
      <c r="JM99" s="113" t="s">
        <v>449</v>
      </c>
      <c r="JN99" s="21">
        <v>456</v>
      </c>
      <c r="JO99" s="113" t="s">
        <v>530</v>
      </c>
      <c r="JP99" s="21" t="s">
        <v>1156</v>
      </c>
      <c r="JQ99" s="114" t="s">
        <v>1157</v>
      </c>
      <c r="JR99" s="114" t="s">
        <v>453</v>
      </c>
      <c r="JS99" s="114" t="s">
        <v>194</v>
      </c>
      <c r="JT99" s="112"/>
      <c r="JU99" s="113" t="s">
        <v>441</v>
      </c>
      <c r="JV99" s="113">
        <v>108</v>
      </c>
      <c r="JW99" s="21">
        <v>10</v>
      </c>
      <c r="JX99" s="21">
        <v>2019</v>
      </c>
      <c r="JY99" s="114" t="b">
        <v>0</v>
      </c>
      <c r="JZ99" s="114" t="b">
        <v>1</v>
      </c>
      <c r="KA99" s="47">
        <v>1091.83</v>
      </c>
      <c r="KC99" s="114" t="s">
        <v>1364</v>
      </c>
      <c r="KI99" s="28">
        <v>42046.772615740738</v>
      </c>
      <c r="KJ99" s="28">
        <v>42046.777395833335</v>
      </c>
      <c r="KK99" s="21" t="s">
        <v>1365</v>
      </c>
      <c r="LS99" s="114" t="s">
        <v>1184</v>
      </c>
      <c r="OA99" s="105" t="s">
        <v>58</v>
      </c>
      <c r="OB99" s="105" t="s">
        <v>351</v>
      </c>
      <c r="OC99" s="104" t="s">
        <v>22</v>
      </c>
      <c r="OD99" s="114" t="s">
        <v>489</v>
      </c>
      <c r="OF99" s="106"/>
    </row>
    <row r="100" spans="1:396">
      <c r="B100" s="37">
        <v>1</v>
      </c>
      <c r="C100" s="29" t="s">
        <v>979</v>
      </c>
      <c r="F100" s="23"/>
      <c r="G100" s="23"/>
      <c r="AW100" s="21"/>
      <c r="ED100" s="21">
        <v>2</v>
      </c>
      <c r="EL100" s="21">
        <v>5</v>
      </c>
      <c r="EM100" s="21" t="s">
        <v>1085</v>
      </c>
      <c r="EN100" s="21">
        <v>1988</v>
      </c>
      <c r="EO100" s="21">
        <v>1</v>
      </c>
      <c r="EP100" s="21" t="s">
        <v>1082</v>
      </c>
      <c r="EQ100" s="21">
        <v>2020</v>
      </c>
      <c r="ER100" s="21">
        <v>123</v>
      </c>
      <c r="ES100" s="21" t="s">
        <v>460</v>
      </c>
      <c r="ET100" s="21">
        <v>23456723</v>
      </c>
      <c r="EU100" s="21">
        <v>60000</v>
      </c>
      <c r="EV100" s="21" t="s">
        <v>1089</v>
      </c>
      <c r="EW100" s="21">
        <v>10</v>
      </c>
      <c r="EX100" s="21">
        <v>2018</v>
      </c>
      <c r="FB100" s="21" t="s">
        <v>530</v>
      </c>
      <c r="FC100" s="114" t="s">
        <v>980</v>
      </c>
      <c r="FD100" s="21" t="s">
        <v>1099</v>
      </c>
      <c r="FE100" s="21" t="s">
        <v>449</v>
      </c>
      <c r="FF100" s="21">
        <v>456</v>
      </c>
      <c r="FG100" s="21" t="s">
        <v>530</v>
      </c>
      <c r="FH100" s="21">
        <v>4812</v>
      </c>
      <c r="GU100" s="169"/>
      <c r="GV100" s="169"/>
      <c r="HW100" s="21" t="s">
        <v>695</v>
      </c>
      <c r="IT100" s="21" t="s">
        <v>1079</v>
      </c>
      <c r="IU100" s="21" t="s">
        <v>838</v>
      </c>
      <c r="IV100" s="21" t="s">
        <v>447</v>
      </c>
      <c r="IW100" s="21" t="s">
        <v>838</v>
      </c>
      <c r="JA100" s="21" t="s">
        <v>1080</v>
      </c>
      <c r="JB100" s="21" t="s">
        <v>1081</v>
      </c>
      <c r="JC100" s="21">
        <v>123456</v>
      </c>
      <c r="JD100" s="21">
        <v>123456</v>
      </c>
      <c r="JH100" s="21" t="s">
        <v>448</v>
      </c>
      <c r="JI100" s="21">
        <v>989898989</v>
      </c>
      <c r="JJ100" s="21">
        <v>989898989</v>
      </c>
      <c r="JK100" s="21" t="s">
        <v>809</v>
      </c>
      <c r="JL100" s="21" t="s">
        <v>809</v>
      </c>
      <c r="JR100" s="21" t="s">
        <v>453</v>
      </c>
      <c r="JS100" s="21">
        <v>4111111111111110</v>
      </c>
      <c r="JU100" s="21" t="s">
        <v>441</v>
      </c>
      <c r="JV100" s="21">
        <v>108</v>
      </c>
      <c r="JY100" s="21" t="b">
        <v>0</v>
      </c>
      <c r="JZ100" s="21" t="b">
        <v>1</v>
      </c>
      <c r="KA100" s="21">
        <v>691.09</v>
      </c>
      <c r="KD100" s="21" t="s">
        <v>1110</v>
      </c>
      <c r="KE100" s="21" t="s">
        <v>449</v>
      </c>
      <c r="KI100" s="28">
        <v>42046.798090277778</v>
      </c>
      <c r="KJ100" s="28">
        <v>42046.799490740741</v>
      </c>
      <c r="KK100" s="21" t="s">
        <v>1367</v>
      </c>
      <c r="OA100" s="18" t="s">
        <v>58</v>
      </c>
      <c r="OB100" s="12" t="s">
        <v>96</v>
      </c>
      <c r="OC100" s="21" t="s">
        <v>22</v>
      </c>
      <c r="OD100" s="114" t="s">
        <v>489</v>
      </c>
    </row>
    <row r="101" spans="1:396">
      <c r="B101" s="37">
        <v>1</v>
      </c>
      <c r="C101" s="55" t="s">
        <v>993</v>
      </c>
      <c r="D101" s="114"/>
      <c r="F101" s="23"/>
      <c r="G101" s="23"/>
      <c r="AW101" s="21"/>
      <c r="GU101" s="169"/>
      <c r="GV101" s="169"/>
      <c r="KI101" s="28">
        <v>41776.83457175926</v>
      </c>
      <c r="KJ101" s="28">
        <v>41776.835335648146</v>
      </c>
      <c r="KK101" s="21" t="s">
        <v>1144</v>
      </c>
      <c r="NU101" s="21" t="s">
        <v>310</v>
      </c>
      <c r="NV101" s="21">
        <v>15</v>
      </c>
      <c r="NW101" s="21" t="s">
        <v>159</v>
      </c>
      <c r="NX101" s="21" t="s">
        <v>198</v>
      </c>
      <c r="NZ101" s="21" t="s">
        <v>1141</v>
      </c>
      <c r="OA101" s="105" t="s">
        <v>58</v>
      </c>
      <c r="OB101" s="105" t="s">
        <v>96</v>
      </c>
      <c r="OC101" s="21" t="s">
        <v>22</v>
      </c>
      <c r="OD101" s="114" t="s">
        <v>489</v>
      </c>
    </row>
    <row r="102" spans="1:396" s="113" customFormat="1">
      <c r="A102" s="36"/>
      <c r="B102" s="37">
        <v>1</v>
      </c>
      <c r="C102" s="40" t="s">
        <v>1007</v>
      </c>
      <c r="E102" s="114"/>
      <c r="F102" s="23"/>
      <c r="G102" s="23"/>
      <c r="EL102" s="113" t="s">
        <v>442</v>
      </c>
      <c r="EM102" s="113">
        <v>14</v>
      </c>
      <c r="EN102" s="113">
        <v>1988</v>
      </c>
      <c r="EO102" s="113" t="s">
        <v>442</v>
      </c>
      <c r="EP102" s="113">
        <v>14</v>
      </c>
      <c r="EQ102" s="113">
        <v>2033</v>
      </c>
      <c r="ER102" s="113" t="s">
        <v>449</v>
      </c>
      <c r="ES102" s="113">
        <v>456</v>
      </c>
      <c r="ET102" s="113" t="s">
        <v>530</v>
      </c>
      <c r="EU102" s="113" t="s">
        <v>1156</v>
      </c>
      <c r="EV102" s="113" t="s">
        <v>1157</v>
      </c>
      <c r="EW102" s="113">
        <v>2019</v>
      </c>
      <c r="EX102" s="113" t="b">
        <v>0</v>
      </c>
      <c r="EY102" s="114" t="s">
        <v>1175</v>
      </c>
      <c r="EZ102" s="113" t="s">
        <v>1162</v>
      </c>
      <c r="FA102" s="114" t="s">
        <v>1176</v>
      </c>
      <c r="FC102" s="114" t="s">
        <v>980</v>
      </c>
      <c r="FD102" s="113" t="s">
        <v>1158</v>
      </c>
      <c r="GE102" s="113" t="s">
        <v>489</v>
      </c>
      <c r="GU102" s="169"/>
      <c r="GV102" s="169"/>
      <c r="HF102" s="114" t="s">
        <v>456</v>
      </c>
      <c r="HG102" s="114" t="s">
        <v>528</v>
      </c>
      <c r="HH102" s="114" t="s">
        <v>999</v>
      </c>
      <c r="HI102" s="113">
        <v>600</v>
      </c>
      <c r="HJ102" s="113" t="s">
        <v>1003</v>
      </c>
      <c r="HK102" s="113" t="s">
        <v>1004</v>
      </c>
      <c r="HL102" s="113" t="s">
        <v>972</v>
      </c>
      <c r="HM102" s="113" t="s">
        <v>1002</v>
      </c>
      <c r="HO102" s="114" t="s">
        <v>444</v>
      </c>
      <c r="HP102" s="113" t="s">
        <v>445</v>
      </c>
      <c r="HQ102" s="115" t="s">
        <v>487</v>
      </c>
      <c r="HR102" s="112"/>
      <c r="HS102" s="113">
        <v>11</v>
      </c>
      <c r="HT102" s="113" t="s">
        <v>446</v>
      </c>
      <c r="HU102" s="113">
        <v>2037</v>
      </c>
      <c r="HV102" s="113" t="s">
        <v>530</v>
      </c>
      <c r="HW102" s="114" t="s">
        <v>453</v>
      </c>
      <c r="HX102" s="113">
        <v>10</v>
      </c>
      <c r="HY102" s="113">
        <v>2021</v>
      </c>
      <c r="HZ102" s="114" t="b">
        <v>1</v>
      </c>
      <c r="IA102" s="114" t="s">
        <v>838</v>
      </c>
      <c r="IB102" s="114" t="s">
        <v>838</v>
      </c>
      <c r="IC102" s="114" t="s">
        <v>838</v>
      </c>
      <c r="ID102" s="114" t="s">
        <v>519</v>
      </c>
      <c r="IE102" s="113">
        <v>1234</v>
      </c>
      <c r="IF102" s="114" t="s">
        <v>528</v>
      </c>
      <c r="IG102" s="114" t="s">
        <v>74</v>
      </c>
      <c r="IH102" s="113" t="s">
        <v>1356</v>
      </c>
      <c r="II102" s="113">
        <v>600</v>
      </c>
      <c r="IJ102" s="113" t="s">
        <v>1357</v>
      </c>
      <c r="IK102" s="113" t="s">
        <v>1358</v>
      </c>
      <c r="IL102" s="113" t="s">
        <v>1185</v>
      </c>
      <c r="IM102" s="113" t="s">
        <v>437</v>
      </c>
      <c r="IN102" s="114" t="s">
        <v>438</v>
      </c>
      <c r="IT102" s="113" t="s">
        <v>439</v>
      </c>
      <c r="IU102" s="113" t="s">
        <v>472</v>
      </c>
      <c r="IV102" s="113" t="s">
        <v>447</v>
      </c>
      <c r="IW102" s="113" t="s">
        <v>1167</v>
      </c>
      <c r="IX102" s="113" t="s">
        <v>442</v>
      </c>
      <c r="IY102" s="113">
        <v>14</v>
      </c>
      <c r="IZ102" s="113">
        <v>1988</v>
      </c>
      <c r="JA102" s="113" t="s">
        <v>78</v>
      </c>
      <c r="JB102" s="114" t="s">
        <v>443</v>
      </c>
      <c r="JC102" s="113">
        <v>123456</v>
      </c>
      <c r="JD102" s="113">
        <v>123456</v>
      </c>
      <c r="JE102" s="113" t="s">
        <v>442</v>
      </c>
      <c r="JF102" s="113">
        <v>14</v>
      </c>
      <c r="JG102" s="113">
        <v>2033</v>
      </c>
      <c r="JH102" s="113" t="s">
        <v>1137</v>
      </c>
      <c r="JI102" s="114">
        <v>9898989898</v>
      </c>
      <c r="JJ102" s="114">
        <v>9898989898</v>
      </c>
      <c r="JK102" s="114" t="s">
        <v>809</v>
      </c>
      <c r="JL102" s="114" t="s">
        <v>809</v>
      </c>
      <c r="JM102" s="113" t="s">
        <v>449</v>
      </c>
      <c r="JN102" s="113">
        <v>456</v>
      </c>
      <c r="JO102" s="113" t="s">
        <v>530</v>
      </c>
      <c r="JP102" s="113" t="s">
        <v>1156</v>
      </c>
      <c r="JQ102" s="114" t="s">
        <v>1157</v>
      </c>
      <c r="JR102" s="114" t="s">
        <v>453</v>
      </c>
      <c r="JS102" s="114" t="s">
        <v>194</v>
      </c>
      <c r="JT102" s="35"/>
      <c r="JU102" s="113" t="s">
        <v>441</v>
      </c>
      <c r="JV102" s="113">
        <v>108</v>
      </c>
      <c r="JW102" s="113">
        <v>10</v>
      </c>
      <c r="JX102" s="113">
        <v>2019</v>
      </c>
      <c r="JY102" s="114" t="b">
        <v>0</v>
      </c>
      <c r="JZ102" s="181" t="b">
        <v>1</v>
      </c>
      <c r="KA102" s="47">
        <v>990.93</v>
      </c>
      <c r="KB102" s="113" t="s">
        <v>489</v>
      </c>
      <c r="KC102" s="113" t="s">
        <v>1359</v>
      </c>
      <c r="KI102" s="28">
        <v>42046.768171296295</v>
      </c>
      <c r="KJ102" s="28">
        <v>42046.772581018522</v>
      </c>
      <c r="KK102" s="113" t="s">
        <v>983</v>
      </c>
      <c r="LS102" s="114" t="s">
        <v>1184</v>
      </c>
      <c r="OA102" s="105" t="s">
        <v>58</v>
      </c>
      <c r="OB102" s="105" t="s">
        <v>351</v>
      </c>
      <c r="OC102" s="113" t="s">
        <v>22</v>
      </c>
      <c r="OD102" s="114" t="s">
        <v>489</v>
      </c>
      <c r="OF102" s="112"/>
    </row>
    <row r="103" spans="1:396" s="113" customFormat="1" ht="45">
      <c r="A103" s="36"/>
      <c r="B103" s="37">
        <v>1</v>
      </c>
      <c r="C103" s="113" t="s">
        <v>1011</v>
      </c>
      <c r="E103" s="114"/>
      <c r="F103" s="23"/>
      <c r="G103" s="23"/>
      <c r="EE103" s="113" t="s">
        <v>1370</v>
      </c>
      <c r="EF103" s="114" t="s">
        <v>1012</v>
      </c>
      <c r="FC103" s="113" t="s">
        <v>960</v>
      </c>
      <c r="GU103" s="169"/>
      <c r="GV103" s="169"/>
      <c r="GZ103" s="129"/>
      <c r="KC103" s="113" t="s">
        <v>1364</v>
      </c>
      <c r="KI103" s="28">
        <v>42046.800173611111</v>
      </c>
      <c r="KJ103" s="28">
        <v>42046.800844907404</v>
      </c>
      <c r="KK103" s="113" t="s">
        <v>1310</v>
      </c>
      <c r="NU103" s="130" t="s">
        <v>978</v>
      </c>
      <c r="NV103" s="129">
        <v>1</v>
      </c>
      <c r="NW103" s="130" t="s">
        <v>159</v>
      </c>
      <c r="NX103" s="130" t="s">
        <v>159</v>
      </c>
      <c r="NZ103" s="114" t="s">
        <v>961</v>
      </c>
      <c r="OA103" s="113" t="s">
        <v>58</v>
      </c>
      <c r="OB103" s="113" t="s">
        <v>96</v>
      </c>
      <c r="OC103" s="113" t="s">
        <v>22</v>
      </c>
      <c r="OD103" s="114" t="s">
        <v>489</v>
      </c>
    </row>
    <row r="104" spans="1:396">
      <c r="B104" s="37">
        <v>1</v>
      </c>
      <c r="C104" s="92" t="s">
        <v>1038</v>
      </c>
      <c r="F104" s="23"/>
      <c r="G104" s="23"/>
      <c r="AW104" s="21"/>
      <c r="GU104" s="169"/>
      <c r="GV104" s="169"/>
      <c r="KI104" s="28">
        <v>41762.697013888886</v>
      </c>
      <c r="KJ104" s="28">
        <v>41762.698622685188</v>
      </c>
      <c r="KK104" s="21" t="s">
        <v>1037</v>
      </c>
      <c r="NU104" s="21" t="s">
        <v>310</v>
      </c>
      <c r="NV104" s="21">
        <v>15</v>
      </c>
      <c r="NW104" s="21" t="s">
        <v>159</v>
      </c>
      <c r="NX104" s="21" t="s">
        <v>198</v>
      </c>
      <c r="NZ104" s="21" t="s">
        <v>1036</v>
      </c>
      <c r="OA104" s="21" t="s">
        <v>58</v>
      </c>
      <c r="OB104" s="21" t="s">
        <v>96</v>
      </c>
      <c r="OC104" s="21" t="s">
        <v>22</v>
      </c>
      <c r="OD104" s="114" t="s">
        <v>489</v>
      </c>
    </row>
    <row r="105" spans="1:396">
      <c r="B105" s="37">
        <v>2</v>
      </c>
      <c r="C105" s="43" t="s">
        <v>510</v>
      </c>
      <c r="AW105" s="21"/>
      <c r="BF105" s="35" t="s">
        <v>443</v>
      </c>
      <c r="BG105" s="113" t="s">
        <v>514</v>
      </c>
      <c r="BH105" s="113" t="s">
        <v>963</v>
      </c>
      <c r="BI105" s="51" t="s">
        <v>962</v>
      </c>
      <c r="BK105" s="114" t="s">
        <v>524</v>
      </c>
      <c r="GU105" s="169"/>
      <c r="GV105" s="169"/>
      <c r="NU105" s="113" t="s">
        <v>310</v>
      </c>
      <c r="NV105" s="21">
        <v>23</v>
      </c>
      <c r="NW105" s="113" t="s">
        <v>520</v>
      </c>
      <c r="NX105" s="113" t="s">
        <v>521</v>
      </c>
    </row>
    <row r="106" spans="1:396">
      <c r="B106" s="37">
        <v>2</v>
      </c>
      <c r="C106" s="43" t="s">
        <v>511</v>
      </c>
      <c r="AW106" s="21"/>
      <c r="BF106" s="113" t="s">
        <v>443</v>
      </c>
      <c r="BG106" s="113" t="s">
        <v>514</v>
      </c>
      <c r="BH106" s="113" t="s">
        <v>963</v>
      </c>
      <c r="BI106" s="51" t="s">
        <v>962</v>
      </c>
      <c r="BJ106" s="113">
        <v>921.45</v>
      </c>
      <c r="BK106" s="113" t="s">
        <v>525</v>
      </c>
      <c r="GU106" s="169"/>
      <c r="GV106" s="169"/>
      <c r="MC106" s="113" t="s">
        <v>504</v>
      </c>
      <c r="NU106" s="113" t="s">
        <v>310</v>
      </c>
      <c r="NV106" s="113">
        <v>24</v>
      </c>
      <c r="NW106" s="113" t="s">
        <v>520</v>
      </c>
      <c r="NX106" s="113" t="s">
        <v>521</v>
      </c>
      <c r="NZ106" s="113" t="s">
        <v>1029</v>
      </c>
    </row>
    <row r="107" spans="1:396">
      <c r="B107" s="37">
        <v>1</v>
      </c>
      <c r="C107" s="38" t="s">
        <v>1039</v>
      </c>
      <c r="F107" s="23"/>
      <c r="G107" s="23"/>
      <c r="AW107" s="21"/>
      <c r="GU107" s="169"/>
      <c r="GV107" s="169"/>
      <c r="KI107" s="28">
        <v>42046.800856481481</v>
      </c>
      <c r="KJ107" s="28">
        <v>42046.801828703705</v>
      </c>
      <c r="KK107" s="21" t="s">
        <v>1371</v>
      </c>
      <c r="LP107" s="21" t="s">
        <v>1159</v>
      </c>
      <c r="OA107" s="21" t="s">
        <v>58</v>
      </c>
      <c r="OB107" s="21" t="s">
        <v>96</v>
      </c>
      <c r="OC107" s="21" t="s">
        <v>22</v>
      </c>
      <c r="OD107" s="114" t="s">
        <v>489</v>
      </c>
    </row>
    <row r="108" spans="1:396">
      <c r="B108" s="37">
        <v>1</v>
      </c>
      <c r="C108" s="38" t="s">
        <v>1041</v>
      </c>
      <c r="E108" s="114"/>
      <c r="F108" s="23"/>
      <c r="G108" s="23"/>
      <c r="AW108" s="21"/>
      <c r="GF108" s="114" t="s">
        <v>1043</v>
      </c>
      <c r="GG108" s="21" t="s">
        <v>78</v>
      </c>
      <c r="GH108" s="21" t="s">
        <v>1097</v>
      </c>
      <c r="GJ108" s="21">
        <v>111111</v>
      </c>
      <c r="GK108" s="21" t="s">
        <v>1044</v>
      </c>
      <c r="GL108" s="21">
        <v>11</v>
      </c>
      <c r="GM108" s="21">
        <v>2016</v>
      </c>
      <c r="GN108" s="113" t="s">
        <v>1044</v>
      </c>
      <c r="GO108" s="113">
        <v>11</v>
      </c>
      <c r="GP108" s="113">
        <v>1977</v>
      </c>
      <c r="GQ108" s="21" t="s">
        <v>1045</v>
      </c>
      <c r="GU108" s="169"/>
      <c r="GV108" s="169"/>
      <c r="KI108" s="28">
        <v>42046.801840277774</v>
      </c>
      <c r="KJ108" s="28">
        <v>42046.813668981478</v>
      </c>
      <c r="KK108" s="21" t="s">
        <v>1372</v>
      </c>
      <c r="NU108" s="21" t="s">
        <v>310</v>
      </c>
      <c r="NV108" s="21">
        <v>4</v>
      </c>
      <c r="NW108" s="21" t="s">
        <v>159</v>
      </c>
      <c r="NX108" s="21" t="s">
        <v>198</v>
      </c>
      <c r="NZ108" s="21" t="s">
        <v>1322</v>
      </c>
      <c r="OA108" s="21" t="s">
        <v>58</v>
      </c>
      <c r="OB108" s="21" t="s">
        <v>96</v>
      </c>
      <c r="OC108" s="21" t="s">
        <v>22</v>
      </c>
      <c r="OD108" s="114" t="s">
        <v>489</v>
      </c>
    </row>
    <row r="109" spans="1:396" ht="30">
      <c r="B109" s="37">
        <v>1</v>
      </c>
      <c r="C109" s="38" t="s">
        <v>1046</v>
      </c>
      <c r="E109" s="114"/>
      <c r="F109" s="23"/>
      <c r="G109" s="23"/>
      <c r="AW109" s="21"/>
      <c r="GU109" s="169"/>
      <c r="GV109" s="169"/>
      <c r="GY109" s="21" t="s">
        <v>1045</v>
      </c>
      <c r="GZ109" s="114" t="s">
        <v>1124</v>
      </c>
      <c r="KI109" s="28">
        <v>42046.813692129632</v>
      </c>
      <c r="KJ109" s="28">
        <v>42046.815868055557</v>
      </c>
      <c r="KK109" s="21" t="s">
        <v>1373</v>
      </c>
      <c r="LP109" s="21" t="s">
        <v>1186</v>
      </c>
      <c r="NU109" s="21" t="s">
        <v>310</v>
      </c>
      <c r="NV109" s="21">
        <v>4</v>
      </c>
      <c r="NW109" s="21" t="s">
        <v>159</v>
      </c>
      <c r="NX109" s="21" t="s">
        <v>198</v>
      </c>
      <c r="NZ109" s="21" t="s">
        <v>1322</v>
      </c>
      <c r="OA109" s="21" t="s">
        <v>58</v>
      </c>
      <c r="OB109" s="21" t="s">
        <v>96</v>
      </c>
      <c r="OC109" s="21" t="s">
        <v>22</v>
      </c>
      <c r="OD109" s="114" t="s">
        <v>489</v>
      </c>
    </row>
    <row r="110" spans="1:396" ht="15.75" thickBot="1">
      <c r="B110" s="37">
        <v>1</v>
      </c>
      <c r="C110" s="38" t="s">
        <v>1093</v>
      </c>
      <c r="F110" s="23"/>
      <c r="G110" s="23"/>
      <c r="AW110" s="21"/>
      <c r="GF110" s="21" t="s">
        <v>1043</v>
      </c>
      <c r="GG110" s="21" t="s">
        <v>78</v>
      </c>
      <c r="GH110" s="21" t="s">
        <v>1097</v>
      </c>
      <c r="GJ110" s="21">
        <v>111111</v>
      </c>
      <c r="GK110" s="21" t="s">
        <v>1098</v>
      </c>
      <c r="GL110" s="21">
        <v>26</v>
      </c>
      <c r="GM110" s="21">
        <v>2015</v>
      </c>
      <c r="GN110" s="113" t="s">
        <v>1098</v>
      </c>
      <c r="GO110" s="113">
        <v>26</v>
      </c>
      <c r="GP110" s="113">
        <v>1980</v>
      </c>
      <c r="GQ110" s="21" t="s">
        <v>1045</v>
      </c>
      <c r="GU110" s="169"/>
      <c r="GV110" s="169"/>
      <c r="KI110" s="28">
        <v>42046.815891203703</v>
      </c>
      <c r="KJ110" s="28">
        <v>42046.81759259259</v>
      </c>
      <c r="KK110" s="21" t="s">
        <v>1374</v>
      </c>
      <c r="LV110" s="114" t="s">
        <v>1095</v>
      </c>
      <c r="NU110" s="21" t="s">
        <v>310</v>
      </c>
      <c r="NV110" s="21">
        <v>6</v>
      </c>
      <c r="NW110" s="21" t="s">
        <v>159</v>
      </c>
      <c r="NX110" s="21" t="s">
        <v>198</v>
      </c>
      <c r="NZ110" s="21" t="s">
        <v>1325</v>
      </c>
      <c r="OA110" s="21" t="s">
        <v>58</v>
      </c>
      <c r="OB110" s="21" t="s">
        <v>96</v>
      </c>
      <c r="OC110" s="21" t="s">
        <v>22</v>
      </c>
      <c r="OD110" s="114" t="s">
        <v>489</v>
      </c>
    </row>
    <row r="111" spans="1:396">
      <c r="B111" s="37">
        <v>1</v>
      </c>
      <c r="C111" s="38" t="s">
        <v>324</v>
      </c>
      <c r="F111" s="23"/>
      <c r="G111" s="23"/>
      <c r="GR111" s="113" t="s">
        <v>1045</v>
      </c>
      <c r="GU111" s="169"/>
      <c r="GV111" s="169"/>
      <c r="KI111" s="28">
        <v>42046.817615740743</v>
      </c>
      <c r="KJ111" s="28">
        <v>42046.818773148145</v>
      </c>
      <c r="KK111" s="21" t="s">
        <v>1375</v>
      </c>
      <c r="NU111" s="113" t="s">
        <v>310</v>
      </c>
      <c r="NV111" s="113">
        <v>12</v>
      </c>
      <c r="NW111" s="113" t="s">
        <v>159</v>
      </c>
      <c r="NX111" s="113" t="s">
        <v>198</v>
      </c>
      <c r="NZ111" s="113" t="s">
        <v>1338</v>
      </c>
      <c r="OA111" s="157" t="s">
        <v>58</v>
      </c>
      <c r="OB111" s="158" t="s">
        <v>96</v>
      </c>
      <c r="OC111" s="113" t="s">
        <v>22</v>
      </c>
      <c r="OD111" s="21" t="s">
        <v>489</v>
      </c>
    </row>
    <row r="112" spans="1:396">
      <c r="B112" s="37">
        <v>1</v>
      </c>
      <c r="C112" s="38" t="s">
        <v>1188</v>
      </c>
      <c r="F112" s="23"/>
      <c r="G112" s="23"/>
      <c r="GU112" s="169"/>
      <c r="GV112" s="169"/>
      <c r="GX112" s="113" t="s">
        <v>463</v>
      </c>
      <c r="GY112" s="113" t="s">
        <v>824</v>
      </c>
      <c r="GZ112" s="113" t="s">
        <v>1191</v>
      </c>
      <c r="KI112" s="28">
        <v>41963.724664351852</v>
      </c>
      <c r="KJ112" s="28">
        <v>41963.728622685187</v>
      </c>
      <c r="KK112" s="21" t="s">
        <v>1302</v>
      </c>
      <c r="LP112" s="113" t="s">
        <v>1186</v>
      </c>
      <c r="NU112" s="113" t="s">
        <v>310</v>
      </c>
      <c r="NV112" s="113">
        <v>13</v>
      </c>
      <c r="NW112" s="113" t="s">
        <v>159</v>
      </c>
      <c r="NX112" s="113" t="s">
        <v>198</v>
      </c>
      <c r="NZ112" s="113" t="s">
        <v>1305</v>
      </c>
      <c r="OA112" s="113" t="s">
        <v>58</v>
      </c>
      <c r="OB112" s="113" t="s">
        <v>96</v>
      </c>
      <c r="OC112" s="113" t="s">
        <v>22</v>
      </c>
      <c r="OD112" s="113" t="s">
        <v>489</v>
      </c>
    </row>
    <row r="113" spans="2:394">
      <c r="B113" s="37">
        <v>1</v>
      </c>
      <c r="C113" s="40" t="s">
        <v>1194</v>
      </c>
      <c r="F113" s="23"/>
      <c r="G113" s="23"/>
      <c r="GE113" s="213" t="s">
        <v>1264</v>
      </c>
      <c r="GU113" s="169"/>
      <c r="GV113" s="169"/>
      <c r="KI113" s="28">
        <v>42046.818796296298</v>
      </c>
      <c r="KJ113" s="28">
        <v>42046.819895833331</v>
      </c>
      <c r="KK113" s="21" t="s">
        <v>1376</v>
      </c>
      <c r="LP113" s="113" t="s">
        <v>1268</v>
      </c>
      <c r="OA113" s="44" t="s">
        <v>58</v>
      </c>
      <c r="OB113" s="44" t="s">
        <v>96</v>
      </c>
      <c r="OC113" s="113" t="s">
        <v>22</v>
      </c>
      <c r="OD113" s="21" t="s">
        <v>489</v>
      </c>
    </row>
    <row r="114" spans="2:394">
      <c r="B114" s="37">
        <v>1</v>
      </c>
      <c r="C114" s="38" t="s">
        <v>1198</v>
      </c>
      <c r="F114" s="23"/>
      <c r="G114" s="23"/>
      <c r="GU114" s="169"/>
      <c r="GV114" s="169"/>
      <c r="KI114" s="28">
        <v>42046.847256944442</v>
      </c>
      <c r="KJ114" s="28">
        <v>42046.84783564815</v>
      </c>
      <c r="KK114" s="21" t="s">
        <v>1386</v>
      </c>
      <c r="OA114" s="113" t="s">
        <v>58</v>
      </c>
      <c r="OB114" s="113" t="s">
        <v>96</v>
      </c>
      <c r="OC114" s="113" t="s">
        <v>22</v>
      </c>
      <c r="OD114" s="113" t="s">
        <v>489</v>
      </c>
    </row>
    <row r="115" spans="2:394">
      <c r="B115" s="37">
        <v>1</v>
      </c>
      <c r="C115" s="38" t="s">
        <v>1199</v>
      </c>
      <c r="F115" s="23"/>
      <c r="G115" s="23"/>
      <c r="GU115" s="169"/>
      <c r="GV115" s="169"/>
      <c r="KI115" s="28">
        <v>42046.847858796296</v>
      </c>
      <c r="KJ115" s="28">
        <v>42046.848958333336</v>
      </c>
      <c r="KK115" s="21" t="s">
        <v>1376</v>
      </c>
      <c r="OA115" s="113" t="s">
        <v>58</v>
      </c>
      <c r="OB115" s="113" t="s">
        <v>96</v>
      </c>
      <c r="OC115" s="113" t="s">
        <v>22</v>
      </c>
      <c r="OD115" s="113" t="s">
        <v>489</v>
      </c>
    </row>
    <row r="116" spans="2:394">
      <c r="B116" s="37">
        <v>2</v>
      </c>
      <c r="C116" s="40" t="s">
        <v>1194</v>
      </c>
      <c r="F116" s="23"/>
      <c r="G116" s="23"/>
      <c r="GE116" s="213" t="s">
        <v>1265</v>
      </c>
      <c r="GU116" s="169"/>
      <c r="GV116" s="169"/>
      <c r="KI116" s="28">
        <v>42046.819930555554</v>
      </c>
      <c r="KJ116" s="28">
        <v>42046.820972222224</v>
      </c>
      <c r="KK116" s="21" t="s">
        <v>1377</v>
      </c>
      <c r="LP116" s="21" t="s">
        <v>1269</v>
      </c>
      <c r="OA116" s="44" t="s">
        <v>58</v>
      </c>
      <c r="OB116" s="44" t="s">
        <v>96</v>
      </c>
      <c r="OC116" s="113" t="s">
        <v>22</v>
      </c>
      <c r="OD116" s="113" t="s">
        <v>489</v>
      </c>
    </row>
    <row r="117" spans="2:394">
      <c r="B117" s="37">
        <v>3</v>
      </c>
      <c r="C117" s="40" t="s">
        <v>1194</v>
      </c>
      <c r="F117" s="23"/>
      <c r="G117" s="23"/>
      <c r="GE117" s="213" t="s">
        <v>1266</v>
      </c>
      <c r="GU117" s="169"/>
      <c r="GV117" s="169"/>
      <c r="KI117" s="28">
        <v>42046.821006944447</v>
      </c>
      <c r="KJ117" s="28">
        <v>42046.822071759256</v>
      </c>
      <c r="KK117" s="21" t="s">
        <v>1349</v>
      </c>
      <c r="LP117" s="21" t="s">
        <v>1270</v>
      </c>
      <c r="OA117" s="44" t="s">
        <v>58</v>
      </c>
      <c r="OB117" s="44" t="s">
        <v>96</v>
      </c>
      <c r="OC117" s="113" t="s">
        <v>22</v>
      </c>
      <c r="OD117" s="113" t="s">
        <v>489</v>
      </c>
    </row>
    <row r="118" spans="2:394">
      <c r="B118" s="37">
        <v>4</v>
      </c>
      <c r="C118" s="40" t="s">
        <v>1194</v>
      </c>
      <c r="F118" s="23"/>
      <c r="G118" s="23"/>
      <c r="GE118" s="213" t="s">
        <v>1267</v>
      </c>
      <c r="GU118" s="169"/>
      <c r="GV118" s="169"/>
      <c r="KI118" s="28">
        <v>42046.822094907409</v>
      </c>
      <c r="KJ118" s="28">
        <v>42046.823171296295</v>
      </c>
      <c r="KK118" s="21" t="s">
        <v>1378</v>
      </c>
      <c r="LP118" s="21" t="s">
        <v>1271</v>
      </c>
      <c r="OA118" s="44" t="s">
        <v>58</v>
      </c>
      <c r="OB118" s="44" t="s">
        <v>96</v>
      </c>
      <c r="OC118" s="113" t="s">
        <v>22</v>
      </c>
      <c r="OD118" s="113" t="s">
        <v>489</v>
      </c>
    </row>
    <row r="119" spans="2:394">
      <c r="B119" s="37">
        <v>1</v>
      </c>
      <c r="C119" s="38" t="s">
        <v>1195</v>
      </c>
      <c r="F119" s="23"/>
      <c r="G119" s="23"/>
      <c r="GE119" s="113" t="s">
        <v>1264</v>
      </c>
      <c r="GU119" s="169"/>
      <c r="GV119" s="169"/>
      <c r="KI119" s="28">
        <v>42046.823194444441</v>
      </c>
      <c r="KJ119" s="28">
        <v>42046.824548611112</v>
      </c>
      <c r="KK119" s="21" t="s">
        <v>782</v>
      </c>
      <c r="LP119" s="21" t="s">
        <v>1268</v>
      </c>
      <c r="OA119" s="18" t="s">
        <v>58</v>
      </c>
      <c r="OB119" s="18" t="s">
        <v>96</v>
      </c>
      <c r="OC119" s="18" t="s">
        <v>22</v>
      </c>
      <c r="OD119" s="21" t="s">
        <v>489</v>
      </c>
    </row>
    <row r="120" spans="2:394">
      <c r="B120" s="37">
        <v>2</v>
      </c>
      <c r="C120" s="40" t="s">
        <v>1195</v>
      </c>
      <c r="F120" s="23"/>
      <c r="G120" s="23"/>
      <c r="GE120" s="116" t="s">
        <v>1265</v>
      </c>
      <c r="GU120" s="169"/>
      <c r="GV120" s="169"/>
      <c r="KI120" s="28">
        <v>42046.824571759258</v>
      </c>
      <c r="KJ120" s="28">
        <v>42046.825914351852</v>
      </c>
      <c r="KK120" s="21" t="s">
        <v>1379</v>
      </c>
      <c r="LP120" s="21" t="s">
        <v>1269</v>
      </c>
      <c r="OA120" s="18" t="s">
        <v>58</v>
      </c>
      <c r="OB120" s="18" t="s">
        <v>96</v>
      </c>
      <c r="OC120" s="18" t="s">
        <v>22</v>
      </c>
      <c r="OD120" s="113" t="s">
        <v>489</v>
      </c>
    </row>
    <row r="121" spans="2:394">
      <c r="B121" s="37">
        <v>3</v>
      </c>
      <c r="C121" s="40" t="s">
        <v>1195</v>
      </c>
      <c r="F121" s="23"/>
      <c r="G121" s="23"/>
      <c r="GE121" s="113" t="s">
        <v>1266</v>
      </c>
      <c r="GU121" s="169"/>
      <c r="GV121" s="169"/>
      <c r="KI121" s="28">
        <v>42046.825937499998</v>
      </c>
      <c r="KJ121" s="28">
        <v>42046.827303240738</v>
      </c>
      <c r="KK121" s="21" t="s">
        <v>1380</v>
      </c>
      <c r="LP121" s="21" t="s">
        <v>1270</v>
      </c>
      <c r="OA121" s="18" t="s">
        <v>58</v>
      </c>
      <c r="OB121" s="18" t="s">
        <v>96</v>
      </c>
      <c r="OC121" s="18" t="s">
        <v>22</v>
      </c>
      <c r="OD121" s="113" t="s">
        <v>489</v>
      </c>
    </row>
    <row r="122" spans="2:394">
      <c r="B122" s="37">
        <v>4</v>
      </c>
      <c r="C122" s="40" t="s">
        <v>1195</v>
      </c>
      <c r="F122" s="23"/>
      <c r="G122" s="23"/>
      <c r="GE122" s="113" t="s">
        <v>1267</v>
      </c>
      <c r="KI122" s="28">
        <v>42046.827326388891</v>
      </c>
      <c r="KJ122" s="28">
        <v>42046.828611111108</v>
      </c>
      <c r="KK122" s="21" t="s">
        <v>1381</v>
      </c>
      <c r="LP122" s="21" t="s">
        <v>1271</v>
      </c>
      <c r="OA122" s="18" t="s">
        <v>58</v>
      </c>
      <c r="OB122" s="18" t="s">
        <v>96</v>
      </c>
      <c r="OC122" s="18" t="s">
        <v>22</v>
      </c>
      <c r="OD122" s="113" t="s">
        <v>489</v>
      </c>
    </row>
    <row r="123" spans="2:394" ht="30">
      <c r="B123" s="37">
        <v>1</v>
      </c>
      <c r="C123" s="39" t="s">
        <v>1196</v>
      </c>
      <c r="E123" s="114"/>
      <c r="F123" s="23"/>
      <c r="G123" s="23"/>
      <c r="FE123" s="113">
        <v>106</v>
      </c>
      <c r="FF123" s="113">
        <v>251</v>
      </c>
      <c r="FG123" s="113">
        <v>251</v>
      </c>
      <c r="FH123" s="113" t="s">
        <v>1172</v>
      </c>
      <c r="FI123" s="21" t="s">
        <v>1273</v>
      </c>
      <c r="FJ123" s="113" t="s">
        <v>1274</v>
      </c>
      <c r="FL123" s="113" t="s">
        <v>450</v>
      </c>
      <c r="FM123" s="21" t="s">
        <v>1275</v>
      </c>
      <c r="FN123" s="21" t="s">
        <v>1276</v>
      </c>
      <c r="FO123" s="21">
        <v>49.050800000000002</v>
      </c>
      <c r="FP123" s="21">
        <v>-122.3125</v>
      </c>
      <c r="FQ123" s="21" t="s">
        <v>1277</v>
      </c>
      <c r="FR123" s="113" t="b">
        <v>0</v>
      </c>
      <c r="FS123" s="21" t="s">
        <v>1286</v>
      </c>
      <c r="FU123" s="21" t="s">
        <v>1278</v>
      </c>
      <c r="FV123" s="113">
        <v>6048530837</v>
      </c>
      <c r="FW123" s="21">
        <v>6048539479</v>
      </c>
      <c r="FX123" s="21">
        <v>6048530837</v>
      </c>
      <c r="FY123" s="113" t="b">
        <v>1</v>
      </c>
      <c r="FZ123" s="113" t="b">
        <v>1</v>
      </c>
      <c r="GA123" s="21" t="s">
        <v>1279</v>
      </c>
      <c r="GB123" s="113" t="b">
        <v>1</v>
      </c>
      <c r="GE123" s="113" t="s">
        <v>1264</v>
      </c>
      <c r="KI123" s="28">
        <v>42046.828634259262</v>
      </c>
      <c r="KJ123" s="28">
        <v>42046.832314814812</v>
      </c>
      <c r="KK123" s="21" t="s">
        <v>1382</v>
      </c>
      <c r="LP123" s="114" t="s">
        <v>1282</v>
      </c>
      <c r="OA123" s="114" t="s">
        <v>58</v>
      </c>
      <c r="OB123" s="114" t="s">
        <v>96</v>
      </c>
      <c r="OC123" s="113" t="s">
        <v>22</v>
      </c>
      <c r="OD123" s="21" t="s">
        <v>489</v>
      </c>
    </row>
    <row r="124" spans="2:394" ht="30">
      <c r="B124" s="37">
        <v>2</v>
      </c>
      <c r="C124" s="39" t="s">
        <v>1196</v>
      </c>
      <c r="F124" s="191"/>
      <c r="G124" s="191"/>
      <c r="FE124" s="113">
        <v>55</v>
      </c>
      <c r="FF124" s="113">
        <v>251</v>
      </c>
      <c r="FG124" s="113">
        <v>251</v>
      </c>
      <c r="FH124" s="113" t="s">
        <v>1172</v>
      </c>
      <c r="FI124" s="113" t="s">
        <v>1273</v>
      </c>
      <c r="FJ124" s="113" t="s">
        <v>1274</v>
      </c>
      <c r="FL124" s="113" t="s">
        <v>450</v>
      </c>
      <c r="FM124" s="113" t="s">
        <v>1275</v>
      </c>
      <c r="FN124" s="113" t="s">
        <v>1276</v>
      </c>
      <c r="FO124" s="113">
        <v>49.050800000000002</v>
      </c>
      <c r="FP124" s="113">
        <v>-122.3125</v>
      </c>
      <c r="FQ124" s="113" t="s">
        <v>1277</v>
      </c>
      <c r="FR124" s="113" t="b">
        <v>0</v>
      </c>
      <c r="FS124" s="21" t="s">
        <v>1287</v>
      </c>
      <c r="FU124" s="113" t="s">
        <v>1278</v>
      </c>
      <c r="FV124" s="113">
        <v>6048530837</v>
      </c>
      <c r="FW124" s="113">
        <v>6048539479</v>
      </c>
      <c r="FX124" s="113">
        <v>6048530837</v>
      </c>
      <c r="FY124" s="113" t="b">
        <v>1</v>
      </c>
      <c r="FZ124" s="113" t="b">
        <v>1</v>
      </c>
      <c r="GA124" s="113" t="s">
        <v>1279</v>
      </c>
      <c r="GB124" s="113" t="b">
        <v>1</v>
      </c>
      <c r="GC124" s="21" t="s">
        <v>1280</v>
      </c>
      <c r="GD124" s="21" t="s">
        <v>1281</v>
      </c>
      <c r="GE124" s="113" t="s">
        <v>1265</v>
      </c>
      <c r="KI124" s="28">
        <v>41962.945081018515</v>
      </c>
      <c r="KJ124" s="28">
        <v>41962.948773148149</v>
      </c>
      <c r="KK124" s="21" t="s">
        <v>1309</v>
      </c>
      <c r="LP124" s="113" t="s">
        <v>1283</v>
      </c>
      <c r="OA124" s="114" t="s">
        <v>58</v>
      </c>
      <c r="OB124" s="114" t="s">
        <v>96</v>
      </c>
      <c r="OC124" s="113" t="s">
        <v>22</v>
      </c>
      <c r="OD124" s="113" t="s">
        <v>489</v>
      </c>
    </row>
    <row r="125" spans="2:394" ht="30">
      <c r="B125" s="37">
        <v>3</v>
      </c>
      <c r="C125" s="39" t="s">
        <v>1196</v>
      </c>
      <c r="F125" s="23"/>
      <c r="G125" s="23"/>
      <c r="FE125" s="113">
        <v>4</v>
      </c>
      <c r="FF125" s="113">
        <v>251</v>
      </c>
      <c r="FG125" s="113">
        <v>251</v>
      </c>
      <c r="FH125" s="113" t="s">
        <v>1172</v>
      </c>
      <c r="FI125" s="113" t="s">
        <v>1273</v>
      </c>
      <c r="FJ125" s="113" t="s">
        <v>1274</v>
      </c>
      <c r="FL125" s="113" t="s">
        <v>450</v>
      </c>
      <c r="FM125" s="113" t="s">
        <v>1275</v>
      </c>
      <c r="FN125" s="113" t="s">
        <v>1276</v>
      </c>
      <c r="FO125" s="113">
        <v>49.050800000000002</v>
      </c>
      <c r="FP125" s="113">
        <v>-122.3125</v>
      </c>
      <c r="FQ125" s="113" t="s">
        <v>1277</v>
      </c>
      <c r="FR125" s="113" t="b">
        <v>0</v>
      </c>
      <c r="FS125" s="21" t="s">
        <v>1288</v>
      </c>
      <c r="FU125" s="113" t="s">
        <v>1278</v>
      </c>
      <c r="FV125" s="113">
        <v>6048530837</v>
      </c>
      <c r="FW125" s="113">
        <v>6048539479</v>
      </c>
      <c r="FX125" s="113">
        <v>6048530837</v>
      </c>
      <c r="FY125" s="113" t="b">
        <v>1</v>
      </c>
      <c r="FZ125" s="113" t="b">
        <v>1</v>
      </c>
      <c r="GA125" s="113" t="s">
        <v>1279</v>
      </c>
      <c r="GB125" s="113" t="b">
        <v>1</v>
      </c>
      <c r="GE125" s="113" t="s">
        <v>1266</v>
      </c>
      <c r="KI125" s="28">
        <v>42046.839942129627</v>
      </c>
      <c r="KJ125" s="28">
        <v>42046.843159722222</v>
      </c>
      <c r="KK125" s="21" t="s">
        <v>1383</v>
      </c>
      <c r="LP125" s="113" t="s">
        <v>1284</v>
      </c>
      <c r="OA125" s="114" t="s">
        <v>58</v>
      </c>
      <c r="OB125" s="114" t="s">
        <v>96</v>
      </c>
      <c r="OC125" s="113" t="s">
        <v>22</v>
      </c>
      <c r="OD125" s="113" t="s">
        <v>489</v>
      </c>
    </row>
    <row r="126" spans="2:394" ht="30">
      <c r="B126" s="37">
        <v>4</v>
      </c>
      <c r="C126" s="39" t="s">
        <v>1196</v>
      </c>
      <c r="F126" s="23"/>
      <c r="G126" s="23"/>
      <c r="FE126" s="113">
        <v>70</v>
      </c>
      <c r="FF126" s="113">
        <v>251</v>
      </c>
      <c r="FG126" s="113">
        <v>251</v>
      </c>
      <c r="FH126" s="113" t="s">
        <v>1172</v>
      </c>
      <c r="FI126" s="113" t="s">
        <v>1273</v>
      </c>
      <c r="FJ126" s="113" t="s">
        <v>1274</v>
      </c>
      <c r="FL126" s="113" t="s">
        <v>450</v>
      </c>
      <c r="FM126" s="113" t="s">
        <v>1275</v>
      </c>
      <c r="FN126" s="113" t="s">
        <v>1276</v>
      </c>
      <c r="FO126" s="113">
        <v>49.050800000000002</v>
      </c>
      <c r="FP126" s="113">
        <v>-122.3125</v>
      </c>
      <c r="FQ126" s="113" t="s">
        <v>1277</v>
      </c>
      <c r="FR126" s="113" t="b">
        <v>0</v>
      </c>
      <c r="FS126" s="21" t="s">
        <v>1289</v>
      </c>
      <c r="FU126" s="113" t="s">
        <v>1278</v>
      </c>
      <c r="FV126" s="113">
        <v>6048530837</v>
      </c>
      <c r="FW126" s="113">
        <v>6048539479</v>
      </c>
      <c r="FX126" s="113">
        <v>6048530837</v>
      </c>
      <c r="FY126" s="113" t="b">
        <v>1</v>
      </c>
      <c r="FZ126" s="113" t="b">
        <v>1</v>
      </c>
      <c r="GA126" s="113" t="s">
        <v>1279</v>
      </c>
      <c r="GB126" s="113" t="b">
        <v>1</v>
      </c>
      <c r="GE126" s="113" t="s">
        <v>1267</v>
      </c>
      <c r="KI126" s="28">
        <v>42046.843194444446</v>
      </c>
      <c r="KJ126" s="28">
        <v>42046.846747685187</v>
      </c>
      <c r="KK126" s="21" t="s">
        <v>1384</v>
      </c>
      <c r="LP126" s="113" t="s">
        <v>1285</v>
      </c>
      <c r="OA126" s="114" t="s">
        <v>58</v>
      </c>
      <c r="OB126" s="114" t="s">
        <v>96</v>
      </c>
      <c r="OC126" s="113" t="s">
        <v>22</v>
      </c>
      <c r="OD126" s="113" t="s">
        <v>489</v>
      </c>
    </row>
    <row r="127" spans="2:394">
      <c r="B127" s="37">
        <v>1</v>
      </c>
      <c r="C127" s="38" t="s">
        <v>1197</v>
      </c>
      <c r="F127" s="23"/>
      <c r="G127" s="23"/>
      <c r="KI127" s="28">
        <v>42046.846782407411</v>
      </c>
      <c r="KJ127" s="28">
        <v>42046.847245370373</v>
      </c>
      <c r="KK127" s="21" t="s">
        <v>1385</v>
      </c>
      <c r="OA127" s="113" t="s">
        <v>58</v>
      </c>
      <c r="OB127" s="113" t="s">
        <v>96</v>
      </c>
      <c r="OC127" s="113" t="s">
        <v>22</v>
      </c>
      <c r="OD127" s="113" t="s">
        <v>489</v>
      </c>
    </row>
    <row r="128" spans="2:394">
      <c r="B128" s="37">
        <v>1</v>
      </c>
      <c r="C128" s="38" t="s">
        <v>1290</v>
      </c>
      <c r="F128" s="23"/>
      <c r="G128" s="23"/>
      <c r="GS128" s="21" t="s">
        <v>463</v>
      </c>
      <c r="GX128" s="21" t="s">
        <v>463</v>
      </c>
      <c r="KI128" s="28">
        <v>42046.848981481482</v>
      </c>
      <c r="KJ128" s="28">
        <v>42046.854328703703</v>
      </c>
      <c r="KK128" s="21" t="s">
        <v>1387</v>
      </c>
      <c r="LP128" s="21" t="s">
        <v>1186</v>
      </c>
      <c r="NU128" s="130" t="s">
        <v>310</v>
      </c>
      <c r="NV128" s="21">
        <v>14</v>
      </c>
      <c r="NW128" s="113" t="s">
        <v>159</v>
      </c>
      <c r="NX128" s="113" t="s">
        <v>198</v>
      </c>
      <c r="NZ128" s="21" t="s">
        <v>1342</v>
      </c>
      <c r="OA128" s="21" t="s">
        <v>58</v>
      </c>
      <c r="OB128" s="21" t="s">
        <v>96</v>
      </c>
      <c r="OC128" s="21" t="s">
        <v>22</v>
      </c>
      <c r="OD128" s="21" t="s">
        <v>489</v>
      </c>
    </row>
    <row r="129" spans="2:503" ht="30">
      <c r="B129" s="37">
        <v>1</v>
      </c>
      <c r="C129" s="38" t="s">
        <v>1294</v>
      </c>
      <c r="F129" s="23"/>
      <c r="G129" s="23"/>
      <c r="GY129" s="21" t="s">
        <v>1045</v>
      </c>
      <c r="GZ129" s="21" t="s">
        <v>1297</v>
      </c>
      <c r="KI129" s="28">
        <v>42046.854363425926</v>
      </c>
      <c r="KJ129" s="28">
        <v>42046.855219907404</v>
      </c>
      <c r="KK129" s="21" t="s">
        <v>1388</v>
      </c>
      <c r="LP129" s="21" t="s">
        <v>1186</v>
      </c>
      <c r="NU129" s="21" t="s">
        <v>214</v>
      </c>
      <c r="NV129" s="21">
        <v>1</v>
      </c>
      <c r="NW129" s="21" t="s">
        <v>1112</v>
      </c>
      <c r="NX129" s="113" t="s">
        <v>1112</v>
      </c>
      <c r="NZ129" s="21" t="s">
        <v>1322</v>
      </c>
      <c r="OA129" s="21" t="s">
        <v>58</v>
      </c>
      <c r="OB129" s="21" t="s">
        <v>96</v>
      </c>
      <c r="OC129" s="21" t="s">
        <v>22</v>
      </c>
      <c r="OD129" s="21" t="s">
        <v>489</v>
      </c>
    </row>
    <row r="130" spans="2:503">
      <c r="B130" s="37">
        <v>1</v>
      </c>
      <c r="C130" s="38" t="s">
        <v>1312</v>
      </c>
      <c r="F130" s="23"/>
      <c r="G130" s="23"/>
      <c r="KI130" s="28">
        <v>42046.855231481481</v>
      </c>
      <c r="KJ130" s="28">
        <v>42046.85564814815</v>
      </c>
      <c r="KK130" s="21" t="s">
        <v>1389</v>
      </c>
      <c r="OA130" s="21" t="s">
        <v>58</v>
      </c>
      <c r="OB130" s="21" t="s">
        <v>96</v>
      </c>
      <c r="OC130" s="21" t="s">
        <v>22</v>
      </c>
      <c r="OD130" s="21" t="s">
        <v>489</v>
      </c>
    </row>
    <row r="131" spans="2:503">
      <c r="B131" s="37">
        <v>1</v>
      </c>
      <c r="C131" s="40" t="s">
        <v>1497</v>
      </c>
      <c r="D131" s="21" t="s">
        <v>1400</v>
      </c>
      <c r="E131" s="114" t="s">
        <v>1394</v>
      </c>
      <c r="F131" s="23" t="str">
        <f>HYPERLINK("C:\RaviK\SALT_POC_Release14.0\SALT SVN 13.01 Release\Projects\SALT\Snapshots\TC_POC_001_IN-MU-LT-J27116\201554\132425\Iterator_1\TC_POC_0011.xlsx","Snapshot")</f>
        <v>Snapshot</v>
      </c>
      <c r="G131" s="23" t="str">
        <f>HYPERLINK("C:\RaviK\SALT_POC_Release14.0\SALT SVN 13.01 Release\Projects\SALT\Snapshots\TC_POC_001_IN-MU-LT-J27116\201554\132425\Iterator_1\Merge.html","Result")</f>
        <v>Result</v>
      </c>
      <c r="KI131" s="28">
        <v>42128.558622685188</v>
      </c>
      <c r="KJ131" s="28">
        <v>42128.55982638889</v>
      </c>
      <c r="KK131" s="21" t="s">
        <v>1593</v>
      </c>
      <c r="KM131" s="114" t="s">
        <v>1413</v>
      </c>
      <c r="KN131" s="34" t="s">
        <v>1553</v>
      </c>
      <c r="KO131" s="114" t="s">
        <v>1466</v>
      </c>
      <c r="KP131" s="21" t="s">
        <v>686</v>
      </c>
      <c r="KQ131" s="241" t="s">
        <v>1563</v>
      </c>
      <c r="KR131" s="21" t="s">
        <v>84</v>
      </c>
      <c r="KS131" s="21" t="s">
        <v>79</v>
      </c>
      <c r="KV131" s="113">
        <v>0.88890000000000002</v>
      </c>
      <c r="KW131" s="113" t="s">
        <v>1550</v>
      </c>
      <c r="OA131" s="21" t="s">
        <v>58</v>
      </c>
      <c r="OB131" s="21" t="s">
        <v>96</v>
      </c>
      <c r="OC131" s="21" t="s">
        <v>22</v>
      </c>
      <c r="OD131" s="114" t="s">
        <v>443</v>
      </c>
    </row>
    <row r="132" spans="2:503" ht="150">
      <c r="B132" s="247" t="s">
        <v>1155</v>
      </c>
      <c r="C132" s="40" t="s">
        <v>1475</v>
      </c>
      <c r="D132" s="21" t="s">
        <v>1604</v>
      </c>
      <c r="E132" s="114" t="s">
        <v>1394</v>
      </c>
      <c r="F132" s="50" t="s">
        <v>1616</v>
      </c>
      <c r="G132" s="2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c r="BS132" s="113"/>
      <c r="BT132" s="113"/>
      <c r="BU132" s="113"/>
      <c r="BV132" s="113"/>
      <c r="BW132" s="113"/>
      <c r="BX132" s="113"/>
      <c r="BY132" s="113"/>
      <c r="BZ132" s="113"/>
      <c r="CA132" s="113"/>
      <c r="CB132" s="113"/>
      <c r="CC132" s="113"/>
      <c r="CD132" s="113"/>
      <c r="CE132" s="113"/>
      <c r="CF132" s="113"/>
      <c r="CG132" s="113"/>
      <c r="CH132" s="113"/>
      <c r="CI132" s="113"/>
      <c r="CJ132" s="113"/>
      <c r="CK132" s="113"/>
      <c r="CL132" s="113"/>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c r="EC132" s="113"/>
      <c r="ED132" s="113"/>
      <c r="EE132" s="113"/>
      <c r="EF132" s="113"/>
      <c r="EG132" s="113"/>
      <c r="EH132" s="113"/>
      <c r="EI132" s="113"/>
      <c r="EJ132" s="113"/>
      <c r="EK132" s="113"/>
      <c r="EL132" s="113"/>
      <c r="EM132" s="113"/>
      <c r="EN132" s="113"/>
      <c r="EO132" s="113"/>
      <c r="EP132" s="113"/>
      <c r="EQ132" s="113"/>
      <c r="ER132" s="113"/>
      <c r="ES132" s="113"/>
      <c r="ET132" s="113"/>
      <c r="EU132" s="113"/>
      <c r="EV132" s="113"/>
      <c r="EW132" s="113"/>
      <c r="EX132" s="113"/>
      <c r="EY132" s="113"/>
      <c r="EZ132" s="113"/>
      <c r="FA132" s="113"/>
      <c r="FB132" s="113"/>
      <c r="FC132" s="113"/>
      <c r="FD132" s="113"/>
      <c r="FE132" s="113"/>
      <c r="FF132" s="113"/>
      <c r="FG132" s="113"/>
      <c r="FH132" s="113"/>
      <c r="FI132" s="113"/>
      <c r="FJ132" s="113"/>
      <c r="FK132" s="113"/>
      <c r="FL132" s="113"/>
      <c r="FM132" s="113"/>
      <c r="FN132" s="113"/>
      <c r="FO132" s="113"/>
      <c r="FP132" s="113"/>
      <c r="FQ132" s="113"/>
      <c r="FR132" s="113"/>
      <c r="FS132" s="113"/>
      <c r="FT132" s="113"/>
      <c r="FU132" s="113"/>
      <c r="FV132" s="113"/>
      <c r="FW132" s="113"/>
      <c r="FX132" s="113"/>
      <c r="FY132" s="113"/>
      <c r="FZ132" s="113"/>
      <c r="GA132" s="113"/>
      <c r="GB132" s="113"/>
      <c r="GC132" s="113"/>
      <c r="GD132" s="113"/>
      <c r="GE132" s="112"/>
      <c r="GF132" s="113"/>
      <c r="GG132" s="113"/>
      <c r="GH132" s="113"/>
      <c r="GI132" s="113"/>
      <c r="GJ132" s="113"/>
      <c r="GK132" s="113"/>
      <c r="GL132" s="113"/>
      <c r="GM132" s="113"/>
      <c r="GN132" s="113"/>
      <c r="GO132" s="113"/>
      <c r="GP132" s="113"/>
      <c r="GQ132" s="113"/>
      <c r="GR132" s="113"/>
      <c r="GS132" s="113"/>
      <c r="GT132" s="113"/>
      <c r="GU132" s="113"/>
      <c r="GV132" s="113"/>
      <c r="GW132" s="113"/>
      <c r="GX132" s="113"/>
      <c r="GY132" s="113"/>
      <c r="GZ132" s="113"/>
      <c r="HA132" s="113"/>
      <c r="HB132" s="113"/>
      <c r="HC132" s="113"/>
      <c r="HD132" s="113"/>
      <c r="HE132" s="113"/>
      <c r="HF132" s="113"/>
      <c r="HG132" s="113"/>
      <c r="HH132" s="113"/>
      <c r="HI132" s="113"/>
      <c r="HJ132" s="113"/>
      <c r="HK132" s="113"/>
      <c r="HL132" s="113"/>
      <c r="HM132" s="113"/>
      <c r="HN132" s="113"/>
      <c r="HO132" s="113"/>
      <c r="HP132" s="113"/>
      <c r="HQ132" s="113"/>
      <c r="HR132" s="113"/>
      <c r="HS132" s="113"/>
      <c r="HT132" s="113"/>
      <c r="HU132" s="113"/>
      <c r="HV132" s="113"/>
      <c r="HW132" s="113"/>
      <c r="HX132" s="113"/>
      <c r="HY132" s="113"/>
      <c r="HZ132" s="113"/>
      <c r="IA132" s="113"/>
      <c r="IB132" s="113"/>
      <c r="IC132" s="113"/>
      <c r="ID132" s="113"/>
      <c r="IE132" s="113"/>
      <c r="IF132" s="113"/>
      <c r="IG132" s="113"/>
      <c r="IH132" s="113"/>
      <c r="II132" s="113"/>
      <c r="IJ132" s="113"/>
      <c r="IK132" s="113"/>
      <c r="IL132" s="113"/>
      <c r="IM132" s="113"/>
      <c r="IN132" s="113"/>
      <c r="IO132" s="113"/>
      <c r="IP132" s="113"/>
      <c r="IQ132" s="113"/>
      <c r="IR132" s="113"/>
      <c r="IS132" s="113"/>
      <c r="IT132" s="113"/>
      <c r="IU132" s="113"/>
      <c r="IV132" s="113"/>
      <c r="IW132" s="113"/>
      <c r="IX132" s="113"/>
      <c r="IY132" s="113"/>
      <c r="IZ132" s="113"/>
      <c r="JA132" s="113"/>
      <c r="JB132" s="113"/>
      <c r="JC132" s="113"/>
      <c r="JD132" s="113"/>
      <c r="JE132" s="113"/>
      <c r="JF132" s="113"/>
      <c r="JG132" s="113"/>
      <c r="JH132" s="113"/>
      <c r="JI132" s="113"/>
      <c r="JJ132" s="113"/>
      <c r="JK132" s="113"/>
      <c r="JL132" s="113"/>
      <c r="JM132" s="113"/>
      <c r="JN132" s="113"/>
      <c r="JO132" s="113"/>
      <c r="JP132" s="113"/>
      <c r="JQ132" s="113"/>
      <c r="JR132" s="113"/>
      <c r="JS132" s="113"/>
      <c r="JT132" s="113"/>
      <c r="JU132" s="113"/>
      <c r="JV132" s="113"/>
      <c r="JW132" s="113"/>
      <c r="JX132" s="113"/>
      <c r="JY132" s="113"/>
      <c r="JZ132" s="113"/>
      <c r="KA132" s="113"/>
      <c r="KB132" s="113"/>
      <c r="KC132" s="113"/>
      <c r="KD132" s="113"/>
      <c r="KE132" s="113"/>
      <c r="KF132" s="113"/>
      <c r="KG132" s="113"/>
      <c r="KH132" s="113"/>
      <c r="KI132" s="28">
        <v>42128.5784375</v>
      </c>
      <c r="KJ132" s="28">
        <v>42128.582824074074</v>
      </c>
      <c r="KK132" s="113" t="s">
        <v>1597</v>
      </c>
      <c r="KL132" s="114" t="s">
        <v>1455</v>
      </c>
      <c r="KM132" s="114" t="s">
        <v>1413</v>
      </c>
      <c r="KN132" s="34" t="s">
        <v>1553</v>
      </c>
      <c r="KO132" s="114" t="s">
        <v>1466</v>
      </c>
      <c r="KP132" s="113" t="s">
        <v>686</v>
      </c>
      <c r="KQ132" s="241" t="s">
        <v>1563</v>
      </c>
      <c r="KR132" s="114" t="s">
        <v>84</v>
      </c>
      <c r="KS132" s="114" t="s">
        <v>79</v>
      </c>
      <c r="KT132" s="114" t="s">
        <v>1481</v>
      </c>
      <c r="KU132" s="114"/>
      <c r="KV132" s="113">
        <v>0.88890000000000002</v>
      </c>
      <c r="KW132" s="113" t="s">
        <v>1545</v>
      </c>
      <c r="KX132" s="114" t="s">
        <v>78</v>
      </c>
      <c r="KY132" s="114" t="s">
        <v>519</v>
      </c>
      <c r="KZ132" s="113"/>
      <c r="LA132" s="114" t="s">
        <v>1500</v>
      </c>
      <c r="LB132" s="114" t="s">
        <v>1484</v>
      </c>
      <c r="LC132" s="113" t="s">
        <v>1556</v>
      </c>
      <c r="LD132" s="114" t="s">
        <v>1524</v>
      </c>
      <c r="LE132" s="113">
        <v>12</v>
      </c>
      <c r="LF132" s="114" t="s">
        <v>1525</v>
      </c>
      <c r="LG132" s="113" t="s">
        <v>1528</v>
      </c>
      <c r="LH132" s="113" t="s">
        <v>1529</v>
      </c>
      <c r="LI132" s="114" t="s">
        <v>519</v>
      </c>
      <c r="LJ132" s="113"/>
      <c r="LK132" s="114" t="s">
        <v>1454</v>
      </c>
      <c r="LL132" s="113" t="s">
        <v>1586</v>
      </c>
      <c r="LM132" s="113">
        <v>0.88890000000000002</v>
      </c>
      <c r="LN132" s="113">
        <v>0</v>
      </c>
      <c r="LO132" s="113" t="s">
        <v>1585</v>
      </c>
      <c r="LP132" s="114" t="s">
        <v>1570</v>
      </c>
      <c r="LQ132" s="113" t="s">
        <v>1400</v>
      </c>
      <c r="LR132" s="113" t="s">
        <v>1496</v>
      </c>
      <c r="LS132" s="113"/>
      <c r="LT132" s="113"/>
      <c r="LU132" s="113"/>
      <c r="LV132" s="113"/>
      <c r="LW132" s="113"/>
      <c r="LX132" s="113"/>
      <c r="LY132" s="113"/>
      <c r="LZ132" s="113"/>
      <c r="MA132" s="113"/>
      <c r="MB132" s="113">
        <v>1000</v>
      </c>
      <c r="MC132" s="113"/>
      <c r="MD132" s="113"/>
      <c r="ME132" s="114" t="s">
        <v>1449</v>
      </c>
      <c r="MF132" t="s">
        <v>1560</v>
      </c>
      <c r="MG132" s="112" t="s">
        <v>1561</v>
      </c>
      <c r="MH132" s="114" t="s">
        <v>1557</v>
      </c>
      <c r="MI132" s="114" t="s">
        <v>1557</v>
      </c>
      <c r="MJ132" s="51" t="s">
        <v>1450</v>
      </c>
      <c r="MK132" s="51" t="s">
        <v>1450</v>
      </c>
      <c r="ML132" s="112" t="s">
        <v>1562</v>
      </c>
      <c r="MM132" s="112" t="s">
        <v>1515</v>
      </c>
      <c r="MN132" s="34" t="s">
        <v>1559</v>
      </c>
      <c r="MO132" s="34" t="s">
        <v>519</v>
      </c>
      <c r="MW132" s="113"/>
      <c r="MX132" s="112">
        <v>7011</v>
      </c>
      <c r="MY132" s="114" t="s">
        <v>1558</v>
      </c>
      <c r="MZ132" s="246" t="s">
        <v>1499</v>
      </c>
      <c r="NA132" s="114" t="s">
        <v>1473</v>
      </c>
      <c r="NB132" s="113">
        <v>2020</v>
      </c>
      <c r="NC132" s="113">
        <v>123</v>
      </c>
      <c r="ND132" s="113">
        <v>10</v>
      </c>
      <c r="NE132" s="114" t="s">
        <v>466</v>
      </c>
      <c r="NF132" s="113">
        <v>1988</v>
      </c>
      <c r="NJ132" s="114" t="s">
        <v>1517</v>
      </c>
      <c r="NK132" s="114" t="s">
        <v>1517</v>
      </c>
      <c r="NL132" s="113">
        <v>10</v>
      </c>
      <c r="NM132" s="114" t="s">
        <v>466</v>
      </c>
      <c r="NN132" s="114" t="s">
        <v>1520</v>
      </c>
      <c r="NO132" s="113" t="s">
        <v>1518</v>
      </c>
      <c r="NQ132" s="236">
        <v>42147</v>
      </c>
      <c r="NS132" s="113"/>
      <c r="NT132" s="113"/>
      <c r="NU132" s="97" t="s">
        <v>1497</v>
      </c>
      <c r="NV132" s="113">
        <v>1</v>
      </c>
      <c r="NW132" s="114" t="s">
        <v>1490</v>
      </c>
      <c r="NX132" s="114" t="s">
        <v>1490</v>
      </c>
      <c r="NY132" s="113"/>
      <c r="NZ132" s="113" t="s">
        <v>1596</v>
      </c>
      <c r="OA132" s="114" t="s">
        <v>58</v>
      </c>
      <c r="OB132" s="238" t="s">
        <v>96</v>
      </c>
      <c r="OC132" s="114" t="s">
        <v>22</v>
      </c>
      <c r="OD132" s="114" t="s">
        <v>443</v>
      </c>
      <c r="OE132" s="112" t="s">
        <v>1555</v>
      </c>
      <c r="OF132" s="113"/>
    </row>
    <row r="133" spans="2:503" ht="75">
      <c r="B133" s="37">
        <v>1</v>
      </c>
      <c r="C133" s="40" t="s">
        <v>1474</v>
      </c>
      <c r="E133" s="114"/>
      <c r="F133" s="23"/>
      <c r="G133" s="2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c r="BS133" s="113"/>
      <c r="BT133" s="113"/>
      <c r="BU133" s="113"/>
      <c r="BV133" s="113"/>
      <c r="BW133" s="113"/>
      <c r="BX133" s="113"/>
      <c r="BY133" s="113"/>
      <c r="BZ133" s="113"/>
      <c r="CA133" s="113"/>
      <c r="CB133" s="113"/>
      <c r="CC133" s="113"/>
      <c r="CD133" s="113"/>
      <c r="CE133" s="113"/>
      <c r="CF133" s="113"/>
      <c r="CG133" s="113"/>
      <c r="CH133" s="113"/>
      <c r="CI133" s="113"/>
      <c r="CJ133" s="113"/>
      <c r="CK133" s="113"/>
      <c r="CL133" s="113"/>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c r="EC133" s="113"/>
      <c r="ED133" s="113"/>
      <c r="EE133" s="113"/>
      <c r="EF133" s="113"/>
      <c r="EG133" s="113"/>
      <c r="EH133" s="113"/>
      <c r="EI133" s="113"/>
      <c r="EJ133" s="113"/>
      <c r="EK133" s="113"/>
      <c r="EL133" s="113"/>
      <c r="EM133" s="113"/>
      <c r="EN133" s="113"/>
      <c r="EO133" s="113"/>
      <c r="EP133" s="113"/>
      <c r="EQ133" s="113"/>
      <c r="ER133" s="113"/>
      <c r="ES133" s="113"/>
      <c r="ET133" s="113"/>
      <c r="EU133" s="113"/>
      <c r="EV133" s="113"/>
      <c r="EW133" s="113"/>
      <c r="EX133" s="113"/>
      <c r="EY133" s="113"/>
      <c r="EZ133" s="113"/>
      <c r="FA133" s="113"/>
      <c r="FB133" s="113"/>
      <c r="FC133" s="113"/>
      <c r="FD133" s="113"/>
      <c r="FE133" s="113"/>
      <c r="FF133" s="113"/>
      <c r="FG133" s="113"/>
      <c r="FH133" s="113"/>
      <c r="FI133" s="113"/>
      <c r="FJ133" s="113"/>
      <c r="FK133" s="113"/>
      <c r="FL133" s="113"/>
      <c r="FM133" s="113"/>
      <c r="FN133" s="113"/>
      <c r="FO133" s="113"/>
      <c r="FP133" s="113"/>
      <c r="FQ133" s="113"/>
      <c r="FR133" s="113"/>
      <c r="FS133" s="113"/>
      <c r="FT133" s="113"/>
      <c r="FU133" s="113"/>
      <c r="FV133" s="113"/>
      <c r="FW133" s="113"/>
      <c r="FX133" s="113"/>
      <c r="FY133" s="113"/>
      <c r="FZ133" s="113"/>
      <c r="GA133" s="113"/>
      <c r="GB133" s="113"/>
      <c r="GC133" s="113"/>
      <c r="GD133" s="113"/>
      <c r="GE133" s="112"/>
      <c r="GF133" s="113"/>
      <c r="GG133" s="113"/>
      <c r="GH133" s="113"/>
      <c r="GI133" s="113"/>
      <c r="GJ133" s="113"/>
      <c r="GK133" s="113"/>
      <c r="GL133" s="113"/>
      <c r="GM133" s="113"/>
      <c r="GN133" s="113"/>
      <c r="GO133" s="113"/>
      <c r="GP133" s="113"/>
      <c r="GQ133" s="113"/>
      <c r="GR133" s="113"/>
      <c r="GS133" s="113"/>
      <c r="GT133" s="113"/>
      <c r="GU133" s="113"/>
      <c r="GV133" s="113"/>
      <c r="GW133" s="113"/>
      <c r="GX133" s="113"/>
      <c r="GY133" s="113"/>
      <c r="GZ133" s="113"/>
      <c r="HA133" s="113"/>
      <c r="HB133" s="113"/>
      <c r="HC133" s="113"/>
      <c r="HD133" s="113"/>
      <c r="HE133" s="113"/>
      <c r="HF133" s="113"/>
      <c r="HG133" s="113"/>
      <c r="HH133" s="113"/>
      <c r="HI133" s="113"/>
      <c r="HJ133" s="113"/>
      <c r="HK133" s="113"/>
      <c r="HL133" s="113"/>
      <c r="HM133" s="113"/>
      <c r="HN133" s="113"/>
      <c r="HO133" s="113"/>
      <c r="HP133" s="113"/>
      <c r="HQ133" s="113"/>
      <c r="HR133" s="113"/>
      <c r="HS133" s="113"/>
      <c r="HT133" s="113"/>
      <c r="HU133" s="113"/>
      <c r="HV133" s="113"/>
      <c r="HW133" s="113"/>
      <c r="HX133" s="113"/>
      <c r="HY133" s="113"/>
      <c r="HZ133" s="113"/>
      <c r="IA133" s="113"/>
      <c r="IB133" s="113"/>
      <c r="IC133" s="113"/>
      <c r="ID133" s="113"/>
      <c r="IE133" s="113"/>
      <c r="IF133" s="113"/>
      <c r="IG133" s="113"/>
      <c r="IH133" s="113"/>
      <c r="II133" s="113"/>
      <c r="IJ133" s="113"/>
      <c r="IK133" s="113"/>
      <c r="IL133" s="113"/>
      <c r="IM133" s="113"/>
      <c r="IN133" s="113"/>
      <c r="IO133" s="113"/>
      <c r="IP133" s="113"/>
      <c r="IQ133" s="113"/>
      <c r="IR133" s="113"/>
      <c r="IS133" s="113"/>
      <c r="IT133" s="113"/>
      <c r="IU133" s="113"/>
      <c r="IV133" s="113"/>
      <c r="IW133" s="113"/>
      <c r="IX133" s="113"/>
      <c r="IY133" s="113"/>
      <c r="IZ133" s="113"/>
      <c r="JA133" s="113"/>
      <c r="JB133" s="113"/>
      <c r="JC133" s="113"/>
      <c r="JD133" s="113"/>
      <c r="JE133" s="113"/>
      <c r="JF133" s="113"/>
      <c r="JG133" s="113"/>
      <c r="JH133" s="113"/>
      <c r="JI133" s="113"/>
      <c r="JJ133" s="113"/>
      <c r="JK133" s="113"/>
      <c r="JL133" s="113"/>
      <c r="JM133" s="113"/>
      <c r="JN133" s="113"/>
      <c r="JO133" s="113"/>
      <c r="JP133" s="113"/>
      <c r="JQ133" s="113"/>
      <c r="JR133" s="113"/>
      <c r="JS133" s="113"/>
      <c r="JT133" s="113"/>
      <c r="JU133" s="113"/>
      <c r="JV133" s="113"/>
      <c r="JW133" s="113"/>
      <c r="JX133" s="113"/>
      <c r="JY133" s="113"/>
      <c r="JZ133" s="113"/>
      <c r="KA133" s="113"/>
      <c r="KB133" s="113"/>
      <c r="KC133" s="113"/>
      <c r="KD133" s="113"/>
      <c r="KE133" s="113"/>
      <c r="KF133" s="113"/>
      <c r="KG133" s="113"/>
      <c r="KH133" s="113"/>
      <c r="KI133" s="28">
        <v>42128.574849537035</v>
      </c>
      <c r="KJ133" s="28">
        <v>42128.5783912037</v>
      </c>
      <c r="KK133" s="113" t="s">
        <v>1595</v>
      </c>
      <c r="KL133" s="113"/>
      <c r="KM133" s="114" t="s">
        <v>1413</v>
      </c>
      <c r="KN133" s="34" t="s">
        <v>1553</v>
      </c>
      <c r="KO133" s="114" t="s">
        <v>1471</v>
      </c>
      <c r="KP133" s="113" t="s">
        <v>1544</v>
      </c>
      <c r="KQ133" s="241" t="s">
        <v>1563</v>
      </c>
      <c r="KR133" s="114" t="s">
        <v>84</v>
      </c>
      <c r="KS133" s="113" t="s">
        <v>79</v>
      </c>
      <c r="KT133" s="114" t="s">
        <v>1481</v>
      </c>
      <c r="KU133" s="114"/>
      <c r="KV133" s="34">
        <v>0.88890000000000002</v>
      </c>
      <c r="KW133" s="113" t="s">
        <v>1545</v>
      </c>
      <c r="KX133" s="114" t="s">
        <v>78</v>
      </c>
      <c r="KY133" s="113" t="s">
        <v>519</v>
      </c>
      <c r="KZ133" s="113"/>
      <c r="LA133" s="114" t="s">
        <v>1500</v>
      </c>
      <c r="LB133" s="114" t="s">
        <v>1484</v>
      </c>
      <c r="LC133" s="113" t="s">
        <v>1556</v>
      </c>
      <c r="LD133" s="114" t="s">
        <v>1524</v>
      </c>
      <c r="LE133" s="113">
        <v>12</v>
      </c>
      <c r="LF133" s="114" t="s">
        <v>1525</v>
      </c>
      <c r="LG133" s="113" t="s">
        <v>1528</v>
      </c>
      <c r="LH133" s="113" t="s">
        <v>1529</v>
      </c>
      <c r="LI133" s="113" t="s">
        <v>519</v>
      </c>
      <c r="LJ133" s="114" t="s">
        <v>1541</v>
      </c>
      <c r="LK133" t="s">
        <v>1555</v>
      </c>
      <c r="LL133" s="113" t="s">
        <v>1584</v>
      </c>
      <c r="LM133" s="114">
        <v>0.88890000000000002</v>
      </c>
      <c r="LN133" s="113">
        <v>0</v>
      </c>
      <c r="LO133" s="113" t="s">
        <v>1585</v>
      </c>
      <c r="LP133" s="114" t="s">
        <v>1570</v>
      </c>
      <c r="LQ133" s="113" t="s">
        <v>1400</v>
      </c>
      <c r="LR133" s="113" t="s">
        <v>1496</v>
      </c>
      <c r="LS133" s="113"/>
      <c r="LT133" s="113"/>
      <c r="LV133" s="113"/>
      <c r="LW133" s="113"/>
      <c r="MB133" s="113">
        <v>1000</v>
      </c>
      <c r="MC133" s="113"/>
      <c r="ME133" s="114" t="s">
        <v>1449</v>
      </c>
      <c r="MF133" s="112" t="s">
        <v>1513</v>
      </c>
      <c r="MG133" s="112" t="s">
        <v>1514</v>
      </c>
      <c r="MH133" s="114" t="s">
        <v>1557</v>
      </c>
      <c r="MI133" s="114" t="s">
        <v>1557</v>
      </c>
      <c r="MJ133" s="51" t="s">
        <v>1450</v>
      </c>
      <c r="MK133" s="51" t="s">
        <v>1450</v>
      </c>
      <c r="ML133" s="112" t="s">
        <v>1516</v>
      </c>
      <c r="MM133" s="112" t="s">
        <v>1515</v>
      </c>
      <c r="MN133" s="34" t="s">
        <v>1559</v>
      </c>
      <c r="MO133" s="34" t="s">
        <v>519</v>
      </c>
      <c r="MW133" s="113"/>
      <c r="MX133" s="112">
        <v>7011</v>
      </c>
      <c r="MY133" s="114" t="s">
        <v>1558</v>
      </c>
      <c r="MZ133" s="114" t="s">
        <v>1499</v>
      </c>
      <c r="NA133" s="114" t="s">
        <v>1473</v>
      </c>
      <c r="NB133" s="113">
        <v>2020</v>
      </c>
      <c r="NC133" s="113">
        <v>123</v>
      </c>
      <c r="ND133" s="113">
        <v>10</v>
      </c>
      <c r="NE133" s="114" t="s">
        <v>466</v>
      </c>
      <c r="NF133" s="113">
        <v>1988</v>
      </c>
      <c r="NJ133" s="114" t="s">
        <v>1517</v>
      </c>
      <c r="NK133" s="114" t="s">
        <v>1517</v>
      </c>
      <c r="NL133" s="113">
        <v>10</v>
      </c>
      <c r="NM133" s="114" t="s">
        <v>466</v>
      </c>
      <c r="NN133" s="114" t="s">
        <v>1520</v>
      </c>
      <c r="NO133" s="113" t="s">
        <v>1518</v>
      </c>
      <c r="NQ133" s="236">
        <v>42147</v>
      </c>
      <c r="NS133" s="113"/>
      <c r="NT133" s="113"/>
      <c r="NU133" s="97" t="s">
        <v>1497</v>
      </c>
      <c r="NV133" s="113">
        <v>1</v>
      </c>
      <c r="NW133" s="114" t="s">
        <v>1490</v>
      </c>
      <c r="NX133" s="114" t="s">
        <v>1490</v>
      </c>
      <c r="NZ133" s="113" t="s">
        <v>1594</v>
      </c>
      <c r="OA133" s="114" t="s">
        <v>58</v>
      </c>
      <c r="OB133" s="238" t="s">
        <v>96</v>
      </c>
      <c r="OC133" s="114" t="s">
        <v>22</v>
      </c>
      <c r="OD133" s="114" t="s">
        <v>443</v>
      </c>
      <c r="OE133" s="112" t="s">
        <v>1555</v>
      </c>
      <c r="OF133" s="113"/>
    </row>
    <row r="134" spans="2:503" ht="409.5">
      <c r="B134" s="37">
        <v>1</v>
      </c>
      <c r="C134" s="40" t="s">
        <v>1498</v>
      </c>
      <c r="D134" s="21" t="s">
        <v>1393</v>
      </c>
      <c r="E134" s="114" t="s">
        <v>1601</v>
      </c>
      <c r="F134" s="23" t="str">
        <f>HYPERLINK("C:\RaviK\SALT_POC_Release14.0\SALT SVN 13.01 Release\Projects\SALT\Snapshots\TC_POC_002_IN-MU-LT-J27116\201554\151245\Iterator_1\TC_POC_0021.xlsx","Snapshot")</f>
        <v>Snapshot</v>
      </c>
      <c r="G134" s="50" t="str">
        <f>HYPERLINK("C:\RaviK\SALT_POC_Release14.0\SALT SVN 13.01 Release\Projects\SALT\Snapshots\TC_POC_002_IN-MU-LT-J27116\201554\151245\Iterator_1\Merge.html","Result")</f>
        <v>Result</v>
      </c>
      <c r="KI134" s="28">
        <v>42128.63385416667</v>
      </c>
      <c r="KJ134" s="28">
        <v>42128.649282407408</v>
      </c>
      <c r="KK134" s="21" t="s">
        <v>1603</v>
      </c>
      <c r="KM134" s="114" t="s">
        <v>1413</v>
      </c>
      <c r="KN134" s="34" t="s">
        <v>1553</v>
      </c>
      <c r="KO134" s="114" t="s">
        <v>1471</v>
      </c>
      <c r="KP134" s="113" t="s">
        <v>686</v>
      </c>
      <c r="KQ134" s="241" t="s">
        <v>1563</v>
      </c>
      <c r="KR134" s="114" t="s">
        <v>84</v>
      </c>
      <c r="KS134" s="113" t="s">
        <v>79</v>
      </c>
      <c r="KT134" s="114" t="s">
        <v>1481</v>
      </c>
      <c r="KU134" s="114"/>
      <c r="KV134" s="113">
        <v>0.88890000000000002</v>
      </c>
      <c r="KW134" s="113" t="s">
        <v>1545</v>
      </c>
      <c r="KX134" s="114" t="s">
        <v>78</v>
      </c>
      <c r="KY134" s="113" t="s">
        <v>519</v>
      </c>
      <c r="KZ134" s="113"/>
      <c r="LA134" s="114" t="s">
        <v>1500</v>
      </c>
      <c r="LB134" s="114" t="s">
        <v>1484</v>
      </c>
      <c r="LC134" s="21" t="s">
        <v>1556</v>
      </c>
      <c r="LD134" s="114" t="s">
        <v>1524</v>
      </c>
      <c r="LE134" s="21">
        <v>12</v>
      </c>
      <c r="LF134" s="114" t="s">
        <v>1525</v>
      </c>
      <c r="LG134" s="21" t="s">
        <v>1528</v>
      </c>
      <c r="LH134" s="21" t="s">
        <v>1529</v>
      </c>
      <c r="LI134" s="21" t="s">
        <v>519</v>
      </c>
      <c r="LJ134" s="114" t="s">
        <v>1541</v>
      </c>
      <c r="LK134" s="112" t="s">
        <v>1555</v>
      </c>
      <c r="LL134" s="113" t="s">
        <v>1584</v>
      </c>
      <c r="LM134" s="113">
        <v>0.88890000000000002</v>
      </c>
      <c r="LN134" s="113">
        <v>0</v>
      </c>
      <c r="LO134" s="113" t="s">
        <v>1585</v>
      </c>
      <c r="LP134" s="114" t="s">
        <v>1570</v>
      </c>
      <c r="LQ134" s="113" t="s">
        <v>1400</v>
      </c>
      <c r="LR134" s="113" t="s">
        <v>1496</v>
      </c>
      <c r="MB134" s="113">
        <v>1000</v>
      </c>
      <c r="ME134" s="114" t="s">
        <v>1449</v>
      </c>
      <c r="MF134" t="s">
        <v>1513</v>
      </c>
      <c r="MG134" t="s">
        <v>1514</v>
      </c>
      <c r="MH134" s="114" t="s">
        <v>1557</v>
      </c>
      <c r="MI134" s="114" t="s">
        <v>1557</v>
      </c>
      <c r="MJ134" s="51" t="s">
        <v>1450</v>
      </c>
      <c r="MK134" s="51" t="s">
        <v>1450</v>
      </c>
      <c r="ML134" t="s">
        <v>1516</v>
      </c>
      <c r="MM134" t="s">
        <v>1515</v>
      </c>
      <c r="MN134" s="34" t="s">
        <v>1559</v>
      </c>
      <c r="MO134" s="34" t="s">
        <v>519</v>
      </c>
      <c r="MW134" s="113"/>
      <c r="MX134">
        <v>7011</v>
      </c>
      <c r="MY134" s="114" t="s">
        <v>1558</v>
      </c>
      <c r="MZ134" s="114" t="s">
        <v>1546</v>
      </c>
      <c r="NA134" s="114" t="s">
        <v>1473</v>
      </c>
      <c r="NB134" s="113">
        <v>2020</v>
      </c>
      <c r="NC134" s="113">
        <v>123</v>
      </c>
      <c r="ND134" s="113">
        <v>10</v>
      </c>
      <c r="NE134" s="114" t="s">
        <v>466</v>
      </c>
      <c r="NF134" s="113">
        <v>1988</v>
      </c>
      <c r="NJ134" s="114" t="s">
        <v>1517</v>
      </c>
      <c r="NK134" s="114" t="s">
        <v>1517</v>
      </c>
      <c r="NL134" s="113">
        <v>10</v>
      </c>
      <c r="NM134" s="114" t="s">
        <v>466</v>
      </c>
      <c r="NN134" s="114" t="s">
        <v>1520</v>
      </c>
      <c r="NO134" s="113" t="s">
        <v>1518</v>
      </c>
      <c r="NQ134" s="236">
        <v>42147</v>
      </c>
      <c r="NU134" s="97" t="s">
        <v>1497</v>
      </c>
      <c r="NV134" s="113">
        <v>1</v>
      </c>
      <c r="NW134" s="114" t="s">
        <v>1490</v>
      </c>
      <c r="NX134" s="114" t="s">
        <v>1490</v>
      </c>
      <c r="NZ134" s="113" t="s">
        <v>1602</v>
      </c>
      <c r="OA134" s="114" t="s">
        <v>58</v>
      </c>
      <c r="OB134" s="238" t="s">
        <v>96</v>
      </c>
      <c r="OC134" s="114" t="s">
        <v>22</v>
      </c>
      <c r="OD134" s="114" t="s">
        <v>443</v>
      </c>
      <c r="OE134" s="114" t="s">
        <v>1555</v>
      </c>
      <c r="OF134" s="113"/>
    </row>
    <row r="135" spans="2:503" ht="75.75" thickBot="1">
      <c r="B135" s="37">
        <v>1</v>
      </c>
      <c r="C135" s="40" t="s">
        <v>1501</v>
      </c>
      <c r="E135" s="114"/>
      <c r="F135" s="23"/>
      <c r="G135" s="2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c r="BS135" s="113"/>
      <c r="BT135" s="113"/>
      <c r="BU135" s="113"/>
      <c r="BV135" s="113"/>
      <c r="BW135" s="113"/>
      <c r="BX135" s="113"/>
      <c r="BY135" s="113"/>
      <c r="BZ135" s="113"/>
      <c r="CA135" s="113"/>
      <c r="CB135" s="113"/>
      <c r="CC135" s="113"/>
      <c r="CD135" s="113"/>
      <c r="CE135" s="113"/>
      <c r="CF135" s="113"/>
      <c r="CG135" s="113"/>
      <c r="CH135" s="113"/>
      <c r="CI135" s="113"/>
      <c r="CJ135" s="113"/>
      <c r="CK135" s="113"/>
      <c r="CL135" s="113"/>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c r="EC135" s="113"/>
      <c r="ED135" s="113"/>
      <c r="EE135" s="113"/>
      <c r="EF135" s="113"/>
      <c r="EG135" s="113"/>
      <c r="EH135" s="113"/>
      <c r="EI135" s="113"/>
      <c r="EJ135" s="113"/>
      <c r="EK135" s="113"/>
      <c r="EL135" s="113"/>
      <c r="EM135" s="113"/>
      <c r="EN135" s="113"/>
      <c r="EO135" s="113"/>
      <c r="EP135" s="113"/>
      <c r="EQ135" s="113"/>
      <c r="ER135" s="113"/>
      <c r="ES135" s="113"/>
      <c r="ET135" s="113"/>
      <c r="EU135" s="113"/>
      <c r="EV135" s="113"/>
      <c r="EW135" s="113"/>
      <c r="EX135" s="113"/>
      <c r="EY135" s="113"/>
      <c r="EZ135" s="113"/>
      <c r="FA135" s="113"/>
      <c r="FB135" s="113"/>
      <c r="FC135" s="113"/>
      <c r="FD135" s="113"/>
      <c r="FE135" s="113"/>
      <c r="FF135" s="113"/>
      <c r="FG135" s="113"/>
      <c r="FH135" s="113"/>
      <c r="FI135" s="113"/>
      <c r="FJ135" s="113"/>
      <c r="FK135" s="113"/>
      <c r="FL135" s="113"/>
      <c r="FM135" s="113"/>
      <c r="FN135" s="113"/>
      <c r="FO135" s="113"/>
      <c r="FP135" s="113"/>
      <c r="FQ135" s="113"/>
      <c r="FR135" s="113"/>
      <c r="FS135" s="113"/>
      <c r="FT135" s="113"/>
      <c r="FU135" s="113"/>
      <c r="FV135" s="113"/>
      <c r="FW135" s="113"/>
      <c r="FX135" s="113"/>
      <c r="FY135" s="113"/>
      <c r="FZ135" s="113"/>
      <c r="GA135" s="113"/>
      <c r="GB135" s="113"/>
      <c r="GC135" s="113"/>
      <c r="GD135" s="113"/>
      <c r="GE135" s="112"/>
      <c r="GF135" s="113"/>
      <c r="GG135" s="113"/>
      <c r="GH135" s="113"/>
      <c r="GI135" s="113"/>
      <c r="GJ135" s="113"/>
      <c r="GK135" s="113"/>
      <c r="GL135" s="113"/>
      <c r="GM135" s="113"/>
      <c r="GN135" s="113"/>
      <c r="GO135" s="113"/>
      <c r="GP135" s="113"/>
      <c r="GQ135" s="113"/>
      <c r="GR135" s="113"/>
      <c r="GS135" s="113"/>
      <c r="GT135" s="113"/>
      <c r="GU135" s="113"/>
      <c r="GV135" s="113"/>
      <c r="GW135" s="113"/>
      <c r="GX135" s="113"/>
      <c r="GY135" s="113"/>
      <c r="GZ135" s="113"/>
      <c r="HA135" s="113"/>
      <c r="HB135" s="113"/>
      <c r="HC135" s="113"/>
      <c r="HD135" s="113"/>
      <c r="HE135" s="113"/>
      <c r="HF135" s="113"/>
      <c r="HG135" s="113"/>
      <c r="HH135" s="113"/>
      <c r="HI135" s="113"/>
      <c r="HJ135" s="113"/>
      <c r="HK135" s="113"/>
      <c r="HL135" s="113"/>
      <c r="HM135" s="113"/>
      <c r="HN135" s="113"/>
      <c r="HO135" s="113"/>
      <c r="HP135" s="113"/>
      <c r="HQ135" s="113"/>
      <c r="HR135" s="113"/>
      <c r="HS135" s="113"/>
      <c r="HT135" s="113"/>
      <c r="HU135" s="113"/>
      <c r="HV135" s="113"/>
      <c r="HW135" s="113"/>
      <c r="HX135" s="113"/>
      <c r="HY135" s="113"/>
      <c r="HZ135" s="113"/>
      <c r="IA135" s="113"/>
      <c r="IB135" s="113"/>
      <c r="IC135" s="113"/>
      <c r="ID135" s="113"/>
      <c r="IE135" s="113"/>
      <c r="IF135" s="113"/>
      <c r="IG135" s="113"/>
      <c r="IH135" s="113"/>
      <c r="II135" s="113"/>
      <c r="IJ135" s="113"/>
      <c r="IK135" s="113"/>
      <c r="IL135" s="113"/>
      <c r="IM135" s="113"/>
      <c r="IN135" s="113"/>
      <c r="IO135" s="113"/>
      <c r="IP135" s="113"/>
      <c r="IQ135" s="113"/>
      <c r="IR135" s="113"/>
      <c r="IS135" s="113"/>
      <c r="IT135" s="113"/>
      <c r="IU135" s="113"/>
      <c r="IV135" s="113"/>
      <c r="IW135" s="113"/>
      <c r="IX135" s="113"/>
      <c r="IY135" s="113"/>
      <c r="IZ135" s="113"/>
      <c r="JA135" s="113"/>
      <c r="JB135" s="113"/>
      <c r="JC135" s="113"/>
      <c r="JD135" s="113"/>
      <c r="JE135" s="113"/>
      <c r="JF135" s="113"/>
      <c r="JG135" s="113"/>
      <c r="JH135" s="113"/>
      <c r="JI135" s="113"/>
      <c r="JJ135" s="113"/>
      <c r="JK135" s="113"/>
      <c r="JL135" s="113"/>
      <c r="JM135" s="113"/>
      <c r="JN135" s="113"/>
      <c r="JO135" s="113"/>
      <c r="JP135" s="113"/>
      <c r="JQ135" s="113"/>
      <c r="JR135" s="113"/>
      <c r="JS135" s="113"/>
      <c r="JT135" s="113"/>
      <c r="JU135" s="113"/>
      <c r="JV135" s="113"/>
      <c r="JW135" s="113"/>
      <c r="JX135" s="113"/>
      <c r="JY135" s="113"/>
      <c r="JZ135" s="113"/>
      <c r="KA135" s="113"/>
      <c r="KB135" s="113"/>
      <c r="KC135" s="113"/>
      <c r="KD135" s="113"/>
      <c r="KE135" s="113"/>
      <c r="KF135" s="113"/>
      <c r="KG135" s="113"/>
      <c r="KH135" s="113"/>
      <c r="KI135" s="28">
        <v>42128.587476851855</v>
      </c>
      <c r="KJ135" s="28">
        <v>42128.592291666668</v>
      </c>
      <c r="KK135" s="113" t="s">
        <v>1598</v>
      </c>
      <c r="KL135" s="113"/>
      <c r="KM135" s="114" t="s">
        <v>1413</v>
      </c>
      <c r="KN135" s="34" t="s">
        <v>1553</v>
      </c>
      <c r="KO135" s="114" t="s">
        <v>1471</v>
      </c>
      <c r="KP135" s="113" t="s">
        <v>686</v>
      </c>
      <c r="KQ135" s="241" t="s">
        <v>1563</v>
      </c>
      <c r="KR135" s="114" t="s">
        <v>84</v>
      </c>
      <c r="KS135" s="113" t="s">
        <v>79</v>
      </c>
      <c r="KT135" s="114" t="s">
        <v>1481</v>
      </c>
      <c r="KU135" s="114"/>
      <c r="KV135" s="34">
        <v>0.88890000000000002</v>
      </c>
      <c r="KW135" s="113" t="s">
        <v>1550</v>
      </c>
      <c r="KX135" s="114" t="s">
        <v>78</v>
      </c>
      <c r="KY135" s="113" t="s">
        <v>519</v>
      </c>
      <c r="KZ135" s="113"/>
      <c r="LA135" s="114" t="s">
        <v>1500</v>
      </c>
      <c r="LB135" s="114" t="s">
        <v>1484</v>
      </c>
      <c r="LC135" s="113" t="s">
        <v>1556</v>
      </c>
      <c r="LD135" s="114" t="s">
        <v>1524</v>
      </c>
      <c r="LE135" s="113">
        <v>12</v>
      </c>
      <c r="LF135" s="114" t="s">
        <v>1525</v>
      </c>
      <c r="LG135" s="113" t="s">
        <v>1528</v>
      </c>
      <c r="LH135" s="113" t="s">
        <v>1529</v>
      </c>
      <c r="LI135" s="113" t="s">
        <v>519</v>
      </c>
      <c r="LJ135" s="114" t="s">
        <v>1541</v>
      </c>
      <c r="LK135" s="112" t="s">
        <v>1555</v>
      </c>
      <c r="LL135" s="113" t="s">
        <v>1584</v>
      </c>
      <c r="LM135" s="114">
        <v>0.88890000000000002</v>
      </c>
      <c r="LN135" s="113">
        <v>0</v>
      </c>
      <c r="LO135" s="113" t="s">
        <v>1585</v>
      </c>
      <c r="LP135" s="114" t="s">
        <v>1588</v>
      </c>
      <c r="LQ135" s="113" t="s">
        <v>1400</v>
      </c>
      <c r="LR135" s="113" t="s">
        <v>1496</v>
      </c>
      <c r="LS135" s="113"/>
      <c r="LT135" s="113"/>
      <c r="LV135" s="113"/>
      <c r="LW135" s="113"/>
      <c r="MB135" s="113">
        <v>1000</v>
      </c>
      <c r="MC135" s="113"/>
      <c r="ME135" s="114" t="s">
        <v>1449</v>
      </c>
      <c r="MF135" s="112" t="s">
        <v>1513</v>
      </c>
      <c r="MG135" s="112" t="s">
        <v>1514</v>
      </c>
      <c r="MH135" s="114" t="s">
        <v>1557</v>
      </c>
      <c r="MI135" s="114" t="s">
        <v>1557</v>
      </c>
      <c r="MJ135" s="51" t="s">
        <v>1450</v>
      </c>
      <c r="MK135" s="51" t="s">
        <v>1450</v>
      </c>
      <c r="ML135" s="112" t="s">
        <v>1516</v>
      </c>
      <c r="MM135" s="112" t="s">
        <v>1515</v>
      </c>
      <c r="MN135" s="34" t="s">
        <v>1559</v>
      </c>
      <c r="MO135" s="34" t="s">
        <v>519</v>
      </c>
      <c r="MW135" s="113"/>
      <c r="MX135" s="112">
        <v>7011</v>
      </c>
      <c r="MY135" s="114" t="s">
        <v>1558</v>
      </c>
      <c r="MZ135" s="114" t="s">
        <v>1546</v>
      </c>
      <c r="NA135" s="114" t="s">
        <v>1473</v>
      </c>
      <c r="NB135" s="113">
        <v>2020</v>
      </c>
      <c r="NC135" s="113">
        <v>123</v>
      </c>
      <c r="ND135" s="113">
        <v>10</v>
      </c>
      <c r="NE135" s="114" t="s">
        <v>466</v>
      </c>
      <c r="NF135" s="113">
        <v>1988</v>
      </c>
      <c r="NJ135" s="114" t="s">
        <v>1517</v>
      </c>
      <c r="NK135" s="114" t="s">
        <v>1517</v>
      </c>
      <c r="NL135" s="113">
        <v>10</v>
      </c>
      <c r="NM135" s="114" t="s">
        <v>466</v>
      </c>
      <c r="NN135" s="114" t="s">
        <v>1520</v>
      </c>
      <c r="NO135" s="113" t="s">
        <v>1518</v>
      </c>
      <c r="NQ135" s="236">
        <v>42129</v>
      </c>
      <c r="NS135" s="113"/>
      <c r="NT135" s="113"/>
      <c r="NU135" s="97" t="s">
        <v>1497</v>
      </c>
      <c r="NV135" s="113">
        <v>1</v>
      </c>
      <c r="NW135" s="114" t="s">
        <v>1490</v>
      </c>
      <c r="NX135" s="114" t="s">
        <v>1490</v>
      </c>
      <c r="NZ135" s="113" t="s">
        <v>1587</v>
      </c>
      <c r="OA135" s="114" t="s">
        <v>58</v>
      </c>
      <c r="OB135" s="238" t="s">
        <v>96</v>
      </c>
      <c r="OC135" s="114" t="s">
        <v>22</v>
      </c>
      <c r="OD135" s="114" t="s">
        <v>443</v>
      </c>
      <c r="OE135" s="112" t="s">
        <v>1555</v>
      </c>
      <c r="OF135" s="113"/>
    </row>
    <row r="136" spans="2:503" ht="45">
      <c r="B136" s="37">
        <v>1</v>
      </c>
      <c r="C136" s="40" t="s">
        <v>1502</v>
      </c>
      <c r="E136" s="114"/>
      <c r="F136" s="23"/>
      <c r="G136" s="2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c r="BS136" s="113"/>
      <c r="BT136" s="113"/>
      <c r="BU136" s="113"/>
      <c r="BV136" s="113"/>
      <c r="BW136" s="113"/>
      <c r="BX136" s="113"/>
      <c r="BY136" s="113"/>
      <c r="BZ136" s="113"/>
      <c r="CA136" s="113"/>
      <c r="CB136" s="113"/>
      <c r="CC136" s="113"/>
      <c r="CD136" s="113"/>
      <c r="CE136" s="113"/>
      <c r="CF136" s="113"/>
      <c r="CG136" s="113"/>
      <c r="CH136" s="113"/>
      <c r="CI136" s="113"/>
      <c r="CJ136" s="113"/>
      <c r="CK136" s="113"/>
      <c r="CL136" s="113"/>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c r="EC136" s="113"/>
      <c r="ED136" s="113"/>
      <c r="EE136" s="113"/>
      <c r="EF136" s="113"/>
      <c r="EG136" s="113"/>
      <c r="EH136" s="113"/>
      <c r="EI136" s="113"/>
      <c r="EJ136" s="113"/>
      <c r="EK136" s="113"/>
      <c r="EL136" s="113"/>
      <c r="EM136" s="113"/>
      <c r="EN136" s="113"/>
      <c r="EO136" s="113"/>
      <c r="EP136" s="113"/>
      <c r="EQ136" s="113"/>
      <c r="ER136" s="113"/>
      <c r="ES136" s="113"/>
      <c r="ET136" s="113"/>
      <c r="EU136" s="113"/>
      <c r="EV136" s="113"/>
      <c r="EW136" s="113"/>
      <c r="EX136" s="113"/>
      <c r="EY136" s="113"/>
      <c r="EZ136" s="113"/>
      <c r="FA136" s="113"/>
      <c r="FB136" s="113"/>
      <c r="FC136" s="113"/>
      <c r="FD136" s="113"/>
      <c r="FE136" s="113"/>
      <c r="FF136" s="113"/>
      <c r="FG136" s="113"/>
      <c r="FH136" s="113"/>
      <c r="FI136" s="113"/>
      <c r="FJ136" s="113"/>
      <c r="FK136" s="113"/>
      <c r="FL136" s="113"/>
      <c r="FM136" s="113"/>
      <c r="FN136" s="113"/>
      <c r="FO136" s="113"/>
      <c r="FP136" s="113"/>
      <c r="FQ136" s="113"/>
      <c r="FR136" s="113"/>
      <c r="FS136" s="113"/>
      <c r="FT136" s="113"/>
      <c r="FU136" s="113"/>
      <c r="FV136" s="113"/>
      <c r="FW136" s="113"/>
      <c r="FX136" s="113"/>
      <c r="FY136" s="113"/>
      <c r="FZ136" s="113"/>
      <c r="GA136" s="113"/>
      <c r="GB136" s="113"/>
      <c r="GC136" s="113"/>
      <c r="GD136" s="113"/>
      <c r="GE136" s="112"/>
      <c r="GF136" s="113"/>
      <c r="GG136" s="113"/>
      <c r="GH136" s="113"/>
      <c r="GI136" s="113"/>
      <c r="GJ136" s="113"/>
      <c r="GK136" s="113"/>
      <c r="GL136" s="113"/>
      <c r="GM136" s="113"/>
      <c r="GN136" s="113"/>
      <c r="GO136" s="113"/>
      <c r="GP136" s="113"/>
      <c r="GQ136" s="113"/>
      <c r="GR136" s="113"/>
      <c r="GS136" s="113"/>
      <c r="GT136" s="113"/>
      <c r="GU136" s="113"/>
      <c r="GV136" s="113"/>
      <c r="GW136" s="113"/>
      <c r="GX136" s="113"/>
      <c r="GY136" s="113"/>
      <c r="GZ136" s="113"/>
      <c r="HA136" s="113"/>
      <c r="HB136" s="113"/>
      <c r="HC136" s="113"/>
      <c r="HD136" s="113"/>
      <c r="HE136" s="113"/>
      <c r="HF136" s="113"/>
      <c r="HG136" s="113"/>
      <c r="HH136" s="113"/>
      <c r="HI136" s="113"/>
      <c r="HJ136" s="113"/>
      <c r="HK136" s="113"/>
      <c r="HL136" s="113"/>
      <c r="HM136" s="113"/>
      <c r="HN136" s="113"/>
      <c r="HO136" s="113"/>
      <c r="HP136" s="113"/>
      <c r="HQ136" s="113"/>
      <c r="HR136" s="113"/>
      <c r="HS136" s="113"/>
      <c r="HT136" s="113"/>
      <c r="HU136" s="113"/>
      <c r="HV136" s="113"/>
      <c r="HW136" s="113"/>
      <c r="HX136" s="113"/>
      <c r="HY136" s="113"/>
      <c r="HZ136" s="113"/>
      <c r="IA136" s="113"/>
      <c r="IB136" s="113"/>
      <c r="IC136" s="113"/>
      <c r="ID136" s="113"/>
      <c r="IE136" s="113"/>
      <c r="IF136" s="113"/>
      <c r="IG136" s="113"/>
      <c r="IH136" s="113"/>
      <c r="II136" s="113"/>
      <c r="IJ136" s="113"/>
      <c r="IK136" s="113"/>
      <c r="IL136" s="113"/>
      <c r="IM136" s="113"/>
      <c r="IN136" s="113"/>
      <c r="IO136" s="113"/>
      <c r="IP136" s="113"/>
      <c r="IQ136" s="113"/>
      <c r="IR136" s="113"/>
      <c r="IS136" s="113"/>
      <c r="IT136" s="113"/>
      <c r="IU136" s="113"/>
      <c r="IV136" s="113"/>
      <c r="IW136" s="113"/>
      <c r="IX136" s="113"/>
      <c r="IY136" s="113"/>
      <c r="IZ136" s="113"/>
      <c r="JA136" s="113"/>
      <c r="JB136" s="113"/>
      <c r="JC136" s="113"/>
      <c r="JD136" s="113"/>
      <c r="JE136" s="113"/>
      <c r="JF136" s="113"/>
      <c r="JG136" s="113"/>
      <c r="JH136" s="113"/>
      <c r="JI136" s="113"/>
      <c r="JJ136" s="113"/>
      <c r="JK136" s="113"/>
      <c r="JL136" s="113"/>
      <c r="JM136" s="113"/>
      <c r="JN136" s="113"/>
      <c r="JO136" s="113"/>
      <c r="JP136" s="113"/>
      <c r="JQ136" s="113"/>
      <c r="JR136" s="113"/>
      <c r="JS136" s="113"/>
      <c r="JT136" s="113"/>
      <c r="JU136" s="113"/>
      <c r="JV136" s="113"/>
      <c r="JW136" s="113"/>
      <c r="JX136" s="113"/>
      <c r="JY136" s="113"/>
      <c r="JZ136" s="113"/>
      <c r="KA136" s="113"/>
      <c r="KB136" s="113"/>
      <c r="KC136" s="113"/>
      <c r="KD136" s="113"/>
      <c r="KE136" s="113"/>
      <c r="KF136" s="113"/>
      <c r="KG136" s="113"/>
      <c r="KH136" s="113"/>
      <c r="KI136" s="28">
        <v>42128.592314814814</v>
      </c>
      <c r="KJ136" s="28">
        <v>42128.59646990741</v>
      </c>
      <c r="KK136" s="113" t="s">
        <v>1600</v>
      </c>
      <c r="KL136" s="113"/>
      <c r="KM136" s="113"/>
      <c r="KN136" s="34" t="s">
        <v>1553</v>
      </c>
      <c r="KO136" s="113"/>
      <c r="KP136" s="113"/>
      <c r="KQ136" s="241" t="s">
        <v>1563</v>
      </c>
      <c r="KR136" s="114" t="s">
        <v>84</v>
      </c>
      <c r="KS136" s="113" t="s">
        <v>79</v>
      </c>
      <c r="KT136" s="114" t="s">
        <v>1481</v>
      </c>
      <c r="KU136" s="114"/>
      <c r="KV136">
        <v>0.81230000000000002</v>
      </c>
      <c r="KW136" s="113" t="s">
        <v>1545</v>
      </c>
      <c r="KX136" s="114" t="s">
        <v>78</v>
      </c>
      <c r="KY136" s="113" t="s">
        <v>519</v>
      </c>
      <c r="KZ136" s="113"/>
      <c r="LA136" s="114" t="s">
        <v>1500</v>
      </c>
      <c r="LB136" s="114" t="s">
        <v>1484</v>
      </c>
      <c r="LC136" s="113" t="s">
        <v>1556</v>
      </c>
      <c r="LD136" s="114" t="s">
        <v>1524</v>
      </c>
      <c r="LE136" s="113">
        <v>12</v>
      </c>
      <c r="LF136" s="114" t="s">
        <v>1525</v>
      </c>
      <c r="LG136" s="113" t="s">
        <v>1528</v>
      </c>
      <c r="LH136" s="113" t="s">
        <v>1529</v>
      </c>
      <c r="LI136" s="113" t="s">
        <v>519</v>
      </c>
      <c r="LJ136" s="113"/>
      <c r="LK136" s="112" t="s">
        <v>1555</v>
      </c>
      <c r="LL136" s="113"/>
      <c r="LM136" s="113">
        <v>0.88890000000000002</v>
      </c>
      <c r="LN136" s="113">
        <v>0</v>
      </c>
      <c r="LO136" s="113" t="s">
        <v>1569</v>
      </c>
      <c r="LP136" s="114" t="s">
        <v>1570</v>
      </c>
      <c r="LQ136" s="113" t="s">
        <v>1400</v>
      </c>
      <c r="LR136" s="113" t="s">
        <v>1531</v>
      </c>
      <c r="LS136" s="113"/>
      <c r="LT136" s="113"/>
      <c r="LU136" s="113"/>
      <c r="LV136" s="113"/>
      <c r="LW136" s="113"/>
      <c r="LX136" s="113"/>
      <c r="LY136" s="113"/>
      <c r="LZ136" s="113"/>
      <c r="MA136" s="113"/>
      <c r="MB136" s="113">
        <v>1000</v>
      </c>
      <c r="MC136" s="113"/>
      <c r="MD136" s="113"/>
      <c r="ME136" s="114" t="s">
        <v>1449</v>
      </c>
      <c r="MF136" s="241" t="s">
        <v>1539</v>
      </c>
      <c r="MG136" s="241" t="s">
        <v>1540</v>
      </c>
      <c r="MH136" s="114" t="s">
        <v>1557</v>
      </c>
      <c r="MI136" s="114" t="s">
        <v>1557</v>
      </c>
      <c r="MJ136" s="51" t="s">
        <v>1450</v>
      </c>
      <c r="MK136" s="51" t="s">
        <v>1450</v>
      </c>
      <c r="ML136" s="112" t="s">
        <v>1535</v>
      </c>
      <c r="MM136" s="34" t="s">
        <v>1532</v>
      </c>
      <c r="MN136" s="34" t="s">
        <v>1559</v>
      </c>
      <c r="MO136" s="34" t="s">
        <v>519</v>
      </c>
      <c r="MP136" s="113"/>
      <c r="MQ136" s="113"/>
      <c r="MR136" s="113"/>
      <c r="MS136" s="113"/>
      <c r="MT136" s="113"/>
      <c r="MU136" s="113"/>
      <c r="MV136" s="113"/>
      <c r="MW136" s="113"/>
      <c r="MX136" s="113">
        <v>2504</v>
      </c>
      <c r="MY136" s="114" t="s">
        <v>1558</v>
      </c>
      <c r="MZ136" s="114" t="s">
        <v>1499</v>
      </c>
      <c r="NA136" s="114" t="s">
        <v>1473</v>
      </c>
      <c r="NB136" s="113">
        <v>2020</v>
      </c>
      <c r="NC136" s="113">
        <v>123</v>
      </c>
      <c r="ND136" s="114" t="s">
        <v>1533</v>
      </c>
      <c r="NE136" s="114" t="s">
        <v>491</v>
      </c>
      <c r="NF136" s="113">
        <v>1960</v>
      </c>
      <c r="NJ136" s="114" t="s">
        <v>1534</v>
      </c>
      <c r="NK136" s="114" t="s">
        <v>1534</v>
      </c>
      <c r="NL136" s="113">
        <v>11</v>
      </c>
      <c r="NM136" s="114" t="s">
        <v>491</v>
      </c>
      <c r="NN136" s="114" t="s">
        <v>1520</v>
      </c>
      <c r="NO136" s="113" t="s">
        <v>1518</v>
      </c>
      <c r="NQ136" s="236">
        <v>42147</v>
      </c>
      <c r="NS136" s="113"/>
      <c r="NT136" s="113"/>
      <c r="NU136" s="97" t="s">
        <v>1497</v>
      </c>
      <c r="NV136" s="113">
        <v>1</v>
      </c>
      <c r="NW136" s="114" t="s">
        <v>1490</v>
      </c>
      <c r="NX136" s="114" t="s">
        <v>1490</v>
      </c>
      <c r="NY136" s="113"/>
      <c r="NZ136" s="113" t="s">
        <v>1599</v>
      </c>
      <c r="OA136" s="113" t="s">
        <v>58</v>
      </c>
      <c r="OB136" s="158" t="s">
        <v>96</v>
      </c>
      <c r="OC136" s="158" t="s">
        <v>22</v>
      </c>
      <c r="OD136" s="113" t="s">
        <v>443</v>
      </c>
      <c r="OE136" s="112" t="s">
        <v>1555</v>
      </c>
      <c r="OF136" s="113"/>
    </row>
    <row r="137" spans="2:503" ht="75">
      <c r="B137" s="37">
        <v>1</v>
      </c>
      <c r="C137" s="239" t="s">
        <v>1503</v>
      </c>
      <c r="E137" s="114"/>
      <c r="F137" s="23"/>
      <c r="G137" s="23"/>
      <c r="KI137" s="28">
        <v>42128.596493055556</v>
      </c>
      <c r="KJ137" s="28">
        <v>42128.59915509259</v>
      </c>
      <c r="KK137" s="21" t="s">
        <v>822</v>
      </c>
      <c r="KM137" s="114" t="s">
        <v>1413</v>
      </c>
      <c r="KN137" s="34" t="s">
        <v>1553</v>
      </c>
      <c r="KO137" s="114" t="s">
        <v>1471</v>
      </c>
      <c r="KP137" s="113" t="s">
        <v>1544</v>
      </c>
      <c r="KQ137" s="241" t="s">
        <v>1563</v>
      </c>
      <c r="KR137" s="114" t="s">
        <v>84</v>
      </c>
      <c r="KS137" s="113" t="s">
        <v>79</v>
      </c>
      <c r="KT137" s="114" t="s">
        <v>1481</v>
      </c>
      <c r="KU137" s="114"/>
      <c r="KV137" s="113">
        <v>0.88890000000000002</v>
      </c>
      <c r="KW137" s="113" t="s">
        <v>1545</v>
      </c>
      <c r="KX137" s="114" t="s">
        <v>78</v>
      </c>
      <c r="KY137" s="113" t="s">
        <v>519</v>
      </c>
      <c r="KZ137" s="113"/>
      <c r="LA137" s="114" t="s">
        <v>1500</v>
      </c>
      <c r="LB137" s="114" t="s">
        <v>1484</v>
      </c>
      <c r="LC137" s="113" t="s">
        <v>1556</v>
      </c>
      <c r="LD137" s="114" t="s">
        <v>1524</v>
      </c>
      <c r="LE137" s="113">
        <v>12</v>
      </c>
      <c r="LF137" s="114" t="s">
        <v>1525</v>
      </c>
      <c r="LG137" s="113" t="s">
        <v>1528</v>
      </c>
      <c r="LH137" s="113" t="s">
        <v>1529</v>
      </c>
      <c r="LI137" s="113" t="s">
        <v>519</v>
      </c>
      <c r="LJ137" s="21" t="s">
        <v>1542</v>
      </c>
      <c r="LL137" s="113" t="s">
        <v>1590</v>
      </c>
      <c r="LM137" s="113">
        <v>0.88890000000000002</v>
      </c>
      <c r="LN137" s="113">
        <v>0</v>
      </c>
      <c r="LO137" s="113" t="s">
        <v>1585</v>
      </c>
      <c r="LP137" s="114" t="s">
        <v>1570</v>
      </c>
      <c r="LQ137" s="113" t="s">
        <v>1400</v>
      </c>
      <c r="LR137" s="113" t="s">
        <v>1496</v>
      </c>
      <c r="MB137" s="113">
        <v>1000</v>
      </c>
      <c r="ME137" s="114" t="s">
        <v>1449</v>
      </c>
      <c r="MF137" s="112" t="s">
        <v>1513</v>
      </c>
      <c r="MG137" s="112" t="s">
        <v>1514</v>
      </c>
      <c r="MH137" s="114" t="s">
        <v>1557</v>
      </c>
      <c r="MI137" s="114" t="s">
        <v>1557</v>
      </c>
      <c r="MJ137" s="51" t="s">
        <v>1450</v>
      </c>
      <c r="MK137" s="51" t="s">
        <v>1450</v>
      </c>
      <c r="ML137" s="112" t="s">
        <v>1516</v>
      </c>
      <c r="MM137" s="112" t="s">
        <v>1515</v>
      </c>
      <c r="MN137" s="34" t="s">
        <v>1559</v>
      </c>
      <c r="MO137" s="34" t="s">
        <v>519</v>
      </c>
      <c r="MW137" s="113"/>
      <c r="MX137" s="113">
        <v>2504</v>
      </c>
      <c r="MY137" s="114" t="s">
        <v>1558</v>
      </c>
      <c r="MZ137" s="246" t="s">
        <v>1538</v>
      </c>
      <c r="NA137" s="114" t="s">
        <v>1473</v>
      </c>
      <c r="NB137" s="113">
        <v>2020</v>
      </c>
      <c r="NC137" s="113">
        <v>123</v>
      </c>
      <c r="ND137" s="113">
        <v>10</v>
      </c>
      <c r="NE137" s="114" t="s">
        <v>466</v>
      </c>
      <c r="NF137" s="113">
        <v>1988</v>
      </c>
      <c r="NJ137" s="114" t="s">
        <v>1534</v>
      </c>
      <c r="NK137" s="114" t="s">
        <v>1534</v>
      </c>
      <c r="NL137" s="113">
        <v>10</v>
      </c>
      <c r="NM137" s="114" t="s">
        <v>466</v>
      </c>
      <c r="NN137" s="114" t="s">
        <v>1520</v>
      </c>
      <c r="NO137" s="113" t="s">
        <v>1518</v>
      </c>
      <c r="NQ137" s="236">
        <v>42147</v>
      </c>
      <c r="NU137" s="97" t="s">
        <v>1497</v>
      </c>
      <c r="NV137" s="113">
        <v>1</v>
      </c>
      <c r="NW137" s="114" t="s">
        <v>1490</v>
      </c>
      <c r="NX137" s="114" t="s">
        <v>1490</v>
      </c>
      <c r="NZ137" s="113" t="s">
        <v>1589</v>
      </c>
      <c r="OA137" s="114" t="s">
        <v>58</v>
      </c>
      <c r="OB137" s="238" t="s">
        <v>96</v>
      </c>
      <c r="OC137" s="114" t="s">
        <v>22</v>
      </c>
      <c r="OD137" s="113" t="s">
        <v>443</v>
      </c>
      <c r="OE137" s="112" t="s">
        <v>1555</v>
      </c>
      <c r="OF137" s="113"/>
    </row>
    <row r="138" spans="2:503">
      <c r="B138" s="37">
        <v>1</v>
      </c>
      <c r="C138" s="40" t="s">
        <v>1505</v>
      </c>
      <c r="D138" s="21" t="s">
        <v>1400</v>
      </c>
      <c r="E138" s="114" t="s">
        <v>1394</v>
      </c>
      <c r="F138" s="23" t="str">
        <f>HYPERLINK("C:\RaviK\SALT_POC_Release14.0\SALT SVN 13.01 Release\Projects\SALT\Snapshots\TC_POC_008_IN-MU-LT-J27116\201554\12105\Iterator_1\TC_POC_0081.xlsx","Snapshot")</f>
        <v>Snapshot</v>
      </c>
      <c r="G138" s="50" t="str">
        <f>HYPERLINK("C:\RaviK\SALT_POC_Release14.0\SALT SVN 13.01 Release\Projects\SALT\Snapshots\TC_POC_008_IN-MU-LT-J27116\201554\12105\Iterator_1\Merge.html","Result")</f>
        <v>Result</v>
      </c>
      <c r="KF138" s="21" t="s">
        <v>1565</v>
      </c>
      <c r="KG138" s="21" t="s">
        <v>1511</v>
      </c>
      <c r="KH138" s="21" t="s">
        <v>1510</v>
      </c>
      <c r="KI138" s="28">
        <v>42128.507002314815</v>
      </c>
      <c r="KJ138" s="28">
        <v>42128.507696759261</v>
      </c>
      <c r="KK138" s="21" t="s">
        <v>1591</v>
      </c>
      <c r="KN138" s="34" t="s">
        <v>1553</v>
      </c>
      <c r="OA138" s="21" t="s">
        <v>58</v>
      </c>
      <c r="OB138" s="21" t="s">
        <v>96</v>
      </c>
      <c r="OC138" s="21" t="s">
        <v>22</v>
      </c>
      <c r="OD138" s="113" t="s">
        <v>443</v>
      </c>
      <c r="OE138" s="114" t="s">
        <v>1564</v>
      </c>
    </row>
    <row r="139" spans="2:503">
      <c r="B139" s="37">
        <v>1</v>
      </c>
      <c r="C139" s="40" t="s">
        <v>1504</v>
      </c>
      <c r="D139" s="21" t="s">
        <v>1400</v>
      </c>
      <c r="E139" s="21" t="s">
        <v>1394</v>
      </c>
      <c r="F139" s="23" t="str">
        <f>HYPERLINK("C:\RaviK\SALT_POC_Release14.0\SALT SVN 13.01 Release\Projects\SALT\Snapshots\TC_POC_009_IN-MU-LT-J27116\201554\12118\Iterator_1\TC_POC_0091.xlsx","Snapshot")</f>
        <v>Snapshot</v>
      </c>
      <c r="G139" s="23" t="str">
        <f>HYPERLINK("C:\RaviK\SALT_POC_Release14.0\SALT SVN 13.01 Release\Projects\SALT\Snapshots\TC_POC_009_IN-MU-LT-J27116\201554\12118\Iterator_1\Merge.html","Result")</f>
        <v>Result</v>
      </c>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X139" s="113"/>
      <c r="AY139" s="113"/>
      <c r="AZ139" s="113"/>
      <c r="BA139" s="113"/>
      <c r="BB139" s="113"/>
      <c r="BC139" s="113"/>
      <c r="BD139" s="113"/>
      <c r="BE139" s="113"/>
      <c r="BF139" s="113"/>
      <c r="BG139" s="113"/>
      <c r="BH139" s="113"/>
      <c r="BI139" s="113"/>
      <c r="BJ139" s="113"/>
      <c r="BK139" s="113"/>
      <c r="BL139" s="113"/>
      <c r="BM139" s="113"/>
      <c r="BN139" s="113"/>
      <c r="BO139" s="113"/>
      <c r="BP139" s="113"/>
      <c r="BQ139" s="113"/>
      <c r="BR139" s="113"/>
      <c r="BS139" s="113"/>
      <c r="BT139" s="113"/>
      <c r="BU139" s="113"/>
      <c r="BV139" s="113"/>
      <c r="BW139" s="113"/>
      <c r="BX139" s="113"/>
      <c r="BY139" s="113"/>
      <c r="BZ139" s="113"/>
      <c r="CA139" s="113"/>
      <c r="CB139" s="113"/>
      <c r="CC139" s="113"/>
      <c r="CD139" s="113"/>
      <c r="CE139" s="113"/>
      <c r="CF139" s="113"/>
      <c r="CG139" s="113"/>
      <c r="CH139" s="113"/>
      <c r="CI139" s="113"/>
      <c r="CJ139" s="113"/>
      <c r="CK139" s="113"/>
      <c r="CL139" s="113"/>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c r="EC139" s="113"/>
      <c r="ED139" s="113"/>
      <c r="EE139" s="113"/>
      <c r="EF139" s="113"/>
      <c r="EG139" s="113"/>
      <c r="EH139" s="113"/>
      <c r="EI139" s="113"/>
      <c r="EJ139" s="113"/>
      <c r="EK139" s="113"/>
      <c r="EL139" s="113"/>
      <c r="EM139" s="113"/>
      <c r="EN139" s="113"/>
      <c r="EO139" s="113"/>
      <c r="EP139" s="113"/>
      <c r="EQ139" s="113"/>
      <c r="ER139" s="113"/>
      <c r="ES139" s="113"/>
      <c r="ET139" s="113"/>
      <c r="EU139" s="113"/>
      <c r="EV139" s="113"/>
      <c r="EW139" s="113"/>
      <c r="EX139" s="113"/>
      <c r="EY139" s="113"/>
      <c r="EZ139" s="113"/>
      <c r="FA139" s="113"/>
      <c r="FB139" s="113"/>
      <c r="FC139" s="113"/>
      <c r="FD139" s="113"/>
      <c r="FE139" s="113"/>
      <c r="FF139" s="113"/>
      <c r="FG139" s="113"/>
      <c r="FH139" s="113"/>
      <c r="FI139" s="113"/>
      <c r="FJ139" s="113"/>
      <c r="FK139" s="113"/>
      <c r="FL139" s="113"/>
      <c r="FM139" s="113"/>
      <c r="FN139" s="113"/>
      <c r="FO139" s="113"/>
      <c r="FP139" s="113"/>
      <c r="FQ139" s="113"/>
      <c r="FR139" s="113"/>
      <c r="FS139" s="113"/>
      <c r="FT139" s="113"/>
      <c r="FU139" s="113"/>
      <c r="FV139" s="113"/>
      <c r="FW139" s="113"/>
      <c r="FX139" s="113"/>
      <c r="FY139" s="113"/>
      <c r="FZ139" s="113"/>
      <c r="GA139" s="113"/>
      <c r="GB139" s="113"/>
      <c r="GC139" s="113"/>
      <c r="GD139" s="113"/>
      <c r="GE139" s="112"/>
      <c r="GF139" s="113"/>
      <c r="GG139" s="113"/>
      <c r="GH139" s="113"/>
      <c r="GI139" s="113"/>
      <c r="GJ139" s="113"/>
      <c r="GK139" s="113"/>
      <c r="GL139" s="113"/>
      <c r="GM139" s="113"/>
      <c r="GN139" s="113"/>
      <c r="GO139" s="113"/>
      <c r="GP139" s="113"/>
      <c r="GQ139" s="113"/>
      <c r="GR139" s="113"/>
      <c r="GS139" s="113"/>
      <c r="GT139" s="113"/>
      <c r="GU139" s="113"/>
      <c r="GV139" s="113"/>
      <c r="GW139" s="113"/>
      <c r="GX139" s="113"/>
      <c r="GY139" s="113"/>
      <c r="GZ139" s="113"/>
      <c r="HA139" s="113"/>
      <c r="HB139" s="113"/>
      <c r="HC139" s="113"/>
      <c r="HD139" s="113"/>
      <c r="HE139" s="113"/>
      <c r="HF139" s="113"/>
      <c r="HG139" s="113"/>
      <c r="HH139" s="113"/>
      <c r="HI139" s="113"/>
      <c r="HJ139" s="113"/>
      <c r="HK139" s="113"/>
      <c r="HL139" s="113"/>
      <c r="HM139" s="113"/>
      <c r="HN139" s="113"/>
      <c r="HO139" s="113"/>
      <c r="HP139" s="113"/>
      <c r="HQ139" s="113"/>
      <c r="HR139" s="113"/>
      <c r="HS139" s="113"/>
      <c r="HT139" s="113"/>
      <c r="HU139" s="113"/>
      <c r="HV139" s="113"/>
      <c r="HW139" s="113"/>
      <c r="HX139" s="113"/>
      <c r="HY139" s="113"/>
      <c r="HZ139" s="113"/>
      <c r="IA139" s="113"/>
      <c r="IB139" s="113"/>
      <c r="IC139" s="113"/>
      <c r="ID139" s="113"/>
      <c r="IE139" s="113"/>
      <c r="IF139" s="113"/>
      <c r="IG139" s="113"/>
      <c r="IH139" s="113"/>
      <c r="II139" s="113"/>
      <c r="IJ139" s="113"/>
      <c r="IK139" s="113"/>
      <c r="IL139" s="113"/>
      <c r="IM139" s="113"/>
      <c r="IN139" s="113"/>
      <c r="IO139" s="113"/>
      <c r="IP139" s="113"/>
      <c r="IQ139" s="113"/>
      <c r="IR139" s="113"/>
      <c r="IS139" s="113"/>
      <c r="IT139" s="113"/>
      <c r="IU139" s="113"/>
      <c r="IV139" s="113"/>
      <c r="IW139" s="113"/>
      <c r="IX139" s="113"/>
      <c r="IY139" s="113"/>
      <c r="IZ139" s="113"/>
      <c r="JA139" s="113"/>
      <c r="JB139" s="113"/>
      <c r="JC139" s="113"/>
      <c r="JD139" s="113"/>
      <c r="JE139" s="113"/>
      <c r="JF139" s="113"/>
      <c r="JG139" s="113"/>
      <c r="JH139" s="113"/>
      <c r="JI139" s="113"/>
      <c r="JJ139" s="113"/>
      <c r="JK139" s="113"/>
      <c r="JL139" s="113"/>
      <c r="JM139" s="113"/>
      <c r="JN139" s="113"/>
      <c r="JO139" s="113"/>
      <c r="JP139" s="113"/>
      <c r="JQ139" s="113"/>
      <c r="JR139" s="113"/>
      <c r="JS139" s="113"/>
      <c r="JT139" s="113"/>
      <c r="JU139" s="113"/>
      <c r="JV139" s="113"/>
      <c r="JW139" s="113"/>
      <c r="JX139" s="113"/>
      <c r="JY139" s="113"/>
      <c r="JZ139" s="113"/>
      <c r="KA139" s="113"/>
      <c r="KB139" s="113"/>
      <c r="KC139" s="113"/>
      <c r="KD139" s="113"/>
      <c r="KE139" s="113"/>
      <c r="KF139" s="113" t="s">
        <v>1548</v>
      </c>
      <c r="KG139" s="113" t="s">
        <v>1511</v>
      </c>
      <c r="KH139" s="113" t="s">
        <v>1510</v>
      </c>
      <c r="KI139" s="28">
        <v>42128.507731481484</v>
      </c>
      <c r="KJ139" s="28">
        <v>42128.508449074077</v>
      </c>
      <c r="KK139" s="113" t="s">
        <v>1592</v>
      </c>
      <c r="KL139" s="113"/>
      <c r="KM139" s="113"/>
      <c r="KN139" s="34" t="s">
        <v>1553</v>
      </c>
      <c r="KO139" s="113"/>
      <c r="KP139" s="113"/>
      <c r="KQ139" s="113"/>
      <c r="KR139" s="113"/>
      <c r="KS139" s="113"/>
      <c r="KT139" s="113"/>
      <c r="KU139" s="113"/>
      <c r="KV139" s="113"/>
      <c r="KW139" s="113"/>
      <c r="KX139" s="113"/>
      <c r="KY139" s="113"/>
      <c r="KZ139" s="113"/>
      <c r="LA139" s="113"/>
      <c r="LB139" s="113"/>
      <c r="LC139" s="113"/>
      <c r="LD139" s="113"/>
      <c r="LE139" s="113"/>
      <c r="LF139" s="113"/>
      <c r="LG139" s="113"/>
      <c r="LH139" s="113"/>
      <c r="LI139" s="113"/>
      <c r="LJ139" s="113"/>
      <c r="LK139" s="113"/>
      <c r="LL139" s="113"/>
      <c r="LM139" s="113"/>
      <c r="LN139" s="113"/>
      <c r="LO139" s="113"/>
      <c r="LP139" s="113"/>
      <c r="LQ139" s="113"/>
      <c r="LR139" s="113"/>
      <c r="LS139" s="113"/>
      <c r="LT139" s="113"/>
      <c r="LU139" s="113"/>
      <c r="LV139" s="113"/>
      <c r="LW139" s="113"/>
      <c r="LX139" s="113"/>
      <c r="LY139" s="113"/>
      <c r="LZ139" s="113"/>
      <c r="MA139" s="113"/>
      <c r="MB139" s="113"/>
      <c r="MC139" s="113"/>
      <c r="MD139" s="113"/>
      <c r="ME139" s="113"/>
      <c r="MF139" s="113"/>
      <c r="MG139" s="113"/>
      <c r="MH139" s="113"/>
      <c r="MI139" s="113"/>
      <c r="MJ139" s="113"/>
      <c r="MK139" s="113"/>
      <c r="ML139" s="113"/>
      <c r="MM139" s="113"/>
      <c r="MN139" s="113"/>
      <c r="MO139" s="113"/>
      <c r="MP139" s="113"/>
      <c r="MQ139" s="113"/>
      <c r="MR139" s="113"/>
      <c r="MS139" s="113"/>
      <c r="MT139" s="113"/>
      <c r="MU139" s="113"/>
      <c r="MV139" s="113"/>
      <c r="MW139" s="113"/>
      <c r="MX139" s="113"/>
      <c r="MY139" s="113"/>
      <c r="MZ139" s="113"/>
      <c r="NA139" s="113"/>
      <c r="NB139" s="113"/>
      <c r="NC139" s="113"/>
      <c r="ND139" s="113"/>
      <c r="NE139" s="113"/>
      <c r="NF139" s="113"/>
      <c r="NG139" s="113"/>
      <c r="NH139" s="113"/>
      <c r="NI139" s="113"/>
      <c r="NJ139" s="113"/>
      <c r="NK139" s="113"/>
      <c r="NL139" s="113"/>
      <c r="NM139" s="113"/>
      <c r="NN139" s="113"/>
      <c r="NO139" s="113"/>
      <c r="NP139" s="113"/>
      <c r="NQ139" s="113"/>
      <c r="NR139" s="113"/>
      <c r="NS139" s="113"/>
      <c r="NT139" s="113"/>
      <c r="NU139" s="113"/>
      <c r="NV139" s="113"/>
      <c r="NW139" s="113"/>
      <c r="NX139" s="113"/>
      <c r="NY139" s="113"/>
      <c r="NZ139" s="113"/>
      <c r="OA139" s="113" t="s">
        <v>58</v>
      </c>
      <c r="OB139" s="113" t="s">
        <v>96</v>
      </c>
      <c r="OC139" s="113" t="s">
        <v>22</v>
      </c>
      <c r="OD139" s="113" t="s">
        <v>443</v>
      </c>
      <c r="OE139" s="114" t="s">
        <v>1564</v>
      </c>
      <c r="OF139" s="113"/>
      <c r="OG139" s="113"/>
      <c r="OH139" s="113"/>
      <c r="OI139" s="113"/>
      <c r="OJ139" s="113"/>
      <c r="OK139" s="113"/>
      <c r="OL139" s="113"/>
      <c r="OM139" s="113"/>
      <c r="ON139" s="113"/>
      <c r="OO139" s="113"/>
      <c r="OP139" s="113"/>
      <c r="OQ139" s="113"/>
      <c r="OR139" s="113"/>
      <c r="OS139" s="113"/>
      <c r="OT139" s="113"/>
      <c r="OU139" s="113"/>
      <c r="OV139" s="113"/>
      <c r="OW139" s="113"/>
      <c r="OX139" s="113"/>
      <c r="OY139" s="113"/>
      <c r="OZ139" s="113"/>
      <c r="PA139" s="113"/>
      <c r="PB139" s="113"/>
      <c r="PC139" s="113"/>
      <c r="PD139" s="113"/>
      <c r="PE139" s="113"/>
      <c r="PF139" s="113"/>
      <c r="PG139" s="113"/>
      <c r="PH139" s="113"/>
      <c r="PI139" s="113"/>
      <c r="PJ139" s="113"/>
      <c r="PK139" s="113"/>
      <c r="PL139" s="113"/>
      <c r="PM139" s="113"/>
      <c r="PN139" s="113"/>
      <c r="PO139" s="113"/>
      <c r="PP139" s="113"/>
      <c r="PQ139" s="113"/>
      <c r="PR139" s="113"/>
      <c r="PS139" s="113"/>
      <c r="PT139" s="113"/>
      <c r="PU139" s="113"/>
      <c r="PV139" s="113"/>
      <c r="PW139" s="113"/>
      <c r="PX139" s="113"/>
      <c r="PY139" s="113"/>
      <c r="PZ139" s="113"/>
      <c r="QA139" s="113"/>
      <c r="QB139" s="113"/>
      <c r="QC139" s="113"/>
      <c r="QD139" s="113"/>
      <c r="QE139" s="113"/>
      <c r="QF139" s="113"/>
      <c r="QG139" s="113"/>
      <c r="QH139" s="113"/>
      <c r="QI139" s="113"/>
      <c r="QJ139" s="113"/>
      <c r="QK139" s="113"/>
      <c r="QL139" s="113"/>
      <c r="QM139" s="113"/>
      <c r="QN139" s="113"/>
      <c r="QO139" s="113"/>
      <c r="QP139" s="113"/>
      <c r="QQ139" s="113"/>
      <c r="QR139" s="113"/>
      <c r="QS139" s="113"/>
    </row>
    <row r="140" spans="2:503">
      <c r="B140" s="259">
        <v>1</v>
      </c>
      <c r="C140" s="260" t="s">
        <v>1574</v>
      </c>
      <c r="D140" s="21" t="s">
        <v>1400</v>
      </c>
      <c r="E140" s="114" t="s">
        <v>1394</v>
      </c>
      <c r="F140" s="23" t="str">
        <f>HYPERLINK("C:\SVN Server\Projects\SALT\Snapshots\US_ADM010_IN-MU-LT-J27287\201614\181527\Iterator_1\US_ADM0101.xlsx","Snapshot")</f>
        <v>Snapshot</v>
      </c>
      <c r="G140" s="23" t="str">
        <f>HYPERLINK("C:\SVN Server\Projects\SALT\Snapshots\US_ADM010_IN-MU-LT-J27287\201614\181527\Iterator_1\Merge.html","Result")</f>
        <v>Result</v>
      </c>
      <c r="KI140" s="28">
        <v>42373.760729166665</v>
      </c>
      <c r="KJ140" s="28">
        <v>42373.76190972222</v>
      </c>
      <c r="KK140" s="21" t="s">
        <v>1701</v>
      </c>
      <c r="KT140" s="114"/>
      <c r="KU140" s="114"/>
      <c r="OA140" s="113" t="s">
        <v>58</v>
      </c>
      <c r="OB140" s="113" t="s">
        <v>96</v>
      </c>
      <c r="OC140" s="113" t="s">
        <v>22</v>
      </c>
      <c r="OD140" s="113" t="s">
        <v>443</v>
      </c>
      <c r="OE140" s="114" t="s">
        <v>1564</v>
      </c>
    </row>
    <row r="141" spans="2:503">
      <c r="B141" s="259">
        <v>1</v>
      </c>
      <c r="C141" s="260" t="s">
        <v>1573</v>
      </c>
      <c r="D141" s="113" t="s">
        <v>1400</v>
      </c>
      <c r="E141" s="113" t="s">
        <v>1394</v>
      </c>
      <c r="F141" s="23" t="str">
        <f>HYPERLINK("C:\SVN Server\Projects\SALT\Snapshots\US_ADM011_IN-MU-LT-J27287\201614\181711\Iterator_1\US_ADM0111.xlsx","Snapshot")</f>
        <v>Snapshot</v>
      </c>
      <c r="G141" s="23" t="str">
        <f>HYPERLINK("C:\SVN Server\Projects\SALT\Snapshots\US_ADM011_IN-MU-LT-J27287\201614\181711\Iterator_1\Merge.html","Result")</f>
        <v>Result</v>
      </c>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86"/>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c r="BS141" s="113"/>
      <c r="BT141" s="113"/>
      <c r="BU141" s="113"/>
      <c r="BV141" s="113"/>
      <c r="BW141" s="113"/>
      <c r="BX141" s="113"/>
      <c r="BY141" s="113"/>
      <c r="BZ141" s="113"/>
      <c r="CA141" s="113"/>
      <c r="CB141" s="113"/>
      <c r="CC141" s="113"/>
      <c r="CD141" s="113"/>
      <c r="CE141" s="113"/>
      <c r="CF141" s="113"/>
      <c r="CG141" s="113"/>
      <c r="CH141" s="113"/>
      <c r="CI141" s="113"/>
      <c r="CJ141" s="113"/>
      <c r="CK141" s="113"/>
      <c r="CL141" s="113"/>
      <c r="CM141" s="113"/>
      <c r="CN141" s="113"/>
      <c r="CO141" s="113"/>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c r="EC141" s="113"/>
      <c r="ED141" s="113"/>
      <c r="EE141" s="113"/>
      <c r="EF141" s="113"/>
      <c r="EG141" s="113"/>
      <c r="EH141" s="113"/>
      <c r="EI141" s="113"/>
      <c r="EJ141" s="113"/>
      <c r="EK141" s="113"/>
      <c r="EL141" s="113"/>
      <c r="EM141" s="113"/>
      <c r="EN141" s="113"/>
      <c r="EO141" s="113"/>
      <c r="EP141" s="113"/>
      <c r="EQ141" s="113"/>
      <c r="ER141" s="113"/>
      <c r="ES141" s="113"/>
      <c r="ET141" s="113"/>
      <c r="EU141" s="113"/>
      <c r="EV141" s="113"/>
      <c r="EW141" s="113"/>
      <c r="EX141" s="113"/>
      <c r="EY141" s="113"/>
      <c r="EZ141" s="113"/>
      <c r="FA141" s="113"/>
      <c r="FB141" s="113"/>
      <c r="FC141" s="113"/>
      <c r="FD141" s="113"/>
      <c r="FE141" s="113"/>
      <c r="FF141" s="113"/>
      <c r="FG141" s="113"/>
      <c r="FH141" s="113"/>
      <c r="FI141" s="113"/>
      <c r="FJ141" s="113"/>
      <c r="FK141" s="113"/>
      <c r="FL141" s="113"/>
      <c r="FM141" s="113"/>
      <c r="FN141" s="113"/>
      <c r="FO141" s="113"/>
      <c r="FP141" s="113"/>
      <c r="FQ141" s="113"/>
      <c r="FR141" s="113"/>
      <c r="FS141" s="113"/>
      <c r="FT141" s="113"/>
      <c r="FU141" s="113"/>
      <c r="FV141" s="113"/>
      <c r="FW141" s="113"/>
      <c r="FX141" s="113"/>
      <c r="FY141" s="113"/>
      <c r="FZ141" s="113"/>
      <c r="GA141" s="113"/>
      <c r="GB141" s="113"/>
      <c r="GC141" s="113"/>
      <c r="GD141" s="112"/>
      <c r="GE141" s="113"/>
      <c r="GF141" s="113"/>
      <c r="GG141" s="113"/>
      <c r="GH141" s="113"/>
      <c r="GI141" s="113"/>
      <c r="GJ141" s="113"/>
      <c r="GK141" s="113"/>
      <c r="GL141" s="113"/>
      <c r="GM141" s="113"/>
      <c r="GN141" s="113"/>
      <c r="GO141" s="113"/>
      <c r="GP141" s="113"/>
      <c r="GQ141" s="113"/>
      <c r="GR141" s="113"/>
      <c r="GS141" s="113"/>
      <c r="GT141" s="113"/>
      <c r="GU141" s="113"/>
      <c r="GV141" s="113"/>
      <c r="GW141" s="113"/>
      <c r="GX141" s="113"/>
      <c r="GY141" s="113"/>
      <c r="GZ141" s="113"/>
      <c r="HA141" s="113"/>
      <c r="HB141" s="113"/>
      <c r="HC141" s="113"/>
      <c r="HD141" s="113"/>
      <c r="HE141" s="113"/>
      <c r="HF141" s="113"/>
      <c r="HG141" s="113"/>
      <c r="HH141" s="113"/>
      <c r="HI141" s="113"/>
      <c r="HJ141" s="113"/>
      <c r="HK141" s="113"/>
      <c r="HL141" s="113"/>
      <c r="HM141" s="113"/>
      <c r="HN141" s="113"/>
      <c r="HO141" s="113"/>
      <c r="HP141" s="113"/>
      <c r="HQ141" s="113"/>
      <c r="HR141" s="113"/>
      <c r="HS141" s="113"/>
      <c r="HT141" s="113"/>
      <c r="HU141" s="113"/>
      <c r="HV141" s="113"/>
      <c r="HW141" s="113"/>
      <c r="HX141" s="113"/>
      <c r="HY141" s="113"/>
      <c r="HZ141" s="113"/>
      <c r="IA141" s="113"/>
      <c r="IB141" s="113"/>
      <c r="IC141" s="113"/>
      <c r="ID141" s="113"/>
      <c r="IE141" s="113"/>
      <c r="IF141" s="113"/>
      <c r="IG141" s="113"/>
      <c r="IH141" s="113"/>
      <c r="II141" s="113"/>
      <c r="IJ141" s="113"/>
      <c r="IK141" s="113"/>
      <c r="IL141" s="113"/>
      <c r="IM141" s="113"/>
      <c r="IN141" s="113"/>
      <c r="IO141" s="113"/>
      <c r="IP141" s="113"/>
      <c r="IQ141" s="113"/>
      <c r="IR141" s="113"/>
      <c r="IS141" s="113"/>
      <c r="IT141" s="113"/>
      <c r="IU141" s="113"/>
      <c r="IV141" s="113"/>
      <c r="IW141" s="113"/>
      <c r="IX141" s="113"/>
      <c r="IY141" s="113"/>
      <c r="IZ141" s="113"/>
      <c r="JA141" s="113"/>
      <c r="JB141" s="113"/>
      <c r="JC141" s="113"/>
      <c r="JD141" s="113"/>
      <c r="JE141" s="113"/>
      <c r="JF141" s="113"/>
      <c r="JG141" s="113"/>
      <c r="JH141" s="113"/>
      <c r="JI141" s="113"/>
      <c r="JJ141" s="113"/>
      <c r="JK141" s="113"/>
      <c r="JL141" s="113"/>
      <c r="JM141" s="113"/>
      <c r="JN141" s="113"/>
      <c r="JO141" s="113"/>
      <c r="JP141" s="113"/>
      <c r="JQ141" s="113"/>
      <c r="JR141" s="113"/>
      <c r="JS141" s="113"/>
      <c r="JT141" s="113"/>
      <c r="JU141" s="113"/>
      <c r="JV141" s="113"/>
      <c r="JW141" s="113"/>
      <c r="JX141" s="113"/>
      <c r="JY141" s="113"/>
      <c r="JZ141" s="113"/>
      <c r="KA141" s="113"/>
      <c r="KB141" s="113"/>
      <c r="KC141" s="113"/>
      <c r="KD141" s="113"/>
      <c r="KE141" s="113"/>
      <c r="KF141" s="113"/>
      <c r="KG141" s="113"/>
      <c r="KH141" s="28">
        <v>42121.580578703702</v>
      </c>
      <c r="KI141" s="28">
        <v>42373.761932870373</v>
      </c>
      <c r="KJ141" s="28">
        <v>42373.763032407405</v>
      </c>
      <c r="KK141" s="113" t="s">
        <v>1376</v>
      </c>
      <c r="KL141" s="113"/>
      <c r="KM141" s="113"/>
      <c r="KN141" s="113"/>
      <c r="KO141" s="113"/>
      <c r="KP141" s="113"/>
      <c r="KQ141" s="113"/>
      <c r="KR141" s="113"/>
      <c r="KS141" s="113"/>
      <c r="KT141" s="113"/>
      <c r="KU141" s="113"/>
      <c r="KV141" s="113"/>
      <c r="KW141" s="113"/>
      <c r="KX141" s="113"/>
      <c r="KY141" s="113"/>
      <c r="KZ141" s="113"/>
      <c r="LA141" s="113"/>
      <c r="LB141" s="113"/>
      <c r="LC141" s="113"/>
      <c r="LD141" s="113"/>
      <c r="LE141" s="113"/>
      <c r="LF141" s="113"/>
      <c r="LG141" s="113"/>
      <c r="LH141" s="114"/>
      <c r="LI141" s="113"/>
      <c r="LJ141" s="28">
        <v>42121.580983796295</v>
      </c>
      <c r="LK141" s="113"/>
      <c r="LL141" s="113"/>
      <c r="LM141" s="113"/>
      <c r="LN141" s="114"/>
      <c r="LO141" s="113"/>
      <c r="LP141" s="114"/>
      <c r="LQ141" s="114"/>
      <c r="LR141" s="51"/>
      <c r="LS141" s="113"/>
      <c r="LT141" s="113"/>
      <c r="LU141" s="113"/>
      <c r="LV141" s="113"/>
      <c r="LW141" s="113"/>
      <c r="LX141" s="113"/>
      <c r="LY141" s="113"/>
      <c r="LZ141" s="113"/>
      <c r="MA141" s="113"/>
      <c r="MB141" s="113"/>
      <c r="MC141" s="113"/>
      <c r="MD141" s="113"/>
      <c r="ME141" s="51"/>
      <c r="MF141" s="114"/>
      <c r="MG141" s="113"/>
      <c r="MH141" s="34"/>
      <c r="MI141" s="113"/>
      <c r="MJ141" s="113"/>
      <c r="MK141" s="114"/>
      <c r="ML141" s="113"/>
      <c r="MM141" s="113"/>
      <c r="MN141" s="114"/>
      <c r="MO141" s="113"/>
      <c r="MP141" s="113"/>
      <c r="MQ141" s="113"/>
      <c r="MR141" s="113"/>
      <c r="MS141" s="113"/>
      <c r="MT141" s="113"/>
      <c r="MU141" s="113"/>
      <c r="MV141" s="113"/>
      <c r="MW141" s="113"/>
      <c r="MX141" s="114"/>
      <c r="MY141" s="113"/>
      <c r="MZ141" s="113"/>
      <c r="NA141" s="113"/>
      <c r="NB141" s="113"/>
      <c r="NC141" s="114"/>
      <c r="ND141" s="113"/>
      <c r="NE141" s="113"/>
      <c r="NF141" s="113"/>
      <c r="NG141" s="113"/>
      <c r="NH141" s="113"/>
      <c r="NI141" s="113"/>
      <c r="NJ141" s="113"/>
      <c r="NK141" s="113"/>
      <c r="NL141" s="113"/>
      <c r="NM141" s="114"/>
      <c r="NN141" s="113"/>
      <c r="NO141" s="113"/>
      <c r="NP141" s="113"/>
      <c r="NQ141" s="113"/>
      <c r="NR141" s="113"/>
      <c r="NS141" s="113"/>
      <c r="NT141" s="113"/>
      <c r="NU141" s="113"/>
      <c r="NV141" s="113"/>
      <c r="NW141" s="113"/>
      <c r="NX141" s="113"/>
      <c r="NY141" s="113"/>
      <c r="NZ141" s="113"/>
      <c r="OA141" s="113" t="s">
        <v>58</v>
      </c>
      <c r="OB141" s="113" t="s">
        <v>96</v>
      </c>
      <c r="OC141" s="113" t="s">
        <v>22</v>
      </c>
      <c r="OD141" s="113" t="s">
        <v>443</v>
      </c>
      <c r="OE141" s="114" t="s">
        <v>1564</v>
      </c>
      <c r="OF141" s="113"/>
      <c r="OG141" s="113"/>
      <c r="OH141" s="113"/>
      <c r="OI141" s="113"/>
      <c r="OJ141" s="113"/>
      <c r="OK141" s="113"/>
      <c r="OL141" s="113"/>
      <c r="OM141" s="113"/>
      <c r="ON141" s="113"/>
      <c r="OO141" s="113"/>
      <c r="OP141" s="113"/>
      <c r="OQ141" s="113"/>
      <c r="OR141" s="113"/>
      <c r="OS141" s="113"/>
      <c r="OT141" s="113"/>
      <c r="OU141" s="113"/>
      <c r="OV141" s="113"/>
      <c r="OW141" s="113"/>
      <c r="OX141" s="113"/>
      <c r="OY141" s="113"/>
      <c r="OZ141" s="113"/>
      <c r="PA141" s="113"/>
      <c r="PB141" s="113"/>
      <c r="PC141" s="113"/>
      <c r="PD141" s="113"/>
      <c r="PE141" s="113"/>
      <c r="PF141" s="113"/>
      <c r="PG141" s="113"/>
      <c r="PH141" s="113"/>
      <c r="PI141" s="113"/>
      <c r="PJ141" s="113"/>
      <c r="PK141" s="113"/>
      <c r="PL141" s="113"/>
      <c r="PM141" s="113"/>
      <c r="PN141" s="113"/>
      <c r="PO141" s="113"/>
      <c r="PP141" s="113"/>
      <c r="PQ141" s="113"/>
      <c r="PR141" s="113"/>
      <c r="PS141" s="113"/>
      <c r="PT141" s="113"/>
      <c r="PU141" s="113"/>
      <c r="PV141" s="113"/>
      <c r="PW141" s="113"/>
      <c r="PX141" s="113"/>
      <c r="PY141" s="113"/>
      <c r="PZ141" s="113"/>
      <c r="QA141" s="113"/>
      <c r="QB141" s="113"/>
      <c r="QC141" s="113"/>
      <c r="QD141" s="113"/>
      <c r="QE141" s="113"/>
      <c r="QF141" s="113"/>
      <c r="QG141" s="113"/>
      <c r="QH141" s="113"/>
      <c r="QI141" s="113"/>
      <c r="QJ141" s="113"/>
      <c r="QK141" s="113"/>
      <c r="QL141" s="113"/>
      <c r="QM141" s="113"/>
      <c r="QN141" s="113"/>
      <c r="QO141" s="113"/>
      <c r="QP141" s="113"/>
      <c r="QQ141" s="113"/>
      <c r="QR141" s="113"/>
      <c r="QS141" s="113"/>
      <c r="QT141" s="113"/>
      <c r="QU141" s="113"/>
      <c r="QV141" s="113"/>
      <c r="QW141" s="113"/>
      <c r="QX141" s="113"/>
      <c r="QY141" s="113"/>
      <c r="QZ141" s="113"/>
      <c r="RA141" s="113"/>
      <c r="RB141" s="113"/>
      <c r="RC141" s="113"/>
      <c r="RD141" s="113"/>
      <c r="RE141" s="113"/>
      <c r="RF141" s="113"/>
      <c r="RG141" s="113"/>
      <c r="RH141" s="113"/>
      <c r="RI141" s="113"/>
      <c r="RJ141" s="113"/>
      <c r="RK141" s="113"/>
      <c r="RL141" s="113"/>
      <c r="RM141" s="113"/>
      <c r="RN141" s="113"/>
      <c r="RO141" s="113"/>
      <c r="RP141" s="113"/>
      <c r="RQ141" s="113"/>
      <c r="RR141" s="113"/>
      <c r="RS141" s="113"/>
      <c r="RT141" s="113"/>
      <c r="RU141" s="113"/>
      <c r="RV141" s="113"/>
      <c r="RW141" s="113"/>
      <c r="RX141" s="113"/>
      <c r="RY141" s="113"/>
      <c r="RZ141" s="113"/>
      <c r="SA141" s="113"/>
      <c r="SB141" s="113"/>
      <c r="SC141" s="113"/>
      <c r="SD141" s="113"/>
      <c r="SE141" s="113"/>
      <c r="SF141" s="113"/>
      <c r="SG141" s="113"/>
      <c r="SH141" s="113"/>
      <c r="SI141" s="113"/>
    </row>
    <row r="142" spans="2:503">
      <c r="B142" s="259">
        <v>1</v>
      </c>
      <c r="C142" s="260" t="s">
        <v>1576</v>
      </c>
      <c r="D142" s="21" t="s">
        <v>1400</v>
      </c>
      <c r="E142" s="114" t="s">
        <v>1394</v>
      </c>
      <c r="F142" s="23" t="str">
        <f>HYPERLINK("C:\SVN Server\Projects\SALT\Snapshots\US_ADM012_IN-MU-LT-J27287\201614\181847\Iterator_1\US_ADM0121.xlsx","Snapshot")</f>
        <v>Snapshot</v>
      </c>
      <c r="G142" s="23" t="str">
        <f>HYPERLINK("C:\SVN Server\Projects\SALT\Snapshots\US_ADM012_IN-MU-LT-J27287\201614\181847\Iterator_1\Merge.html","Result")</f>
        <v>Result</v>
      </c>
      <c r="KI142" s="28">
        <v>42373.763043981482</v>
      </c>
      <c r="KJ142" s="28">
        <v>42373.764201388891</v>
      </c>
      <c r="KK142" s="21" t="s">
        <v>1375</v>
      </c>
      <c r="KQ142" s="112"/>
      <c r="KR142" s="114"/>
      <c r="KS142" s="113"/>
      <c r="KT142" s="114"/>
      <c r="KU142" s="114"/>
      <c r="KV142" s="113"/>
      <c r="KW142" s="113"/>
      <c r="KX142" s="114"/>
      <c r="KY142" s="113"/>
      <c r="KZ142" s="113"/>
      <c r="LA142" s="114"/>
      <c r="LB142" s="114"/>
      <c r="LC142" s="113"/>
      <c r="LD142" s="114"/>
      <c r="LE142" s="113"/>
      <c r="LF142" s="114"/>
      <c r="LG142" s="113"/>
      <c r="LH142" s="113"/>
      <c r="LI142" s="114"/>
      <c r="MB142" s="113"/>
      <c r="ME142" s="114"/>
      <c r="MF142"/>
      <c r="MG142" s="112"/>
      <c r="MH142" s="114"/>
      <c r="MI142" s="114"/>
      <c r="MJ142" s="51"/>
      <c r="MK142" s="51"/>
      <c r="ML142" s="112"/>
      <c r="MM142"/>
      <c r="MN142" s="112"/>
      <c r="MO142" s="34"/>
      <c r="MW142" s="113"/>
      <c r="MY142" s="114"/>
      <c r="MZ142" s="246"/>
      <c r="NA142" s="114"/>
      <c r="NB142" s="113"/>
      <c r="NC142" s="113"/>
      <c r="ND142" s="114"/>
      <c r="NE142" s="114"/>
      <c r="NF142" s="113"/>
      <c r="NJ142" s="114"/>
      <c r="NK142" s="114"/>
      <c r="NL142" s="113"/>
      <c r="NM142" s="114"/>
      <c r="NN142" s="114"/>
      <c r="NO142" s="113"/>
      <c r="NU142" s="97"/>
      <c r="NV142" s="113"/>
      <c r="NW142" s="114"/>
      <c r="NX142" s="114"/>
      <c r="OA142" s="113" t="s">
        <v>58</v>
      </c>
      <c r="OB142" s="113" t="s">
        <v>96</v>
      </c>
      <c r="OC142" s="113" t="s">
        <v>22</v>
      </c>
      <c r="OD142" s="113" t="s">
        <v>443</v>
      </c>
      <c r="OE142" s="114" t="s">
        <v>1564</v>
      </c>
      <c r="OF142" s="113"/>
    </row>
    <row r="143" spans="2:503">
      <c r="B143" s="259">
        <v>1</v>
      </c>
      <c r="C143" s="260" t="s">
        <v>1578</v>
      </c>
      <c r="D143" s="21" t="s">
        <v>1400</v>
      </c>
      <c r="E143" s="77" t="s">
        <v>1394</v>
      </c>
      <c r="F143" s="23" t="str">
        <f>HYPERLINK("C:\SVN Server\Projects\SALT\Snapshots\US_ADM013_IN-MU-LT-J27287\201614\18276\Iterator_1\US_ADM0131.xlsx","Snapshot")</f>
        <v>Snapshot</v>
      </c>
      <c r="G143" s="50" t="str">
        <f>HYPERLINK("C:\SVN Server\Projects\SALT\Snapshots\US_ADM013_IN-MU-LT-J27287\201614\18276\Iterator_1\Merge.html","Result")</f>
        <v>Result</v>
      </c>
      <c r="KI143" s="28">
        <v>42373.768819444442</v>
      </c>
      <c r="KJ143" s="28">
        <v>42373.771006944444</v>
      </c>
      <c r="KK143" s="21" t="s">
        <v>1705</v>
      </c>
      <c r="KQ143" s="241"/>
      <c r="KR143" s="114"/>
      <c r="KS143" s="113"/>
      <c r="KT143" s="114"/>
      <c r="KU143" s="114"/>
      <c r="KV143" s="113"/>
      <c r="KW143" s="113"/>
      <c r="KX143" s="114"/>
      <c r="KY143" s="113"/>
      <c r="KZ143" s="113"/>
      <c r="LA143" s="114"/>
      <c r="LB143" s="114"/>
      <c r="LC143" s="113"/>
      <c r="LD143" s="114"/>
      <c r="LE143" s="113"/>
      <c r="LF143" s="114"/>
      <c r="LG143" s="113"/>
      <c r="LH143" s="113"/>
      <c r="LI143" s="114"/>
      <c r="MB143" s="113"/>
      <c r="ME143" s="114"/>
      <c r="MF143" s="241"/>
      <c r="MG143" s="241"/>
      <c r="MH143" s="114"/>
      <c r="MI143" s="114"/>
      <c r="MJ143" s="51"/>
      <c r="MK143" s="51"/>
      <c r="ML143" s="112"/>
      <c r="MM143" s="34"/>
      <c r="MN143" s="112"/>
      <c r="MO143" s="34"/>
      <c r="MW143" s="113"/>
      <c r="MX143" s="113"/>
      <c r="MY143" s="114"/>
      <c r="MZ143" s="246"/>
      <c r="NA143" s="114"/>
      <c r="NB143" s="113"/>
      <c r="NC143" s="113"/>
      <c r="ND143" s="114"/>
      <c r="NE143" s="114"/>
      <c r="NF143" s="113"/>
      <c r="NJ143" s="114"/>
      <c r="NK143" s="114"/>
      <c r="NL143" s="113"/>
      <c r="NM143" s="114"/>
      <c r="NN143" s="114"/>
      <c r="NO143" s="113"/>
      <c r="NQ143" s="236"/>
      <c r="NS143" s="114" t="s">
        <v>1582</v>
      </c>
      <c r="NT143" s="114" t="s">
        <v>1583</v>
      </c>
      <c r="NU143" s="97"/>
      <c r="NV143" s="113"/>
      <c r="NW143" s="114"/>
      <c r="NX143" s="114"/>
      <c r="NY143" s="114" t="s">
        <v>1706</v>
      </c>
      <c r="OA143" s="113" t="s">
        <v>58</v>
      </c>
      <c r="OB143" s="113" t="s">
        <v>96</v>
      </c>
      <c r="OC143" s="113" t="s">
        <v>22</v>
      </c>
      <c r="OD143" s="113" t="s">
        <v>443</v>
      </c>
      <c r="OE143" s="114" t="s">
        <v>1564</v>
      </c>
      <c r="OF143" s="113"/>
    </row>
    <row r="144" spans="2:503">
      <c r="B144" s="259">
        <v>1</v>
      </c>
      <c r="C144" s="260" t="s">
        <v>1605</v>
      </c>
      <c r="D144" s="21" t="s">
        <v>1400</v>
      </c>
      <c r="E144" s="114" t="s">
        <v>1394</v>
      </c>
      <c r="F144" s="23" t="str">
        <f>HYPERLINK("C:\SVN Server\Projects\SALT\Snapshots\US_ADM017_IN-MU-LT-J27287\201614\18245\Iterator_1\US_ADM0171.xlsx","Snapshot")</f>
        <v>Snapshot</v>
      </c>
      <c r="G144" s="23" t="str">
        <f>HYPERLINK("C:\SVN Server\Projects\SALT\Snapshots\US_ADM017_IN-MU-LT-J27287\201614\18245\Iterator_1\Merge.html","Result")</f>
        <v>Result</v>
      </c>
      <c r="KI144" s="28">
        <v>42373.766724537039</v>
      </c>
      <c r="KJ144" s="28">
        <v>42373.768807870372</v>
      </c>
      <c r="KK144" s="21" t="s">
        <v>1704</v>
      </c>
      <c r="KL144" s="113"/>
      <c r="KQ144" s="241"/>
      <c r="KR144" s="114"/>
      <c r="KS144" s="113"/>
      <c r="KT144" s="114"/>
      <c r="KU144" s="114"/>
      <c r="KV144" s="113"/>
      <c r="KW144" s="113"/>
      <c r="KX144" s="114"/>
      <c r="KY144" s="113"/>
      <c r="KZ144" s="113"/>
      <c r="LA144" s="114"/>
      <c r="LB144" s="114"/>
      <c r="LC144" s="113"/>
      <c r="LD144" s="114"/>
      <c r="LE144" s="113"/>
      <c r="LF144" s="114"/>
      <c r="LG144" s="113"/>
      <c r="LH144" s="113"/>
      <c r="LI144" s="114"/>
      <c r="LL144" s="113"/>
      <c r="LM144" s="113"/>
      <c r="LN144" s="113"/>
      <c r="LO144" s="113"/>
      <c r="LP144" s="113"/>
      <c r="LQ144" s="113"/>
      <c r="LR144" s="113"/>
      <c r="LU144" s="113"/>
      <c r="LX144" s="113"/>
      <c r="LY144" s="113"/>
      <c r="LZ144" s="113"/>
      <c r="MA144" s="113"/>
      <c r="MB144" s="113"/>
      <c r="MD144" s="113"/>
      <c r="ME144" s="114"/>
      <c r="MF144" s="241"/>
      <c r="MG144" s="241"/>
      <c r="MH144" s="114"/>
      <c r="MI144" s="114"/>
      <c r="MJ144" s="51"/>
      <c r="MK144" s="51"/>
      <c r="ML144" s="112"/>
      <c r="MM144" s="34"/>
      <c r="MN144" s="112"/>
      <c r="MO144" s="34"/>
      <c r="MP144" s="113"/>
      <c r="MQ144" s="113"/>
      <c r="MR144" s="113"/>
      <c r="MS144" s="113"/>
      <c r="MT144" s="113"/>
      <c r="MU144" s="113"/>
      <c r="MV144" s="113"/>
      <c r="MW144" s="113"/>
      <c r="MX144" s="113"/>
      <c r="MY144" s="114"/>
      <c r="MZ144" s="246"/>
      <c r="NA144" s="114"/>
      <c r="NB144" s="113"/>
      <c r="NC144" s="113"/>
      <c r="ND144" s="114"/>
      <c r="NE144" s="114"/>
      <c r="NF144" s="113"/>
      <c r="NG144" s="113"/>
      <c r="NH144" s="113"/>
      <c r="NI144" s="113"/>
      <c r="NJ144" s="114"/>
      <c r="NK144" s="114"/>
      <c r="NL144" s="113"/>
      <c r="NM144" s="114"/>
      <c r="NN144" s="114"/>
      <c r="NO144" s="113"/>
      <c r="NP144" s="113"/>
      <c r="NQ144" s="236"/>
      <c r="NR144" s="113"/>
      <c r="NU144" s="97"/>
      <c r="NV144" s="113"/>
      <c r="NW144" s="114"/>
      <c r="NX144" s="114"/>
      <c r="NY144" s="113"/>
      <c r="NZ144" s="113"/>
      <c r="OA144" s="113" t="s">
        <v>58</v>
      </c>
      <c r="OB144" s="113" t="s">
        <v>96</v>
      </c>
      <c r="OC144" s="113" t="s">
        <v>22</v>
      </c>
      <c r="OD144" s="113" t="s">
        <v>443</v>
      </c>
      <c r="OE144" s="114" t="s">
        <v>1564</v>
      </c>
      <c r="OF144" s="113"/>
      <c r="OG144" s="113"/>
      <c r="OH144" s="113"/>
      <c r="OI144" s="113"/>
      <c r="OJ144" s="113"/>
      <c r="OK144" s="113"/>
      <c r="OL144" s="113"/>
      <c r="OM144" s="113"/>
      <c r="ON144" s="113"/>
      <c r="OO144" s="113"/>
      <c r="OP144" s="113"/>
      <c r="OQ144" s="113"/>
      <c r="OR144" s="113"/>
      <c r="OS144" s="113"/>
      <c r="OT144" s="113"/>
      <c r="OU144" s="113"/>
      <c r="OV144" s="113"/>
      <c r="OW144" s="113"/>
      <c r="OX144" s="113"/>
      <c r="OY144" s="113"/>
    </row>
    <row r="145" spans="2:396">
      <c r="B145" s="259">
        <v>1</v>
      </c>
      <c r="C145" s="260" t="s">
        <v>1606</v>
      </c>
      <c r="D145" s="21" t="s">
        <v>1400</v>
      </c>
      <c r="E145" s="114" t="s">
        <v>1394</v>
      </c>
      <c r="F145" s="23" t="str">
        <f>HYPERLINK("C:\SVN Server\Projects\SALT\Snapshots\US_ADM019_IN-MU-LT-J27287\201614\183225\Iterator_1\US_ADM0191.xlsx","Snapshot")</f>
        <v>Snapshot</v>
      </c>
      <c r="G145" s="23" t="str">
        <f>HYPERLINK("C:\SVN Server\Projects\SALT\Snapshots\US_ADM019_IN-MU-LT-J27287\201614\183225\Iterator_1\Merge.html","Result")</f>
        <v>Result</v>
      </c>
      <c r="KI145" s="28">
        <v>42373.772511574076</v>
      </c>
      <c r="KJ145" s="28">
        <v>42373.773680555554</v>
      </c>
      <c r="KK145" s="21" t="s">
        <v>787</v>
      </c>
      <c r="NY145" s="114" t="s">
        <v>1706</v>
      </c>
      <c r="OA145" s="113" t="s">
        <v>58</v>
      </c>
      <c r="OB145" s="113" t="s">
        <v>96</v>
      </c>
      <c r="OC145" s="113" t="s">
        <v>22</v>
      </c>
      <c r="OD145" s="113" t="s">
        <v>443</v>
      </c>
      <c r="OE145" s="114" t="s">
        <v>1564</v>
      </c>
    </row>
    <row r="146" spans="2:396">
      <c r="B146" s="259">
        <v>1</v>
      </c>
      <c r="C146" s="260" t="s">
        <v>1617</v>
      </c>
      <c r="D146" s="21" t="s">
        <v>1400</v>
      </c>
      <c r="E146" s="77" t="s">
        <v>1394</v>
      </c>
      <c r="F146" s="23" t="str">
        <f>HYPERLINK("C:\SVN Server\Projects\SALT\Snapshots\US_ADM015_IN-MU-LT-J27287\201614\18229\Iterator_1\US_ADM0151.xlsx","Snapshot")</f>
        <v>Snapshot</v>
      </c>
      <c r="G146" s="23" t="str">
        <f>HYPERLINK("C:\SVN Server\Projects\SALT\Snapshots\US_ADM015_IN-MU-LT-J27287\201614\18229\Iterator_1\Merge.html","Result")</f>
        <v>Result</v>
      </c>
      <c r="KI146" s="28">
        <v>42373.765381944446</v>
      </c>
      <c r="KJ146" s="28">
        <v>42373.766701388886</v>
      </c>
      <c r="KK146" s="21" t="s">
        <v>1703</v>
      </c>
      <c r="OA146" s="113" t="s">
        <v>58</v>
      </c>
      <c r="OB146" s="113" t="s">
        <v>96</v>
      </c>
      <c r="OC146" s="113" t="s">
        <v>22</v>
      </c>
      <c r="OD146" s="113" t="s">
        <v>443</v>
      </c>
      <c r="OE146" s="114" t="s">
        <v>1564</v>
      </c>
    </row>
    <row r="147" spans="2:396">
      <c r="B147" s="259">
        <v>1</v>
      </c>
      <c r="C147" s="260" t="s">
        <v>1624</v>
      </c>
      <c r="D147" s="21" t="s">
        <v>1400</v>
      </c>
      <c r="E147" s="114" t="s">
        <v>1394</v>
      </c>
      <c r="F147" s="23" t="str">
        <f>HYPERLINK("C:\SVN Server\Projects\SALT\Snapshots\US_ADM016_IN-MU-LT-J27287\201614\182029\Iterator_1\US_ADM0161.xlsx","Snapshot")</f>
        <v>Snapshot</v>
      </c>
      <c r="G147" s="23" t="str">
        <f>HYPERLINK("C:\SVN Server\Projects\SALT\Snapshots\US_ADM016_IN-MU-LT-J27287\201614\182029\Iterator_1\Merge.html","Result")</f>
        <v>Result</v>
      </c>
      <c r="KI147" s="28">
        <v>42373.764224537037</v>
      </c>
      <c r="KJ147" s="28">
        <v>42373.765370370369</v>
      </c>
      <c r="KK147" s="21" t="s">
        <v>1702</v>
      </c>
      <c r="NY147" s="114" t="s">
        <v>1706</v>
      </c>
      <c r="OA147" s="113" t="s">
        <v>58</v>
      </c>
      <c r="OB147" s="113" t="s">
        <v>96</v>
      </c>
      <c r="OC147" s="113" t="s">
        <v>22</v>
      </c>
      <c r="OD147" s="113" t="s">
        <v>443</v>
      </c>
      <c r="OE147" s="114" t="s">
        <v>1564</v>
      </c>
    </row>
    <row r="148" spans="2:396">
      <c r="B148" s="266">
        <v>1</v>
      </c>
      <c r="C148" s="267" t="s">
        <v>1635</v>
      </c>
      <c r="E148" s="114"/>
      <c r="F148" s="23"/>
      <c r="G148" s="23"/>
      <c r="KI148" s="28">
        <v>42341.846909722219</v>
      </c>
      <c r="KJ148" s="28">
        <v>42341.848020833335</v>
      </c>
      <c r="KK148" s="21" t="s">
        <v>1700</v>
      </c>
      <c r="NU148" s="272" t="s">
        <v>310</v>
      </c>
      <c r="NV148" s="113">
        <v>1</v>
      </c>
      <c r="NW148" s="17" t="s">
        <v>198</v>
      </c>
      <c r="NX148" s="17" t="s">
        <v>198</v>
      </c>
      <c r="NY148" s="114" t="s">
        <v>1699</v>
      </c>
      <c r="NZ148" s="113"/>
      <c r="OA148" s="113" t="s">
        <v>58</v>
      </c>
      <c r="OB148" s="113" t="s">
        <v>96</v>
      </c>
      <c r="OC148" s="113" t="s">
        <v>22</v>
      </c>
      <c r="OD148" s="113" t="s">
        <v>443</v>
      </c>
      <c r="OE148" s="114" t="s">
        <v>1564</v>
      </c>
      <c r="OF148" s="113"/>
    </row>
    <row r="149" spans="2:396">
      <c r="B149" s="259">
        <v>1</v>
      </c>
      <c r="C149" s="273" t="s">
        <v>1638</v>
      </c>
      <c r="D149" s="21" t="s">
        <v>1400</v>
      </c>
      <c r="E149" s="114" t="s">
        <v>1394</v>
      </c>
      <c r="F149" s="23" t="str">
        <f>HYPERLINK("C:\SVN Server\Projects\SALT\Snapshots\US_ADM020_IN-MU-LT-J27287\2016122\18548\Iterator_1\US_ADM0201.xlsx","Snapshot")</f>
        <v>Snapshot</v>
      </c>
      <c r="G149" s="23" t="str">
        <f>HYPERLINK("C:\SVN Server\Projects\SALT\Snapshots\US_ADM020_IN-MU-LT-J27287\2016122\18548\Iterator_1\Merge.html","Result")</f>
        <v>Result</v>
      </c>
      <c r="KI149" s="28">
        <v>42391.787592592591</v>
      </c>
      <c r="KJ149" s="28">
        <v>42391.791134259256</v>
      </c>
      <c r="KK149" s="21" t="s">
        <v>1595</v>
      </c>
      <c r="NU149" s="272" t="s">
        <v>310</v>
      </c>
      <c r="NV149" s="113">
        <v>2</v>
      </c>
      <c r="NW149" s="17" t="s">
        <v>198</v>
      </c>
      <c r="NX149" s="17" t="s">
        <v>198</v>
      </c>
      <c r="NY149" s="114" t="s">
        <v>1706</v>
      </c>
      <c r="NZ149" s="113"/>
      <c r="OA149" s="113" t="s">
        <v>58</v>
      </c>
      <c r="OB149" s="113" t="s">
        <v>96</v>
      </c>
      <c r="OC149" s="113" t="s">
        <v>22</v>
      </c>
      <c r="OD149" s="113" t="s">
        <v>443</v>
      </c>
      <c r="OE149" s="114" t="s">
        <v>1564</v>
      </c>
      <c r="OF149" s="113"/>
    </row>
    <row r="158" spans="2:396">
      <c r="NU158" s="102"/>
    </row>
  </sheetData>
  <protectedRanges>
    <protectedRange sqref="C8" name="Range1_1"/>
  </protectedRanges>
  <dataConsolidate/>
  <customSheetViews>
    <customSheetView guid="{D354225D-2C82-4417-8BA4-5EFA1D96D332}" scale="85" topLeftCell="A6">
      <pane xSplit="1" topLeftCell="C1" activePane="topRight" state="frozen"/>
      <selection pane="topRight" activeCell="A26" sqref="A26"/>
      <pageMargins left="0.7" right="0.7" top="0.75" bottom="0.75" header="0.3" footer="0.3"/>
      <pageSetup orientation="portrait" r:id="rId1"/>
    </customSheetView>
    <customSheetView guid="{A8F9189F-30EC-448E-8FA3-1F1B01D22A46}" scale="80" filter="1" showAutoFilter="1" hiddenRows="1" hiddenColumns="1">
      <selection activeCell="FP58" sqref="FP58"/>
      <pageMargins left="0.7" right="0.7" top="0.75" bottom="0.75" header="0.3" footer="0.3"/>
      <pageSetup orientation="portrait" r:id="rId2"/>
      <autoFilter ref="B3:D58">
        <filterColumn colId="1">
          <filters>
            <filter val="MobilePickUpCashPassportOrder"/>
          </filters>
        </filterColumn>
      </autoFilter>
    </customSheetView>
    <customSheetView guid="{CF42ED2D-1073-4AB2-96F1-563C90B8192E}" scale="85">
      <pane xSplit="1" topLeftCell="B1" activePane="topRight" state="frozen"/>
      <selection pane="topRight" activeCell="F78" sqref="F78"/>
      <pageMargins left="0.7" right="0.7" top="0.75" bottom="0.75" header="0.3" footer="0.3"/>
      <pageSetup orientation="portrait" r:id="rId3"/>
    </customSheetView>
    <customSheetView guid="{038EA038-5A0E-4BA1-B2F5-E3A3B7AA82FA}" scale="85" filter="1" showAutoFilter="1" hiddenRows="1" hiddenColumns="1">
      <pane xSplit="1" topLeftCell="B1" activePane="topRight" state="frozen"/>
      <selection pane="topRight" activeCell="C143" sqref="C143"/>
      <pageMargins left="0.7" right="0.7" top="0.75" bottom="0.75" header="0.3" footer="0.3"/>
      <pageSetup orientation="portrait" r:id="rId4"/>
      <autoFilter ref="B3:D129">
        <filterColumn colId="1">
          <filters>
            <filter val="StorePackCashOrder"/>
          </filters>
        </filterColumn>
      </autoFilter>
    </customSheetView>
  </customSheetViews>
  <hyperlinks>
    <hyperlink ref="CD66" r:id="rId5"/>
    <hyperlink ref="CC66" r:id="rId6"/>
    <hyperlink ref="CD59" r:id="rId7"/>
    <hyperlink ref="CC59" r:id="rId8"/>
    <hyperlink ref="BI51" r:id="rId9"/>
    <hyperlink ref="BI52" r:id="rId10"/>
    <hyperlink ref="BI53" r:id="rId11"/>
    <hyperlink ref="JK87" r:id="rId12"/>
    <hyperlink ref="JL87" r:id="rId13"/>
    <hyperlink ref="JK88" r:id="rId14"/>
    <hyperlink ref="JL88" r:id="rId15"/>
    <hyperlink ref="KQ97" r:id="rId16"/>
    <hyperlink ref="BI54" r:id="rId17"/>
    <hyperlink ref="BI55" r:id="rId18"/>
    <hyperlink ref="BI105" r:id="rId19"/>
    <hyperlink ref="BI106" r:id="rId20"/>
    <hyperlink ref="MJ134" r:id="rId21"/>
    <hyperlink ref="MK134" r:id="rId22"/>
    <hyperlink ref="MJ137" r:id="rId23"/>
    <hyperlink ref="MK137" r:id="rId24"/>
    <hyperlink ref="MJ132" r:id="rId25"/>
    <hyperlink ref="MK132" r:id="rId26"/>
    <hyperlink ref="MJ136" r:id="rId27"/>
    <hyperlink ref="MK136" r:id="rId28"/>
    <hyperlink ref="MF136" r:id="rId29"/>
    <hyperlink ref="MG136" r:id="rId30"/>
    <hyperlink ref="MK133" r:id="rId31"/>
    <hyperlink ref="KQ132" r:id="rId32"/>
    <hyperlink ref="MK135" r:id="rId33"/>
    <hyperlink ref="MJ135" r:id="rId34"/>
    <hyperlink ref="MJ133" r:id="rId35"/>
    <hyperlink ref="KQ131" r:id="rId36"/>
    <hyperlink ref="KQ133" r:id="rId37"/>
    <hyperlink ref="KQ134" r:id="rId38"/>
    <hyperlink ref="KQ135" r:id="rId39"/>
    <hyperlink ref="KQ136" r:id="rId40"/>
    <hyperlink ref="KQ137" r:id="rId41"/>
  </hyperlinks>
  <pageMargins left="0.7" right="0.7" top="0.75" bottom="0.75" header="0.3" footer="0.3"/>
  <pageSetup orientation="portrait" r:id="rId42"/>
  <drawing r:id="rId43"/>
  <legacyDrawing r:id="rId44"/>
  <controls>
    <mc:AlternateContent xmlns:mc="http://schemas.openxmlformats.org/markup-compatibility/2006">
      <mc:Choice Requires="x14">
        <control shapeId="3094" r:id="rId45" name="cmdTCExecutionTime">
          <controlPr defaultSize="0" autoLine="0" r:id="rId46">
            <anchor>
              <from>
                <xdr:col>0</xdr:col>
                <xdr:colOff>0</xdr:colOff>
                <xdr:row>0</xdr:row>
                <xdr:rowOff>9525</xdr:rowOff>
              </from>
              <to>
                <xdr:col>0</xdr:col>
                <xdr:colOff>838200</xdr:colOff>
                <xdr:row>1</xdr:row>
                <xdr:rowOff>104775</xdr:rowOff>
              </to>
            </anchor>
          </controlPr>
        </control>
      </mc:Choice>
      <mc:Fallback>
        <control shapeId="3094" r:id="rId45" name="cmdTCExecutionTime"/>
      </mc:Fallback>
    </mc:AlternateContent>
    <mc:AlternateContent xmlns:mc="http://schemas.openxmlformats.org/markup-compatibility/2006">
      <mc:Choice Requires="x14">
        <control shapeId="3089" r:id="rId47" name="cmdImportHeaders">
          <controlPr defaultSize="0" autoLine="0" r:id="rId48">
            <anchor>
              <from>
                <xdr:col>0</xdr:col>
                <xdr:colOff>0</xdr:colOff>
                <xdr:row>0</xdr:row>
                <xdr:rowOff>0</xdr:rowOff>
              </from>
              <to>
                <xdr:col>0</xdr:col>
                <xdr:colOff>1076325</xdr:colOff>
                <xdr:row>1</xdr:row>
                <xdr:rowOff>104775</xdr:rowOff>
              </to>
            </anchor>
          </controlPr>
        </control>
      </mc:Choice>
      <mc:Fallback>
        <control shapeId="3089" r:id="rId47" name="cmdImportHeaders"/>
      </mc:Fallback>
    </mc:AlternateContent>
    <mc:AlternateContent xmlns:mc="http://schemas.openxmlformats.org/markup-compatibility/2006">
      <mc:Choice Requires="x14">
        <control shapeId="3088" r:id="rId49" name="cmdShowAllCol">
          <controlPr defaultSize="0" autoLine="0" r:id="rId50">
            <anchor>
              <from>
                <xdr:col>0</xdr:col>
                <xdr:colOff>0</xdr:colOff>
                <xdr:row>0</xdr:row>
                <xdr:rowOff>0</xdr:rowOff>
              </from>
              <to>
                <xdr:col>0</xdr:col>
                <xdr:colOff>1000125</xdr:colOff>
                <xdr:row>1</xdr:row>
                <xdr:rowOff>76200</xdr:rowOff>
              </to>
            </anchor>
          </controlPr>
        </control>
      </mc:Choice>
      <mc:Fallback>
        <control shapeId="3088" r:id="rId49" name="cmdShowAllCol"/>
      </mc:Fallback>
    </mc:AlternateContent>
    <mc:AlternateContent xmlns:mc="http://schemas.openxmlformats.org/markup-compatibility/2006">
      <mc:Choice Requires="x14">
        <control shapeId="3087" r:id="rId51" name="cmdPrevious">
          <controlPr defaultSize="0" autoLine="0" r:id="rId52">
            <anchor>
              <from>
                <xdr:col>0</xdr:col>
                <xdr:colOff>0</xdr:colOff>
                <xdr:row>0</xdr:row>
                <xdr:rowOff>9525</xdr:rowOff>
              </from>
              <to>
                <xdr:col>0</xdr:col>
                <xdr:colOff>990600</xdr:colOff>
                <xdr:row>1</xdr:row>
                <xdr:rowOff>142875</xdr:rowOff>
              </to>
            </anchor>
          </controlPr>
        </control>
      </mc:Choice>
      <mc:Fallback>
        <control shapeId="3087" r:id="rId51" name="cmdPrevious"/>
      </mc:Fallback>
    </mc:AlternateContent>
    <mc:AlternateContent xmlns:mc="http://schemas.openxmlformats.org/markup-compatibility/2006">
      <mc:Choice Requires="x14">
        <control shapeId="3086" r:id="rId53" name="cmdNext">
          <controlPr defaultSize="0" autoLine="0" r:id="rId54">
            <anchor>
              <from>
                <xdr:col>0</xdr:col>
                <xdr:colOff>0</xdr:colOff>
                <xdr:row>0</xdr:row>
                <xdr:rowOff>0</xdr:rowOff>
              </from>
              <to>
                <xdr:col>0</xdr:col>
                <xdr:colOff>771525</xdr:colOff>
                <xdr:row>1</xdr:row>
                <xdr:rowOff>152400</xdr:rowOff>
              </to>
            </anchor>
          </controlPr>
        </control>
      </mc:Choice>
      <mc:Fallback>
        <control shapeId="3086" r:id="rId53" name="cmdNext"/>
      </mc:Fallback>
    </mc:AlternateContent>
    <mc:AlternateContent xmlns:mc="http://schemas.openxmlformats.org/markup-compatibility/2006">
      <mc:Choice Requires="x14">
        <control shapeId="3085" r:id="rId55" name="cmdFindBC">
          <controlPr defaultSize="0" autoLine="0" r:id="rId56">
            <anchor>
              <from>
                <xdr:col>0</xdr:col>
                <xdr:colOff>0</xdr:colOff>
                <xdr:row>0</xdr:row>
                <xdr:rowOff>0</xdr:rowOff>
              </from>
              <to>
                <xdr:col>0</xdr:col>
                <xdr:colOff>857250</xdr:colOff>
                <xdr:row>1</xdr:row>
                <xdr:rowOff>133350</xdr:rowOff>
              </to>
            </anchor>
          </controlPr>
        </control>
      </mc:Choice>
      <mc:Fallback>
        <control shapeId="3085" r:id="rId55" name="cmdFindBC"/>
      </mc:Fallback>
    </mc:AlternateContent>
    <mc:AlternateContent xmlns:mc="http://schemas.openxmlformats.org/markup-compatibility/2006">
      <mc:Choice Requires="x14">
        <control shapeId="3084" r:id="rId57" name="cmdFindTest">
          <controlPr defaultSize="0" autoLine="0" r:id="rId58">
            <anchor>
              <from>
                <xdr:col>0</xdr:col>
                <xdr:colOff>0</xdr:colOff>
                <xdr:row>0</xdr:row>
                <xdr:rowOff>0</xdr:rowOff>
              </from>
              <to>
                <xdr:col>0</xdr:col>
                <xdr:colOff>809625</xdr:colOff>
                <xdr:row>1</xdr:row>
                <xdr:rowOff>142875</xdr:rowOff>
              </to>
            </anchor>
          </controlPr>
        </control>
      </mc:Choice>
      <mc:Fallback>
        <control shapeId="3084" r:id="rId57" name="cmdFindTest"/>
      </mc:Fallback>
    </mc:AlternateContent>
    <mc:AlternateContent xmlns:mc="http://schemas.openxmlformats.org/markup-compatibility/2006">
      <mc:Choice Requires="x14">
        <control shapeId="3083" r:id="rId59" name="CmbBCName">
          <controlPr defaultSize="0" autoLine="0" r:id="rId60">
            <anchor>
              <from>
                <xdr:col>0</xdr:col>
                <xdr:colOff>0</xdr:colOff>
                <xdr:row>0</xdr:row>
                <xdr:rowOff>38100</xdr:rowOff>
              </from>
              <to>
                <xdr:col>0</xdr:col>
                <xdr:colOff>3457575</xdr:colOff>
                <xdr:row>1</xdr:row>
                <xdr:rowOff>114300</xdr:rowOff>
              </to>
            </anchor>
          </controlPr>
        </control>
      </mc:Choice>
      <mc:Fallback>
        <control shapeId="3083" r:id="rId59" name="CmbBCName"/>
      </mc:Fallback>
    </mc:AlternateContent>
    <mc:AlternateContent xmlns:mc="http://schemas.openxmlformats.org/markup-compatibility/2006">
      <mc:Choice Requires="x14">
        <control shapeId="3082" r:id="rId61" name="cmbTestCase">
          <controlPr defaultSize="0" autoLine="0" listFillRange="Mapping!B2:B127" r:id="rId62">
            <anchor>
              <from>
                <xdr:col>0</xdr:col>
                <xdr:colOff>57150</xdr:colOff>
                <xdr:row>0</xdr:row>
                <xdr:rowOff>47625</xdr:rowOff>
              </from>
              <to>
                <xdr:col>0</xdr:col>
                <xdr:colOff>3438525</xdr:colOff>
                <xdr:row>1</xdr:row>
                <xdr:rowOff>142875</xdr:rowOff>
              </to>
            </anchor>
          </controlPr>
        </control>
      </mc:Choice>
      <mc:Fallback>
        <control shapeId="3082" r:id="rId61" name="cmbTestCase"/>
      </mc:Fallback>
    </mc:AlternateContent>
    <mc:AlternateContent xmlns:mc="http://schemas.openxmlformats.org/markup-compatibility/2006">
      <mc:Choice Requires="x14">
        <control shapeId="3090" r:id="rId63" name="cmdDeletedCol">
          <controlPr defaultSize="0" autoLine="0" r:id="rId64">
            <anchor>
              <from>
                <xdr:col>0</xdr:col>
                <xdr:colOff>0</xdr:colOff>
                <xdr:row>0</xdr:row>
                <xdr:rowOff>9525</xdr:rowOff>
              </from>
              <to>
                <xdr:col>0</xdr:col>
                <xdr:colOff>1704975</xdr:colOff>
                <xdr:row>1</xdr:row>
                <xdr:rowOff>152400</xdr:rowOff>
              </to>
            </anchor>
          </controlPr>
        </control>
      </mc:Choice>
      <mc:Fallback>
        <control shapeId="3090" r:id="rId63" name="cmdDeletedCo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95"/>
  <sheetViews>
    <sheetView zoomScaleNormal="100" workbookViewId="0">
      <pane ySplit="1" topLeftCell="A112" activePane="bottomLeft" state="frozen"/>
      <selection pane="bottomLeft" activeCell="C117" sqref="C117"/>
    </sheetView>
  </sheetViews>
  <sheetFormatPr defaultColWidth="22.5703125" defaultRowHeight="15"/>
  <cols>
    <col min="1" max="1" width="14" style="18" customWidth="1"/>
    <col min="2" max="2" width="39.42578125" style="20" bestFit="1" customWidth="1"/>
    <col min="3" max="3" width="71.140625" style="18" customWidth="1"/>
    <col min="4" max="4" width="32.140625" style="18" customWidth="1"/>
    <col min="5" max="5" width="39" style="18" customWidth="1"/>
    <col min="6" max="6" width="26.42578125" style="18" customWidth="1"/>
    <col min="7" max="7" width="19.7109375" style="18" customWidth="1"/>
    <col min="8" max="16384" width="22.5703125" style="18"/>
  </cols>
  <sheetData>
    <row r="1" spans="1:7" s="16" customFormat="1">
      <c r="A1" s="5" t="s">
        <v>0</v>
      </c>
      <c r="B1" s="5" t="s">
        <v>36</v>
      </c>
      <c r="C1" s="5" t="s">
        <v>35</v>
      </c>
      <c r="D1" s="19" t="s">
        <v>33</v>
      </c>
      <c r="E1" s="5" t="s">
        <v>34</v>
      </c>
      <c r="F1" s="5" t="s">
        <v>1</v>
      </c>
      <c r="G1" s="5" t="s">
        <v>2</v>
      </c>
    </row>
    <row r="2" spans="1:7">
      <c r="B2" s="20" t="s">
        <v>436</v>
      </c>
      <c r="C2" s="18" t="s">
        <v>467</v>
      </c>
      <c r="D2" s="17" t="s">
        <v>3</v>
      </c>
      <c r="E2" s="17" t="s">
        <v>52</v>
      </c>
      <c r="F2" s="18" t="s">
        <v>4</v>
      </c>
    </row>
    <row r="3" spans="1:7">
      <c r="B3" s="147" t="s">
        <v>310</v>
      </c>
      <c r="C3" s="31" t="s">
        <v>1177</v>
      </c>
      <c r="D3" s="17" t="s">
        <v>37</v>
      </c>
      <c r="E3" s="17" t="s">
        <v>40</v>
      </c>
      <c r="F3" s="18" t="s">
        <v>51</v>
      </c>
    </row>
    <row r="4" spans="1:7">
      <c r="B4" s="20" t="s">
        <v>311</v>
      </c>
      <c r="C4" s="18" t="s">
        <v>326</v>
      </c>
      <c r="D4" s="17" t="s">
        <v>41</v>
      </c>
      <c r="E4" s="17" t="s">
        <v>44</v>
      </c>
      <c r="F4" s="18" t="s">
        <v>5</v>
      </c>
    </row>
    <row r="5" spans="1:7">
      <c r="B5" s="20" t="s">
        <v>312</v>
      </c>
      <c r="C5" s="17" t="s">
        <v>794</v>
      </c>
      <c r="D5" s="17" t="s">
        <v>45</v>
      </c>
      <c r="E5" s="17" t="s">
        <v>50</v>
      </c>
      <c r="F5" s="18" t="s">
        <v>6</v>
      </c>
    </row>
    <row r="6" spans="1:7">
      <c r="B6" s="20" t="s">
        <v>313</v>
      </c>
      <c r="C6" s="18" t="s">
        <v>327</v>
      </c>
      <c r="D6" s="17" t="s">
        <v>53</v>
      </c>
      <c r="E6" s="17" t="s">
        <v>54</v>
      </c>
      <c r="F6" s="18" t="s">
        <v>7</v>
      </c>
    </row>
    <row r="7" spans="1:7">
      <c r="B7" s="20" t="s">
        <v>510</v>
      </c>
      <c r="C7" s="18" t="s">
        <v>513</v>
      </c>
      <c r="D7" s="17" t="s">
        <v>306</v>
      </c>
      <c r="E7" s="17" t="s">
        <v>11</v>
      </c>
      <c r="F7" s="18" t="s">
        <v>8</v>
      </c>
    </row>
    <row r="8" spans="1:7">
      <c r="B8" s="20" t="s">
        <v>511</v>
      </c>
      <c r="C8" s="18" t="s">
        <v>513</v>
      </c>
      <c r="D8" s="17" t="s">
        <v>110</v>
      </c>
      <c r="E8" s="17" t="s">
        <v>810</v>
      </c>
      <c r="F8" s="18" t="s">
        <v>38</v>
      </c>
    </row>
    <row r="9" spans="1:7">
      <c r="B9" s="20" t="s">
        <v>512</v>
      </c>
      <c r="C9" s="18" t="s">
        <v>513</v>
      </c>
      <c r="D9" s="17" t="s">
        <v>328</v>
      </c>
      <c r="E9" s="17" t="s">
        <v>63</v>
      </c>
      <c r="F9" s="18" t="s">
        <v>39</v>
      </c>
    </row>
    <row r="10" spans="1:7">
      <c r="B10" s="100" t="s">
        <v>204</v>
      </c>
      <c r="C10" s="17" t="s">
        <v>947</v>
      </c>
      <c r="D10" s="17" t="s">
        <v>100</v>
      </c>
      <c r="E10" s="17" t="s">
        <v>63</v>
      </c>
      <c r="F10" s="18" t="s">
        <v>42</v>
      </c>
    </row>
    <row r="11" spans="1:7">
      <c r="B11" s="100" t="s">
        <v>205</v>
      </c>
      <c r="C11" s="18" t="s">
        <v>839</v>
      </c>
      <c r="D11" s="17" t="s">
        <v>111</v>
      </c>
      <c r="E11" s="17" t="s">
        <v>329</v>
      </c>
      <c r="F11" s="18" t="s">
        <v>43</v>
      </c>
    </row>
    <row r="12" spans="1:7">
      <c r="B12" s="100" t="s">
        <v>206</v>
      </c>
      <c r="C12" s="18" t="s">
        <v>839</v>
      </c>
      <c r="D12" s="17" t="s">
        <v>119</v>
      </c>
      <c r="E12" s="17" t="s">
        <v>330</v>
      </c>
      <c r="F12" s="18" t="s">
        <v>46</v>
      </c>
    </row>
    <row r="13" spans="1:7">
      <c r="B13" s="100" t="s">
        <v>207</v>
      </c>
      <c r="C13" s="17" t="s">
        <v>840</v>
      </c>
      <c r="D13" s="17" t="s">
        <v>124</v>
      </c>
      <c r="E13" s="17" t="s">
        <v>718</v>
      </c>
      <c r="F13" s="18" t="s">
        <v>47</v>
      </c>
    </row>
    <row r="14" spans="1:7">
      <c r="B14" s="100" t="s">
        <v>208</v>
      </c>
      <c r="C14" s="17" t="s">
        <v>1123</v>
      </c>
      <c r="D14" s="17" t="s">
        <v>533</v>
      </c>
      <c r="E14" s="17" t="s">
        <v>1152</v>
      </c>
      <c r="F14" s="18" t="s">
        <v>48</v>
      </c>
    </row>
    <row r="15" spans="1:7">
      <c r="B15" s="100" t="s">
        <v>209</v>
      </c>
      <c r="C15" s="31" t="s">
        <v>841</v>
      </c>
      <c r="D15" s="17" t="s">
        <v>158</v>
      </c>
      <c r="E15" s="17" t="s">
        <v>331</v>
      </c>
      <c r="F15" s="18" t="s">
        <v>49</v>
      </c>
    </row>
    <row r="16" spans="1:7">
      <c r="B16" s="100" t="s">
        <v>210</v>
      </c>
      <c r="C16" s="31" t="s">
        <v>842</v>
      </c>
      <c r="D16" s="17" t="s">
        <v>332</v>
      </c>
      <c r="E16" s="17" t="s">
        <v>468</v>
      </c>
      <c r="F16" s="18" t="s">
        <v>54</v>
      </c>
    </row>
    <row r="17" spans="2:6">
      <c r="B17" s="100" t="s">
        <v>211</v>
      </c>
      <c r="C17" s="17" t="s">
        <v>1105</v>
      </c>
      <c r="D17" s="17" t="s">
        <v>307</v>
      </c>
      <c r="E17" s="17" t="s">
        <v>63</v>
      </c>
      <c r="F17" s="18" t="s">
        <v>12</v>
      </c>
    </row>
    <row r="18" spans="2:6">
      <c r="B18" s="100" t="s">
        <v>212</v>
      </c>
      <c r="C18" s="17" t="s">
        <v>1118</v>
      </c>
      <c r="D18" s="17" t="s">
        <v>333</v>
      </c>
      <c r="E18" s="17" t="s">
        <v>933</v>
      </c>
      <c r="F18" s="18" t="s">
        <v>10</v>
      </c>
    </row>
    <row r="19" spans="2:6">
      <c r="B19" s="100" t="s">
        <v>213</v>
      </c>
      <c r="C19" s="17" t="s">
        <v>1181</v>
      </c>
      <c r="D19" s="17" t="s">
        <v>334</v>
      </c>
      <c r="E19" s="17" t="s">
        <v>63</v>
      </c>
      <c r="F19" s="18" t="s">
        <v>13</v>
      </c>
    </row>
    <row r="20" spans="2:6">
      <c r="B20" s="100" t="s">
        <v>214</v>
      </c>
      <c r="C20" s="17" t="s">
        <v>843</v>
      </c>
      <c r="D20" s="17" t="s">
        <v>335</v>
      </c>
      <c r="E20" s="17" t="s">
        <v>336</v>
      </c>
      <c r="F20" s="18" t="s">
        <v>97</v>
      </c>
    </row>
    <row r="21" spans="2:6">
      <c r="B21" s="100" t="s">
        <v>215</v>
      </c>
      <c r="C21" s="17" t="s">
        <v>843</v>
      </c>
      <c r="D21" s="17" t="s">
        <v>337</v>
      </c>
      <c r="E21" s="17" t="s">
        <v>815</v>
      </c>
      <c r="F21" s="18" t="s">
        <v>98</v>
      </c>
    </row>
    <row r="22" spans="2:6">
      <c r="B22" s="100" t="s">
        <v>216</v>
      </c>
      <c r="C22" s="17" t="s">
        <v>1111</v>
      </c>
      <c r="D22" s="17" t="s">
        <v>338</v>
      </c>
      <c r="E22" s="17" t="s">
        <v>721</v>
      </c>
      <c r="F22" s="18" t="s">
        <v>104</v>
      </c>
    </row>
    <row r="23" spans="2:6">
      <c r="B23" s="100" t="s">
        <v>217</v>
      </c>
      <c r="C23" s="17" t="s">
        <v>948</v>
      </c>
      <c r="D23" s="17" t="s">
        <v>339</v>
      </c>
      <c r="E23" s="17" t="s">
        <v>340</v>
      </c>
      <c r="F23" s="18" t="s">
        <v>99</v>
      </c>
    </row>
    <row r="24" spans="2:6">
      <c r="B24" s="100" t="s">
        <v>218</v>
      </c>
      <c r="C24" s="17" t="s">
        <v>949</v>
      </c>
      <c r="D24" s="17" t="s">
        <v>341</v>
      </c>
      <c r="E24" s="17" t="s">
        <v>342</v>
      </c>
      <c r="F24" s="18" t="s">
        <v>103</v>
      </c>
    </row>
    <row r="25" spans="2:6">
      <c r="B25" s="100" t="s">
        <v>219</v>
      </c>
      <c r="C25" s="17" t="s">
        <v>949</v>
      </c>
      <c r="D25" s="17" t="s">
        <v>343</v>
      </c>
      <c r="E25" s="17" t="s">
        <v>344</v>
      </c>
      <c r="F25" s="18" t="s">
        <v>105</v>
      </c>
    </row>
    <row r="26" spans="2:6">
      <c r="B26" s="100" t="s">
        <v>220</v>
      </c>
      <c r="C26" s="17" t="s">
        <v>950</v>
      </c>
      <c r="D26" s="17" t="s">
        <v>345</v>
      </c>
      <c r="E26" s="17" t="s">
        <v>122</v>
      </c>
      <c r="F26" s="18" t="s">
        <v>681</v>
      </c>
    </row>
    <row r="27" spans="2:6">
      <c r="B27" s="100" t="s">
        <v>221</v>
      </c>
      <c r="C27" s="17" t="s">
        <v>951</v>
      </c>
      <c r="D27" s="17" t="s">
        <v>346</v>
      </c>
      <c r="E27" s="17" t="s">
        <v>63</v>
      </c>
      <c r="F27" s="18" t="s">
        <v>63</v>
      </c>
    </row>
    <row r="28" spans="2:6">
      <c r="B28" s="100" t="s">
        <v>222</v>
      </c>
      <c r="C28" s="17" t="s">
        <v>951</v>
      </c>
      <c r="D28" s="17" t="s">
        <v>347</v>
      </c>
      <c r="E28" s="17" t="s">
        <v>63</v>
      </c>
      <c r="F28" s="18" t="s">
        <v>101</v>
      </c>
    </row>
    <row r="29" spans="2:6">
      <c r="B29" s="100" t="s">
        <v>308</v>
      </c>
      <c r="C29" s="31" t="s">
        <v>1174</v>
      </c>
      <c r="D29" s="17" t="s">
        <v>348</v>
      </c>
      <c r="E29" s="17" t="s">
        <v>63</v>
      </c>
      <c r="F29" s="18" t="s">
        <v>102</v>
      </c>
    </row>
    <row r="30" spans="2:6">
      <c r="B30" s="100" t="s">
        <v>309</v>
      </c>
      <c r="C30" s="31" t="s">
        <v>952</v>
      </c>
      <c r="D30" s="17" t="s">
        <v>349</v>
      </c>
      <c r="E30" s="17" t="s">
        <v>350</v>
      </c>
      <c r="F30" s="18" t="s">
        <v>122</v>
      </c>
    </row>
    <row r="31" spans="2:6">
      <c r="B31" s="100" t="s">
        <v>352</v>
      </c>
      <c r="C31" s="31" t="s">
        <v>509</v>
      </c>
      <c r="D31" s="17" t="s">
        <v>227</v>
      </c>
      <c r="E31" s="17" t="s">
        <v>228</v>
      </c>
      <c r="F31" s="18" t="s">
        <v>123</v>
      </c>
    </row>
    <row r="32" spans="2:6">
      <c r="B32" s="100" t="s">
        <v>353</v>
      </c>
      <c r="C32" s="31" t="s">
        <v>509</v>
      </c>
      <c r="D32" s="17" t="s">
        <v>229</v>
      </c>
      <c r="E32" s="17" t="s">
        <v>230</v>
      </c>
      <c r="F32" s="18" t="s">
        <v>192</v>
      </c>
    </row>
    <row r="33" spans="2:6">
      <c r="B33" s="100" t="s">
        <v>354</v>
      </c>
      <c r="C33" s="31" t="s">
        <v>509</v>
      </c>
      <c r="D33" s="17" t="s">
        <v>231</v>
      </c>
      <c r="E33" s="17" t="s">
        <v>232</v>
      </c>
      <c r="F33" s="18" t="s">
        <v>118</v>
      </c>
    </row>
    <row r="34" spans="2:6">
      <c r="B34" s="100" t="s">
        <v>355</v>
      </c>
      <c r="C34" s="31" t="s">
        <v>509</v>
      </c>
      <c r="D34" s="17" t="s">
        <v>233</v>
      </c>
      <c r="E34" s="17" t="s">
        <v>63</v>
      </c>
      <c r="F34" s="18" t="s">
        <v>112</v>
      </c>
    </row>
    <row r="35" spans="2:6" ht="45">
      <c r="B35" s="20" t="s">
        <v>544</v>
      </c>
      <c r="C35" s="29" t="s">
        <v>701</v>
      </c>
      <c r="D35" s="17" t="s">
        <v>234</v>
      </c>
      <c r="E35" s="17" t="s">
        <v>63</v>
      </c>
      <c r="F35" s="18" t="s">
        <v>113</v>
      </c>
    </row>
    <row r="36" spans="2:6" ht="45">
      <c r="B36" s="20" t="s">
        <v>545</v>
      </c>
      <c r="C36" s="29" t="s">
        <v>701</v>
      </c>
      <c r="D36" s="17" t="s">
        <v>231</v>
      </c>
      <c r="E36" s="17" t="s">
        <v>232</v>
      </c>
      <c r="F36" s="18" t="s">
        <v>114</v>
      </c>
    </row>
    <row r="37" spans="2:6">
      <c r="B37" s="20" t="s">
        <v>547</v>
      </c>
      <c r="C37" s="20" t="s">
        <v>464</v>
      </c>
      <c r="D37" s="17" t="s">
        <v>235</v>
      </c>
      <c r="E37" s="17" t="s">
        <v>63</v>
      </c>
      <c r="F37" s="18" t="s">
        <v>115</v>
      </c>
    </row>
    <row r="38" spans="2:6">
      <c r="B38" s="20" t="s">
        <v>548</v>
      </c>
      <c r="C38" s="20" t="s">
        <v>464</v>
      </c>
      <c r="D38" s="17" t="s">
        <v>236</v>
      </c>
      <c r="E38" s="17" t="s">
        <v>63</v>
      </c>
      <c r="F38" s="18" t="s">
        <v>116</v>
      </c>
    </row>
    <row r="39" spans="2:6" ht="30">
      <c r="B39" s="20" t="s">
        <v>549</v>
      </c>
      <c r="C39" s="29" t="s">
        <v>465</v>
      </c>
      <c r="D39" s="17" t="s">
        <v>229</v>
      </c>
      <c r="E39" s="17" t="s">
        <v>237</v>
      </c>
      <c r="F39" s="18" t="s">
        <v>117</v>
      </c>
    </row>
    <row r="40" spans="2:6" ht="30">
      <c r="B40" s="20" t="s">
        <v>550</v>
      </c>
      <c r="C40" s="20" t="s">
        <v>465</v>
      </c>
      <c r="D40" s="17" t="s">
        <v>238</v>
      </c>
      <c r="E40" s="17" t="s">
        <v>63</v>
      </c>
      <c r="F40" s="18" t="s">
        <v>358</v>
      </c>
    </row>
    <row r="41" spans="2:6">
      <c r="B41" s="6" t="s">
        <v>691</v>
      </c>
      <c r="C41" s="6" t="s">
        <v>700</v>
      </c>
      <c r="D41" s="17" t="s">
        <v>239</v>
      </c>
      <c r="E41" s="17" t="s">
        <v>240</v>
      </c>
      <c r="F41" s="18" t="s">
        <v>719</v>
      </c>
    </row>
    <row r="42" spans="2:6">
      <c r="B42" s="6" t="s">
        <v>692</v>
      </c>
      <c r="C42" s="6" t="s">
        <v>692</v>
      </c>
      <c r="D42" s="17" t="s">
        <v>241</v>
      </c>
      <c r="E42" s="17" t="s">
        <v>63</v>
      </c>
      <c r="F42" s="18" t="s">
        <v>127</v>
      </c>
    </row>
    <row r="43" spans="2:6">
      <c r="B43" s="6" t="s">
        <v>693</v>
      </c>
      <c r="C43" s="6" t="s">
        <v>693</v>
      </c>
      <c r="D43" s="17" t="s">
        <v>242</v>
      </c>
      <c r="E43" s="17" t="s">
        <v>243</v>
      </c>
      <c r="F43" s="18" t="s">
        <v>126</v>
      </c>
    </row>
    <row r="44" spans="2:6">
      <c r="B44" s="31" t="s">
        <v>678</v>
      </c>
      <c r="C44" s="31" t="s">
        <v>678</v>
      </c>
      <c r="D44" s="17" t="s">
        <v>244</v>
      </c>
      <c r="E44" s="17" t="s">
        <v>245</v>
      </c>
      <c r="F44" s="18" t="s">
        <v>125</v>
      </c>
    </row>
    <row r="45" spans="2:6" ht="45">
      <c r="B45" s="22" t="s">
        <v>546</v>
      </c>
      <c r="C45" s="29" t="s">
        <v>707</v>
      </c>
      <c r="D45" s="17" t="s">
        <v>246</v>
      </c>
      <c r="E45" s="17" t="s">
        <v>63</v>
      </c>
      <c r="F45" s="18" t="s">
        <v>128</v>
      </c>
    </row>
    <row r="46" spans="2:6">
      <c r="B46" s="20" t="s">
        <v>714</v>
      </c>
      <c r="C46" s="18" t="s">
        <v>714</v>
      </c>
      <c r="D46" s="17" t="s">
        <v>247</v>
      </c>
      <c r="E46" s="17" t="s">
        <v>63</v>
      </c>
      <c r="F46" s="18" t="s">
        <v>129</v>
      </c>
    </row>
    <row r="47" spans="2:6">
      <c r="B47" s="33" t="s">
        <v>736</v>
      </c>
      <c r="C47" s="34" t="s">
        <v>737</v>
      </c>
      <c r="D47" s="17" t="s">
        <v>248</v>
      </c>
      <c r="E47" s="17" t="s">
        <v>63</v>
      </c>
      <c r="F47" s="18" t="s">
        <v>130</v>
      </c>
    </row>
    <row r="48" spans="2:6">
      <c r="B48" s="33" t="s">
        <v>738</v>
      </c>
      <c r="C48" s="34" t="s">
        <v>739</v>
      </c>
      <c r="D48" s="17" t="s">
        <v>249</v>
      </c>
      <c r="E48" s="17" t="s">
        <v>63</v>
      </c>
      <c r="F48" s="18" t="s">
        <v>131</v>
      </c>
    </row>
    <row r="49" spans="2:6">
      <c r="B49" s="33" t="s">
        <v>740</v>
      </c>
      <c r="C49" s="34" t="s">
        <v>823</v>
      </c>
      <c r="D49" s="17" t="s">
        <v>250</v>
      </c>
      <c r="E49" s="17" t="s">
        <v>11</v>
      </c>
      <c r="F49" s="18" t="s">
        <v>132</v>
      </c>
    </row>
    <row r="50" spans="2:6">
      <c r="B50" s="13" t="s">
        <v>741</v>
      </c>
      <c r="C50" s="34" t="s">
        <v>742</v>
      </c>
      <c r="D50" s="17" t="s">
        <v>251</v>
      </c>
      <c r="E50" s="17" t="s">
        <v>198</v>
      </c>
      <c r="F50" s="18" t="s">
        <v>133</v>
      </c>
    </row>
    <row r="51" spans="2:6">
      <c r="B51" s="13" t="s">
        <v>743</v>
      </c>
      <c r="C51" s="34" t="s">
        <v>742</v>
      </c>
      <c r="D51" s="17" t="s">
        <v>252</v>
      </c>
      <c r="E51" s="17" t="s">
        <v>198</v>
      </c>
      <c r="F51" s="18" t="s">
        <v>134</v>
      </c>
    </row>
    <row r="52" spans="2:6">
      <c r="B52" s="13" t="s">
        <v>744</v>
      </c>
      <c r="C52" s="34" t="s">
        <v>745</v>
      </c>
      <c r="D52" s="17" t="s">
        <v>253</v>
      </c>
      <c r="E52" s="17" t="s">
        <v>254</v>
      </c>
      <c r="F52" s="18" t="s">
        <v>135</v>
      </c>
    </row>
    <row r="53" spans="2:6">
      <c r="B53" s="20" t="s">
        <v>800</v>
      </c>
      <c r="C53" s="17" t="s">
        <v>880</v>
      </c>
      <c r="D53" s="17" t="s">
        <v>255</v>
      </c>
      <c r="E53" s="17" t="s">
        <v>198</v>
      </c>
      <c r="F53" s="18" t="s">
        <v>136</v>
      </c>
    </row>
    <row r="54" spans="2:6">
      <c r="B54" s="20" t="s">
        <v>801</v>
      </c>
      <c r="C54" s="17" t="s">
        <v>881</v>
      </c>
      <c r="D54" s="17" t="s">
        <v>256</v>
      </c>
      <c r="E54" s="17" t="s">
        <v>257</v>
      </c>
      <c r="F54" s="18" t="s">
        <v>137</v>
      </c>
    </row>
    <row r="55" spans="2:6">
      <c r="B55" s="20" t="s">
        <v>802</v>
      </c>
      <c r="C55" s="17" t="s">
        <v>880</v>
      </c>
      <c r="D55" s="17" t="s">
        <v>258</v>
      </c>
      <c r="E55" s="17" t="s">
        <v>1100</v>
      </c>
      <c r="F55" s="18" t="s">
        <v>138</v>
      </c>
    </row>
    <row r="56" spans="2:6" ht="45">
      <c r="B56" s="20" t="s">
        <v>872</v>
      </c>
      <c r="C56" s="17" t="s">
        <v>882</v>
      </c>
      <c r="D56" s="59" t="s">
        <v>224</v>
      </c>
      <c r="E56" s="29" t="s">
        <v>1101</v>
      </c>
      <c r="F56" s="18" t="s">
        <v>139</v>
      </c>
    </row>
    <row r="57" spans="2:6">
      <c r="B57" s="20" t="s">
        <v>804</v>
      </c>
      <c r="C57" s="17" t="s">
        <v>881</v>
      </c>
      <c r="D57" s="17" t="s">
        <v>200</v>
      </c>
      <c r="E57" s="17" t="s">
        <v>199</v>
      </c>
      <c r="F57" s="18" t="s">
        <v>874</v>
      </c>
    </row>
    <row r="58" spans="2:6" ht="30">
      <c r="B58" s="20" t="s">
        <v>805</v>
      </c>
      <c r="C58" s="17" t="s">
        <v>880</v>
      </c>
      <c r="D58" s="17" t="s">
        <v>201</v>
      </c>
      <c r="E58" s="29" t="s">
        <v>303</v>
      </c>
      <c r="F58" s="18" t="s">
        <v>140</v>
      </c>
    </row>
    <row r="59" spans="2:6" ht="60">
      <c r="B59" s="86" t="s">
        <v>889</v>
      </c>
      <c r="C59" s="87" t="s">
        <v>912</v>
      </c>
      <c r="D59" s="59" t="s">
        <v>259</v>
      </c>
      <c r="E59" s="29" t="s">
        <v>1113</v>
      </c>
      <c r="F59" s="18" t="s">
        <v>141</v>
      </c>
    </row>
    <row r="60" spans="2:6" ht="45">
      <c r="B60" s="88" t="s">
        <v>890</v>
      </c>
      <c r="C60" s="89" t="s">
        <v>913</v>
      </c>
      <c r="D60" s="17" t="s">
        <v>260</v>
      </c>
      <c r="E60" s="29" t="s">
        <v>934</v>
      </c>
      <c r="F60" s="18" t="s">
        <v>142</v>
      </c>
    </row>
    <row r="61" spans="2:6" ht="30">
      <c r="B61" s="86" t="s">
        <v>891</v>
      </c>
      <c r="C61" s="89" t="s">
        <v>914</v>
      </c>
      <c r="D61" s="17" t="s">
        <v>261</v>
      </c>
      <c r="E61" s="29" t="s">
        <v>303</v>
      </c>
      <c r="F61" s="18" t="s">
        <v>359</v>
      </c>
    </row>
    <row r="62" spans="2:6">
      <c r="B62" s="88" t="s">
        <v>892</v>
      </c>
      <c r="C62" s="89" t="s">
        <v>915</v>
      </c>
      <c r="D62" s="17" t="s">
        <v>262</v>
      </c>
      <c r="E62" s="17" t="s">
        <v>63</v>
      </c>
      <c r="F62" s="18" t="s">
        <v>380</v>
      </c>
    </row>
    <row r="63" spans="2:6">
      <c r="B63" s="88" t="s">
        <v>893</v>
      </c>
      <c r="C63" s="87" t="s">
        <v>916</v>
      </c>
      <c r="D63" s="101" t="s">
        <v>263</v>
      </c>
      <c r="E63" s="29" t="s">
        <v>198</v>
      </c>
      <c r="F63" s="18" t="s">
        <v>143</v>
      </c>
    </row>
    <row r="64" spans="2:6">
      <c r="B64" s="94" t="s">
        <v>935</v>
      </c>
      <c r="C64" s="95" t="s">
        <v>939</v>
      </c>
      <c r="D64" s="17" t="s">
        <v>225</v>
      </c>
      <c r="E64" s="17" t="s">
        <v>63</v>
      </c>
      <c r="F64" s="18" t="s">
        <v>144</v>
      </c>
    </row>
    <row r="65" spans="2:6">
      <c r="B65" s="94" t="s">
        <v>936</v>
      </c>
      <c r="C65" s="95" t="s">
        <v>940</v>
      </c>
      <c r="D65" s="17" t="s">
        <v>264</v>
      </c>
      <c r="E65" s="17" t="s">
        <v>1104</v>
      </c>
      <c r="F65" s="18" t="s">
        <v>145</v>
      </c>
    </row>
    <row r="66" spans="2:6">
      <c r="B66" s="96" t="s">
        <v>937</v>
      </c>
      <c r="C66" s="97" t="s">
        <v>941</v>
      </c>
      <c r="D66" s="17" t="s">
        <v>265</v>
      </c>
      <c r="E66" s="17" t="s">
        <v>198</v>
      </c>
      <c r="F66" s="18" t="s">
        <v>146</v>
      </c>
    </row>
    <row r="67" spans="2:6">
      <c r="B67" s="98" t="s">
        <v>938</v>
      </c>
      <c r="C67" s="97" t="s">
        <v>997</v>
      </c>
      <c r="D67" s="17" t="s">
        <v>226</v>
      </c>
      <c r="E67" s="17" t="s">
        <v>266</v>
      </c>
      <c r="F67" s="18" t="s">
        <v>147</v>
      </c>
    </row>
    <row r="68" spans="2:6" ht="30">
      <c r="B68" s="96" t="s">
        <v>965</v>
      </c>
      <c r="C68" s="97" t="s">
        <v>971</v>
      </c>
      <c r="D68" s="17" t="s">
        <v>267</v>
      </c>
      <c r="E68" s="17" t="s">
        <v>63</v>
      </c>
      <c r="F68" s="18" t="s">
        <v>148</v>
      </c>
    </row>
    <row r="69" spans="2:6">
      <c r="B69" s="164" t="s">
        <v>838</v>
      </c>
      <c r="C69" s="165" t="s">
        <v>1115</v>
      </c>
      <c r="D69" s="17" t="s">
        <v>268</v>
      </c>
      <c r="E69" s="17" t="s">
        <v>1121</v>
      </c>
      <c r="F69" s="18" t="s">
        <v>149</v>
      </c>
    </row>
    <row r="70" spans="2:6">
      <c r="B70" s="29" t="s">
        <v>978</v>
      </c>
      <c r="C70" s="97" t="s">
        <v>1178</v>
      </c>
      <c r="D70" s="17" t="s">
        <v>269</v>
      </c>
      <c r="E70" s="17" t="s">
        <v>63</v>
      </c>
      <c r="F70" s="18" t="s">
        <v>160</v>
      </c>
    </row>
    <row r="71" spans="2:6" ht="30">
      <c r="B71" s="29" t="s">
        <v>979</v>
      </c>
      <c r="C71" s="97" t="s">
        <v>981</v>
      </c>
      <c r="D71" s="223" t="s">
        <v>304</v>
      </c>
      <c r="E71" s="29" t="s">
        <v>303</v>
      </c>
      <c r="F71" s="18" t="s">
        <v>150</v>
      </c>
    </row>
    <row r="72" spans="2:6">
      <c r="B72" s="55" t="s">
        <v>993</v>
      </c>
      <c r="C72" s="17" t="s">
        <v>995</v>
      </c>
      <c r="D72" s="101" t="s">
        <v>314</v>
      </c>
      <c r="E72" s="29" t="s">
        <v>63</v>
      </c>
      <c r="F72" s="18" t="s">
        <v>151</v>
      </c>
    </row>
    <row r="73" spans="2:6">
      <c r="B73" s="29" t="s">
        <v>1007</v>
      </c>
      <c r="C73" s="97" t="s">
        <v>1166</v>
      </c>
      <c r="D73" s="17" t="s">
        <v>315</v>
      </c>
      <c r="E73" s="17" t="s">
        <v>316</v>
      </c>
      <c r="F73" s="18" t="s">
        <v>152</v>
      </c>
    </row>
    <row r="74" spans="2:6">
      <c r="B74" s="20" t="s">
        <v>1011</v>
      </c>
      <c r="C74" s="97" t="s">
        <v>997</v>
      </c>
      <c r="D74" s="17" t="s">
        <v>317</v>
      </c>
      <c r="E74" s="17" t="s">
        <v>318</v>
      </c>
      <c r="F74" s="18" t="s">
        <v>153</v>
      </c>
    </row>
    <row r="75" spans="2:6">
      <c r="B75" s="20" t="s">
        <v>1013</v>
      </c>
      <c r="C75" s="17" t="s">
        <v>513</v>
      </c>
      <c r="D75" s="17" t="s">
        <v>319</v>
      </c>
      <c r="E75" s="17" t="s">
        <v>320</v>
      </c>
      <c r="F75" s="18" t="s">
        <v>154</v>
      </c>
    </row>
    <row r="76" spans="2:6">
      <c r="B76" s="43" t="s">
        <v>1016</v>
      </c>
      <c r="C76" s="17" t="s">
        <v>513</v>
      </c>
      <c r="D76" s="17" t="s">
        <v>200</v>
      </c>
      <c r="E76" s="17" t="s">
        <v>199</v>
      </c>
      <c r="F76" s="18" t="s">
        <v>155</v>
      </c>
    </row>
    <row r="77" spans="2:6">
      <c r="B77" s="43" t="s">
        <v>1017</v>
      </c>
      <c r="C77" s="17" t="s">
        <v>513</v>
      </c>
      <c r="D77" s="17" t="s">
        <v>321</v>
      </c>
      <c r="E77" s="17" t="s">
        <v>322</v>
      </c>
      <c r="F77" s="18" t="s">
        <v>360</v>
      </c>
    </row>
    <row r="78" spans="2:6">
      <c r="B78" s="43" t="s">
        <v>1018</v>
      </c>
      <c r="C78" s="17" t="s">
        <v>513</v>
      </c>
      <c r="D78" s="17" t="s">
        <v>323</v>
      </c>
      <c r="E78" s="17" t="s">
        <v>728</v>
      </c>
      <c r="F78" s="18" t="s">
        <v>361</v>
      </c>
    </row>
    <row r="79" spans="2:6">
      <c r="B79" s="43" t="s">
        <v>1019</v>
      </c>
      <c r="C79" s="17" t="s">
        <v>513</v>
      </c>
      <c r="D79" s="17" t="s">
        <v>324</v>
      </c>
      <c r="E79" s="17" t="s">
        <v>730</v>
      </c>
      <c r="F79" s="18" t="s">
        <v>156</v>
      </c>
    </row>
    <row r="80" spans="2:6">
      <c r="B80" s="92" t="s">
        <v>1038</v>
      </c>
      <c r="C80" s="17" t="s">
        <v>1035</v>
      </c>
      <c r="D80" s="17" t="s">
        <v>325</v>
      </c>
      <c r="E80" s="17" t="s">
        <v>63</v>
      </c>
      <c r="F80" s="18" t="s">
        <v>157</v>
      </c>
    </row>
    <row r="81" spans="1:6">
      <c r="B81" s="146" t="s">
        <v>1039</v>
      </c>
      <c r="C81" s="17" t="s">
        <v>1040</v>
      </c>
      <c r="D81" s="17" t="s">
        <v>356</v>
      </c>
      <c r="E81" s="29" t="s">
        <v>357</v>
      </c>
      <c r="F81" s="18" t="s">
        <v>350</v>
      </c>
    </row>
    <row r="82" spans="1:6">
      <c r="B82" s="29" t="s">
        <v>1041</v>
      </c>
      <c r="C82" s="17" t="s">
        <v>1125</v>
      </c>
      <c r="D82" s="17" t="s">
        <v>498</v>
      </c>
      <c r="E82" s="17" t="s">
        <v>523</v>
      </c>
      <c r="F82" s="18" t="s">
        <v>159</v>
      </c>
    </row>
    <row r="83" spans="1:6">
      <c r="B83" s="20" t="s">
        <v>1046</v>
      </c>
      <c r="C83" s="31" t="s">
        <v>1048</v>
      </c>
      <c r="D83" s="17" t="s">
        <v>538</v>
      </c>
      <c r="E83" s="17" t="s">
        <v>539</v>
      </c>
      <c r="F83" s="18" t="s">
        <v>245</v>
      </c>
    </row>
    <row r="84" spans="1:6">
      <c r="B84" s="20" t="s">
        <v>1093</v>
      </c>
      <c r="C84" s="33" t="s">
        <v>1094</v>
      </c>
      <c r="D84" s="17" t="s">
        <v>552</v>
      </c>
      <c r="E84" s="17" t="s">
        <v>709</v>
      </c>
      <c r="F84" s="18" t="s">
        <v>362</v>
      </c>
    </row>
    <row r="85" spans="1:6">
      <c r="B85" s="100" t="s">
        <v>324</v>
      </c>
      <c r="C85" s="31" t="s">
        <v>1189</v>
      </c>
      <c r="D85" s="17" t="s">
        <v>553</v>
      </c>
      <c r="E85" s="17" t="s">
        <v>689</v>
      </c>
      <c r="F85" s="18" t="s">
        <v>363</v>
      </c>
    </row>
    <row r="86" spans="1:6">
      <c r="B86" s="38" t="s">
        <v>1188</v>
      </c>
      <c r="C86" s="31" t="s">
        <v>1190</v>
      </c>
      <c r="D86" s="17" t="s">
        <v>563</v>
      </c>
      <c r="E86" s="17" t="s">
        <v>564</v>
      </c>
      <c r="F86" s="18" t="s">
        <v>725</v>
      </c>
    </row>
    <row r="87" spans="1:6">
      <c r="B87" s="211" t="s">
        <v>1194</v>
      </c>
      <c r="C87" s="212" t="s">
        <v>1200</v>
      </c>
      <c r="D87" s="17" t="s">
        <v>565</v>
      </c>
      <c r="E87" s="17" t="s">
        <v>566</v>
      </c>
      <c r="F87" s="18" t="s">
        <v>120</v>
      </c>
    </row>
    <row r="88" spans="1:6">
      <c r="B88" s="211" t="s">
        <v>1195</v>
      </c>
      <c r="C88" s="212" t="s">
        <v>1201</v>
      </c>
      <c r="D88" s="17" t="s">
        <v>562</v>
      </c>
      <c r="E88" s="17" t="s">
        <v>699</v>
      </c>
      <c r="F88" s="18" t="s">
        <v>364</v>
      </c>
    </row>
    <row r="89" spans="1:6" ht="30">
      <c r="B89" s="211" t="s">
        <v>1196</v>
      </c>
      <c r="C89" s="212" t="s">
        <v>1202</v>
      </c>
      <c r="D89" s="17" t="s">
        <v>567</v>
      </c>
      <c r="E89" s="17" t="s">
        <v>568</v>
      </c>
      <c r="F89" s="18" t="s">
        <v>121</v>
      </c>
    </row>
    <row r="90" spans="1:6">
      <c r="B90" s="211" t="s">
        <v>1197</v>
      </c>
      <c r="C90" s="211" t="s">
        <v>1203</v>
      </c>
      <c r="D90" s="17" t="s">
        <v>569</v>
      </c>
      <c r="E90" s="17" t="s">
        <v>570</v>
      </c>
      <c r="F90" s="18" t="s">
        <v>717</v>
      </c>
    </row>
    <row r="91" spans="1:6">
      <c r="B91" s="211" t="s">
        <v>1198</v>
      </c>
      <c r="C91" s="211" t="s">
        <v>1204</v>
      </c>
      <c r="D91" s="17" t="s">
        <v>571</v>
      </c>
      <c r="E91" s="17" t="s">
        <v>564</v>
      </c>
      <c r="F91" s="18" t="s">
        <v>813</v>
      </c>
    </row>
    <row r="92" spans="1:6">
      <c r="B92" s="211" t="s">
        <v>1199</v>
      </c>
      <c r="C92" s="211" t="s">
        <v>1205</v>
      </c>
      <c r="D92" s="17" t="s">
        <v>561</v>
      </c>
      <c r="E92" s="17" t="s">
        <v>618</v>
      </c>
      <c r="F92" s="18" t="s">
        <v>365</v>
      </c>
    </row>
    <row r="93" spans="1:6">
      <c r="B93" s="38" t="s">
        <v>1290</v>
      </c>
      <c r="C93" s="17" t="s">
        <v>1293</v>
      </c>
      <c r="D93" s="17" t="s">
        <v>571</v>
      </c>
      <c r="E93" s="17" t="s">
        <v>566</v>
      </c>
      <c r="F93" s="18" t="s">
        <v>366</v>
      </c>
    </row>
    <row r="94" spans="1:6">
      <c r="B94" s="38" t="s">
        <v>1294</v>
      </c>
      <c r="C94" s="17" t="s">
        <v>1296</v>
      </c>
      <c r="D94" s="17" t="s">
        <v>673</v>
      </c>
      <c r="E94" s="17" t="s">
        <v>63</v>
      </c>
      <c r="F94" s="18" t="s">
        <v>367</v>
      </c>
    </row>
    <row r="95" spans="1:6">
      <c r="B95" s="20" t="s">
        <v>1312</v>
      </c>
      <c r="C95" s="18" t="s">
        <v>1313</v>
      </c>
      <c r="D95" s="17" t="s">
        <v>675</v>
      </c>
      <c r="E95" s="17" t="s">
        <v>63</v>
      </c>
      <c r="F95" s="18" t="s">
        <v>379</v>
      </c>
    </row>
    <row r="96" spans="1:6">
      <c r="A96" s="18" t="s">
        <v>1547</v>
      </c>
      <c r="B96" s="239" t="s">
        <v>1497</v>
      </c>
      <c r="C96" s="17" t="s">
        <v>1554</v>
      </c>
      <c r="D96" s="17" t="s">
        <v>678</v>
      </c>
      <c r="E96" s="17" t="s">
        <v>683</v>
      </c>
      <c r="F96" s="18" t="s">
        <v>368</v>
      </c>
    </row>
    <row r="97" spans="2:6">
      <c r="B97" s="29" t="s">
        <v>1414</v>
      </c>
      <c r="C97" s="17" t="s">
        <v>1476</v>
      </c>
      <c r="D97" s="18" t="s">
        <v>691</v>
      </c>
      <c r="E97" s="18" t="s">
        <v>63</v>
      </c>
      <c r="F97" s="18" t="s">
        <v>369</v>
      </c>
    </row>
    <row r="98" spans="2:6">
      <c r="B98" s="245" t="s">
        <v>1498</v>
      </c>
      <c r="C98" s="17" t="s">
        <v>1549</v>
      </c>
      <c r="D98" s="18" t="s">
        <v>692</v>
      </c>
      <c r="E98" s="18" t="s">
        <v>63</v>
      </c>
      <c r="F98" s="18" t="s">
        <v>370</v>
      </c>
    </row>
    <row r="99" spans="2:6">
      <c r="B99" s="242" t="s">
        <v>1474</v>
      </c>
      <c r="C99" s="17" t="s">
        <v>1568</v>
      </c>
      <c r="D99" s="18" t="s">
        <v>693</v>
      </c>
      <c r="E99" s="18" t="s">
        <v>63</v>
      </c>
      <c r="F99" s="18" t="s">
        <v>371</v>
      </c>
    </row>
    <row r="100" spans="2:6">
      <c r="B100" s="20" t="s">
        <v>1491</v>
      </c>
      <c r="C100" s="17" t="s">
        <v>1493</v>
      </c>
      <c r="D100" s="17" t="s">
        <v>678</v>
      </c>
      <c r="E100" s="17" t="s">
        <v>683</v>
      </c>
      <c r="F100" s="18" t="s">
        <v>455</v>
      </c>
    </row>
    <row r="101" spans="2:6">
      <c r="B101" s="242" t="s">
        <v>1475</v>
      </c>
      <c r="C101" s="17" t="s">
        <v>1566</v>
      </c>
      <c r="D101" s="17" t="s">
        <v>698</v>
      </c>
      <c r="E101" s="18" t="s">
        <v>63</v>
      </c>
      <c r="F101" s="18" t="s">
        <v>372</v>
      </c>
    </row>
    <row r="102" spans="2:6">
      <c r="B102" s="243" t="s">
        <v>1501</v>
      </c>
      <c r="C102" s="17" t="s">
        <v>1567</v>
      </c>
      <c r="D102" s="17" t="s">
        <v>706</v>
      </c>
      <c r="E102" s="17" t="s">
        <v>63</v>
      </c>
      <c r="F102" s="18" t="s">
        <v>373</v>
      </c>
    </row>
    <row r="103" spans="2:6">
      <c r="B103" s="244" t="s">
        <v>1502</v>
      </c>
      <c r="C103" s="17" t="s">
        <v>1530</v>
      </c>
      <c r="D103" s="17" t="s">
        <v>714</v>
      </c>
      <c r="E103" s="17" t="s">
        <v>63</v>
      </c>
      <c r="F103" s="18" t="s">
        <v>374</v>
      </c>
    </row>
    <row r="104" spans="2:6">
      <c r="B104" s="242" t="s">
        <v>1503</v>
      </c>
      <c r="C104" s="17" t="s">
        <v>1543</v>
      </c>
      <c r="D104" s="112" t="s">
        <v>746</v>
      </c>
      <c r="E104" s="18" t="s">
        <v>747</v>
      </c>
      <c r="F104" s="18" t="s">
        <v>375</v>
      </c>
    </row>
    <row r="105" spans="2:6">
      <c r="B105" s="244" t="s">
        <v>1505</v>
      </c>
      <c r="C105" s="240" t="s">
        <v>1552</v>
      </c>
      <c r="D105" s="34" t="s">
        <v>748</v>
      </c>
      <c r="E105" s="18" t="s">
        <v>63</v>
      </c>
      <c r="F105" s="18" t="s">
        <v>376</v>
      </c>
    </row>
    <row r="106" spans="2:6">
      <c r="B106" s="244" t="s">
        <v>1504</v>
      </c>
      <c r="C106" s="240" t="s">
        <v>1552</v>
      </c>
      <c r="D106" s="112" t="s">
        <v>749</v>
      </c>
      <c r="E106" s="17" t="s">
        <v>750</v>
      </c>
      <c r="F106" s="18" t="s">
        <v>377</v>
      </c>
    </row>
    <row r="107" spans="2:6" ht="30">
      <c r="B107" s="38" t="s">
        <v>1574</v>
      </c>
      <c r="C107" s="240" t="s">
        <v>1610</v>
      </c>
      <c r="D107" s="112" t="s">
        <v>740</v>
      </c>
      <c r="E107" s="34" t="s">
        <v>751</v>
      </c>
      <c r="F107" s="18" t="s">
        <v>720</v>
      </c>
    </row>
    <row r="108" spans="2:6" ht="30">
      <c r="B108" s="38" t="s">
        <v>1573</v>
      </c>
      <c r="C108" s="240" t="s">
        <v>1611</v>
      </c>
      <c r="D108" s="112" t="s">
        <v>752</v>
      </c>
      <c r="E108" s="17" t="s">
        <v>63</v>
      </c>
      <c r="F108" s="18" t="s">
        <v>378</v>
      </c>
    </row>
    <row r="109" spans="2:6" ht="30">
      <c r="B109" s="38" t="s">
        <v>1576</v>
      </c>
      <c r="C109" s="240" t="s">
        <v>1612</v>
      </c>
      <c r="D109" s="34" t="s">
        <v>753</v>
      </c>
      <c r="E109" s="17" t="s">
        <v>754</v>
      </c>
      <c r="F109" s="18" t="s">
        <v>381</v>
      </c>
    </row>
    <row r="110" spans="2:6">
      <c r="B110" s="38" t="s">
        <v>1578</v>
      </c>
      <c r="C110" s="240" t="s">
        <v>1613</v>
      </c>
      <c r="D110" s="112" t="s">
        <v>755</v>
      </c>
      <c r="E110" s="18" t="s">
        <v>747</v>
      </c>
      <c r="F110" s="18" t="s">
        <v>382</v>
      </c>
    </row>
    <row r="111" spans="2:6" ht="30">
      <c r="B111" s="38" t="s">
        <v>1605</v>
      </c>
      <c r="C111" s="240" t="s">
        <v>1614</v>
      </c>
      <c r="D111" s="112" t="s">
        <v>756</v>
      </c>
      <c r="E111" s="34" t="s">
        <v>757</v>
      </c>
      <c r="F111" s="18" t="s">
        <v>383</v>
      </c>
    </row>
    <row r="112" spans="2:6" ht="30">
      <c r="B112" s="40" t="s">
        <v>1606</v>
      </c>
      <c r="C112" s="240" t="s">
        <v>1615</v>
      </c>
      <c r="D112" s="112" t="s">
        <v>758</v>
      </c>
      <c r="E112" s="34" t="s">
        <v>757</v>
      </c>
      <c r="F112" s="18" t="s">
        <v>384</v>
      </c>
    </row>
    <row r="113" spans="2:6" ht="30">
      <c r="B113" s="40" t="s">
        <v>1617</v>
      </c>
      <c r="C113" s="240" t="s">
        <v>1619</v>
      </c>
      <c r="D113" s="90" t="s">
        <v>836</v>
      </c>
      <c r="E113" s="87" t="s">
        <v>11</v>
      </c>
      <c r="F113" s="18" t="s">
        <v>385</v>
      </c>
    </row>
    <row r="114" spans="2:6">
      <c r="B114" s="38" t="s">
        <v>1624</v>
      </c>
      <c r="C114" s="17" t="s">
        <v>1625</v>
      </c>
      <c r="D114" s="90" t="s">
        <v>837</v>
      </c>
      <c r="E114" s="87" t="s">
        <v>11</v>
      </c>
      <c r="F114" s="18" t="s">
        <v>386</v>
      </c>
    </row>
    <row r="115" spans="2:6">
      <c r="B115" s="29" t="s">
        <v>1620</v>
      </c>
      <c r="C115" s="17" t="s">
        <v>1622</v>
      </c>
      <c r="D115" s="87" t="s">
        <v>853</v>
      </c>
      <c r="E115" s="87" t="s">
        <v>63</v>
      </c>
      <c r="F115" s="18" t="s">
        <v>387</v>
      </c>
    </row>
    <row r="116" spans="2:6">
      <c r="B116" s="20" t="s">
        <v>1621</v>
      </c>
      <c r="C116" s="17" t="s">
        <v>1623</v>
      </c>
      <c r="D116" s="87" t="s">
        <v>855</v>
      </c>
      <c r="E116" s="87" t="s">
        <v>99</v>
      </c>
      <c r="F116" s="18" t="s">
        <v>388</v>
      </c>
    </row>
    <row r="117" spans="2:6" ht="45">
      <c r="B117" s="250" t="s">
        <v>1638</v>
      </c>
      <c r="C117" s="17" t="s">
        <v>1641</v>
      </c>
      <c r="D117" s="59" t="s">
        <v>917</v>
      </c>
      <c r="E117" s="29" t="s">
        <v>918</v>
      </c>
      <c r="F117" s="18" t="s">
        <v>270</v>
      </c>
    </row>
    <row r="118" spans="2:6" ht="45">
      <c r="B118" s="251" t="s">
        <v>1636</v>
      </c>
      <c r="C118" s="17" t="s">
        <v>1642</v>
      </c>
      <c r="D118" s="87" t="s">
        <v>919</v>
      </c>
      <c r="E118" s="29" t="s">
        <v>920</v>
      </c>
      <c r="F118" s="18" t="s">
        <v>271</v>
      </c>
    </row>
    <row r="119" spans="2:6">
      <c r="B119" s="251" t="s">
        <v>1635</v>
      </c>
      <c r="C119" s="17" t="s">
        <v>1643</v>
      </c>
      <c r="D119" s="87" t="s">
        <v>921</v>
      </c>
      <c r="E119" s="87" t="s">
        <v>99</v>
      </c>
      <c r="F119" s="18" t="s">
        <v>272</v>
      </c>
    </row>
    <row r="120" spans="2:6">
      <c r="B120" s="20" t="s">
        <v>1639</v>
      </c>
      <c r="C120" s="17" t="s">
        <v>1644</v>
      </c>
      <c r="D120" s="87" t="s">
        <v>922</v>
      </c>
      <c r="E120" s="87" t="s">
        <v>854</v>
      </c>
      <c r="F120" s="18" t="s">
        <v>273</v>
      </c>
    </row>
    <row r="121" spans="2:6">
      <c r="B121" s="20" t="s">
        <v>1645</v>
      </c>
      <c r="C121" s="17" t="s">
        <v>1644</v>
      </c>
      <c r="D121" s="90" t="s">
        <v>923</v>
      </c>
      <c r="E121" s="87" t="s">
        <v>336</v>
      </c>
      <c r="F121" s="18" t="s">
        <v>274</v>
      </c>
    </row>
    <row r="122" spans="2:6">
      <c r="B122" s="252" t="s">
        <v>1640</v>
      </c>
      <c r="C122" s="253" t="s">
        <v>1646</v>
      </c>
      <c r="D122" s="90" t="s">
        <v>924</v>
      </c>
      <c r="E122" s="87" t="s">
        <v>925</v>
      </c>
      <c r="F122" s="18" t="s">
        <v>275</v>
      </c>
    </row>
    <row r="123" spans="2:6">
      <c r="B123" s="20" t="s">
        <v>1637</v>
      </c>
      <c r="C123" s="17" t="s">
        <v>1647</v>
      </c>
      <c r="D123" s="90" t="s">
        <v>926</v>
      </c>
      <c r="E123" s="87" t="s">
        <v>718</v>
      </c>
      <c r="F123" s="18" t="s">
        <v>232</v>
      </c>
    </row>
    <row r="124" spans="2:6">
      <c r="B124" s="20" t="s">
        <v>1648</v>
      </c>
      <c r="C124" s="17" t="s">
        <v>1647</v>
      </c>
      <c r="D124" s="87" t="s">
        <v>927</v>
      </c>
      <c r="E124" s="87" t="s">
        <v>928</v>
      </c>
      <c r="F124" s="18" t="s">
        <v>276</v>
      </c>
    </row>
    <row r="125" spans="2:6">
      <c r="B125" s="38" t="s">
        <v>1685</v>
      </c>
      <c r="C125" s="256" t="s">
        <v>1688</v>
      </c>
      <c r="D125" s="90" t="s">
        <v>929</v>
      </c>
      <c r="E125" s="87" t="s">
        <v>1092</v>
      </c>
      <c r="F125" s="18" t="s">
        <v>277</v>
      </c>
    </row>
    <row r="126" spans="2:6">
      <c r="B126" s="38" t="s">
        <v>1686</v>
      </c>
      <c r="C126" s="256" t="s">
        <v>1690</v>
      </c>
      <c r="D126" s="87" t="s">
        <v>930</v>
      </c>
      <c r="E126" s="87" t="s">
        <v>63</v>
      </c>
      <c r="F126" s="18" t="s">
        <v>278</v>
      </c>
    </row>
    <row r="127" spans="2:6">
      <c r="B127" s="40" t="s">
        <v>1687</v>
      </c>
      <c r="C127" s="256" t="s">
        <v>1690</v>
      </c>
      <c r="D127" s="17" t="s">
        <v>859</v>
      </c>
      <c r="E127" s="17" t="s">
        <v>810</v>
      </c>
      <c r="F127" s="18" t="s">
        <v>279</v>
      </c>
    </row>
    <row r="128" spans="2:6">
      <c r="D128" s="17" t="s">
        <v>858</v>
      </c>
      <c r="E128" s="17" t="s">
        <v>330</v>
      </c>
      <c r="F128" s="18" t="s">
        <v>280</v>
      </c>
    </row>
    <row r="129" spans="4:6">
      <c r="D129" s="17" t="s">
        <v>871</v>
      </c>
      <c r="E129" s="17" t="s">
        <v>329</v>
      </c>
      <c r="F129" s="18" t="s">
        <v>281</v>
      </c>
    </row>
    <row r="130" spans="4:6">
      <c r="D130" s="17" t="s">
        <v>876</v>
      </c>
      <c r="E130" s="17" t="s">
        <v>63</v>
      </c>
      <c r="F130" s="18" t="s">
        <v>282</v>
      </c>
    </row>
    <row r="131" spans="4:6">
      <c r="D131" s="17" t="s">
        <v>877</v>
      </c>
      <c r="E131" s="17" t="s">
        <v>718</v>
      </c>
      <c r="F131" s="18" t="s">
        <v>283</v>
      </c>
    </row>
    <row r="132" spans="4:6">
      <c r="D132" s="17" t="s">
        <v>878</v>
      </c>
      <c r="E132" s="17" t="s">
        <v>336</v>
      </c>
      <c r="F132" s="18" t="s">
        <v>284</v>
      </c>
    </row>
    <row r="133" spans="4:6">
      <c r="D133" s="17" t="s">
        <v>879</v>
      </c>
      <c r="E133" s="17" t="s">
        <v>815</v>
      </c>
      <c r="F133" s="18" t="s">
        <v>198</v>
      </c>
    </row>
    <row r="134" spans="4:6">
      <c r="D134" s="17" t="s">
        <v>879</v>
      </c>
      <c r="E134" s="17" t="s">
        <v>815</v>
      </c>
      <c r="F134" s="18" t="s">
        <v>0</v>
      </c>
    </row>
    <row r="135" spans="4:6">
      <c r="D135" s="97" t="s">
        <v>942</v>
      </c>
      <c r="E135" s="97" t="s">
        <v>1001</v>
      </c>
      <c r="F135" s="18" t="s">
        <v>846</v>
      </c>
    </row>
    <row r="136" spans="4:6">
      <c r="D136" s="44" t="s">
        <v>943</v>
      </c>
      <c r="E136" s="97" t="s">
        <v>1010</v>
      </c>
      <c r="F136" s="18" t="s">
        <v>847</v>
      </c>
    </row>
    <row r="137" spans="4:6">
      <c r="D137" s="17" t="s">
        <v>944</v>
      </c>
      <c r="E137" s="97" t="s">
        <v>1001</v>
      </c>
      <c r="F137" s="18" t="s">
        <v>848</v>
      </c>
    </row>
    <row r="138" spans="4:6">
      <c r="D138" s="90" t="s">
        <v>836</v>
      </c>
      <c r="E138" s="87" t="s">
        <v>11</v>
      </c>
      <c r="F138" s="18" t="s">
        <v>849</v>
      </c>
    </row>
    <row r="139" spans="4:6">
      <c r="D139" s="97" t="s">
        <v>937</v>
      </c>
      <c r="E139" s="97" t="s">
        <v>1128</v>
      </c>
      <c r="F139" s="18" t="s">
        <v>199</v>
      </c>
    </row>
    <row r="140" spans="4:6">
      <c r="D140" s="95" t="s">
        <v>945</v>
      </c>
      <c r="E140" s="97" t="s">
        <v>946</v>
      </c>
      <c r="F140" s="18" t="s">
        <v>202</v>
      </c>
    </row>
    <row r="141" spans="4:6">
      <c r="D141" s="44" t="s">
        <v>935</v>
      </c>
      <c r="E141" s="97" t="s">
        <v>63</v>
      </c>
      <c r="F141" s="18" t="s">
        <v>302</v>
      </c>
    </row>
    <row r="142" spans="4:6">
      <c r="D142" s="94" t="s">
        <v>936</v>
      </c>
      <c r="E142" s="97" t="s">
        <v>245</v>
      </c>
      <c r="F142" s="18" t="s">
        <v>288</v>
      </c>
    </row>
    <row r="143" spans="4:6">
      <c r="D143" s="17" t="s">
        <v>968</v>
      </c>
      <c r="E143" s="17" t="s">
        <v>969</v>
      </c>
      <c r="F143" s="18" t="s">
        <v>286</v>
      </c>
    </row>
    <row r="144" spans="4:6">
      <c r="D144" s="17" t="s">
        <v>994</v>
      </c>
      <c r="E144" s="29" t="s">
        <v>198</v>
      </c>
      <c r="F144" s="18" t="s">
        <v>196</v>
      </c>
    </row>
    <row r="145" spans="4:6">
      <c r="D145" s="17" t="s">
        <v>998</v>
      </c>
      <c r="E145" s="97" t="s">
        <v>1116</v>
      </c>
      <c r="F145" s="18" t="s">
        <v>931</v>
      </c>
    </row>
    <row r="146" spans="4:6">
      <c r="D146" s="17" t="s">
        <v>1034</v>
      </c>
      <c r="E146" s="17" t="s">
        <v>198</v>
      </c>
      <c r="F146" s="18" t="s">
        <v>932</v>
      </c>
    </row>
    <row r="147" spans="4:6">
      <c r="D147" s="17" t="s">
        <v>1039</v>
      </c>
      <c r="E147" s="17" t="s">
        <v>63</v>
      </c>
      <c r="F147" s="18" t="s">
        <v>287</v>
      </c>
    </row>
    <row r="148" spans="4:6">
      <c r="D148" s="17" t="s">
        <v>1042</v>
      </c>
      <c r="E148" s="17" t="s">
        <v>198</v>
      </c>
      <c r="F148" s="18" t="s">
        <v>285</v>
      </c>
    </row>
    <row r="149" spans="4:6" ht="30">
      <c r="D149" s="17" t="s">
        <v>1047</v>
      </c>
      <c r="E149" s="29" t="s">
        <v>1051</v>
      </c>
      <c r="F149" s="18" t="s">
        <v>195</v>
      </c>
    </row>
    <row r="150" spans="4:6" ht="30">
      <c r="D150" s="17" t="s">
        <v>1047</v>
      </c>
      <c r="E150" s="29" t="s">
        <v>1051</v>
      </c>
      <c r="F150" s="18" t="s">
        <v>289</v>
      </c>
    </row>
    <row r="151" spans="4:6">
      <c r="D151" s="17" t="s">
        <v>1052</v>
      </c>
      <c r="E151" s="17" t="s">
        <v>1108</v>
      </c>
      <c r="F151" s="18" t="s">
        <v>1102</v>
      </c>
    </row>
    <row r="152" spans="4:6">
      <c r="D152" s="17" t="s">
        <v>1093</v>
      </c>
      <c r="E152" s="17" t="s">
        <v>1096</v>
      </c>
      <c r="F152" s="18" t="s">
        <v>1103</v>
      </c>
    </row>
    <row r="153" spans="4:6">
      <c r="D153" s="17" t="s">
        <v>1173</v>
      </c>
      <c r="E153" s="17" t="s">
        <v>63</v>
      </c>
      <c r="F153" s="18" t="s">
        <v>290</v>
      </c>
    </row>
    <row r="154" spans="4:6">
      <c r="D154" s="17" t="s">
        <v>1182</v>
      </c>
      <c r="E154" s="17" t="s">
        <v>198</v>
      </c>
      <c r="F154" s="18" t="s">
        <v>1119</v>
      </c>
    </row>
    <row r="155" spans="4:6">
      <c r="D155" s="17" t="s">
        <v>1183</v>
      </c>
      <c r="E155" s="17" t="s">
        <v>198</v>
      </c>
      <c r="F155" s="18" t="s">
        <v>1120</v>
      </c>
    </row>
    <row r="156" spans="4:6">
      <c r="D156" s="17" t="s">
        <v>1206</v>
      </c>
      <c r="E156" s="17" t="s">
        <v>1208</v>
      </c>
      <c r="F156" s="18" t="s">
        <v>389</v>
      </c>
    </row>
    <row r="157" spans="4:6">
      <c r="D157" s="17" t="s">
        <v>1195</v>
      </c>
      <c r="E157" s="17" t="s">
        <v>1272</v>
      </c>
      <c r="F157" s="18" t="s">
        <v>390</v>
      </c>
    </row>
    <row r="158" spans="4:6">
      <c r="D158" s="17" t="s">
        <v>1207</v>
      </c>
      <c r="E158" s="17" t="s">
        <v>1209</v>
      </c>
      <c r="F158" s="18" t="s">
        <v>391</v>
      </c>
    </row>
    <row r="159" spans="4:6">
      <c r="D159" s="17" t="s">
        <v>1197</v>
      </c>
      <c r="E159" s="17" t="s">
        <v>63</v>
      </c>
      <c r="F159" s="18" t="s">
        <v>197</v>
      </c>
    </row>
    <row r="160" spans="4:6">
      <c r="D160" s="17" t="s">
        <v>1198</v>
      </c>
      <c r="E160" s="17" t="s">
        <v>63</v>
      </c>
      <c r="F160" s="18" t="s">
        <v>392</v>
      </c>
    </row>
    <row r="161" spans="4:6">
      <c r="D161" s="17" t="s">
        <v>1199</v>
      </c>
      <c r="E161" s="17" t="s">
        <v>63</v>
      </c>
      <c r="F161" s="18" t="s">
        <v>393</v>
      </c>
    </row>
    <row r="162" spans="4:6">
      <c r="D162" s="17" t="s">
        <v>1291</v>
      </c>
      <c r="E162" s="17" t="s">
        <v>198</v>
      </c>
      <c r="F162" s="18" t="s">
        <v>394</v>
      </c>
    </row>
    <row r="163" spans="4:6" ht="30">
      <c r="D163" s="223" t="s">
        <v>1292</v>
      </c>
      <c r="E163" s="29" t="s">
        <v>303</v>
      </c>
      <c r="F163" s="18" t="s">
        <v>395</v>
      </c>
    </row>
    <row r="164" spans="4:6">
      <c r="D164" s="38" t="s">
        <v>1294</v>
      </c>
      <c r="E164" s="17" t="s">
        <v>1295</v>
      </c>
      <c r="F164" s="18" t="s">
        <v>396</v>
      </c>
    </row>
    <row r="165" spans="4:6">
      <c r="D165" s="230" t="s">
        <v>1312</v>
      </c>
      <c r="E165" s="17" t="s">
        <v>63</v>
      </c>
      <c r="F165" s="18" t="s">
        <v>397</v>
      </c>
    </row>
    <row r="166" spans="4:6">
      <c r="D166" s="17" t="s">
        <v>1410</v>
      </c>
      <c r="E166" s="17" t="s">
        <v>1465</v>
      </c>
      <c r="F166" s="18" t="s">
        <v>398</v>
      </c>
    </row>
    <row r="167" spans="4:6">
      <c r="D167" s="17" t="s">
        <v>1494</v>
      </c>
      <c r="E167" s="17" t="s">
        <v>11</v>
      </c>
      <c r="F167" s="18" t="s">
        <v>399</v>
      </c>
    </row>
    <row r="168" spans="4:6">
      <c r="D168" s="17" t="s">
        <v>1649</v>
      </c>
      <c r="E168" s="17" t="s">
        <v>1488</v>
      </c>
      <c r="F168" s="18" t="s">
        <v>400</v>
      </c>
    </row>
    <row r="169" spans="4:6">
      <c r="D169" s="17" t="s">
        <v>1650</v>
      </c>
      <c r="E169" s="33" t="s">
        <v>1492</v>
      </c>
      <c r="F169" s="18" t="s">
        <v>401</v>
      </c>
    </row>
    <row r="170" spans="4:6">
      <c r="D170" s="17" t="s">
        <v>1651</v>
      </c>
      <c r="E170" s="17" t="s">
        <v>1537</v>
      </c>
      <c r="F170" s="18" t="s">
        <v>402</v>
      </c>
    </row>
    <row r="171" spans="4:6">
      <c r="D171" s="17" t="s">
        <v>1453</v>
      </c>
      <c r="E171" s="17" t="s">
        <v>1452</v>
      </c>
      <c r="F171" s="18" t="s">
        <v>403</v>
      </c>
    </row>
    <row r="172" spans="4:6">
      <c r="D172" s="17" t="s">
        <v>1652</v>
      </c>
      <c r="E172" s="235" t="s">
        <v>1489</v>
      </c>
      <c r="F172" s="18" t="s">
        <v>404</v>
      </c>
    </row>
    <row r="173" spans="4:6">
      <c r="D173" s="17" t="s">
        <v>1467</v>
      </c>
      <c r="E173" s="17" t="s">
        <v>1472</v>
      </c>
      <c r="F173" s="18" t="s">
        <v>727</v>
      </c>
    </row>
    <row r="174" spans="4:6">
      <c r="D174" s="17" t="s">
        <v>1653</v>
      </c>
      <c r="E174" s="17" t="s">
        <v>63</v>
      </c>
      <c r="F174" s="18" t="s">
        <v>729</v>
      </c>
    </row>
    <row r="175" spans="4:6">
      <c r="D175" s="17" t="s">
        <v>1486</v>
      </c>
      <c r="E175" s="17" t="s">
        <v>1487</v>
      </c>
      <c r="F175" s="18" t="s">
        <v>405</v>
      </c>
    </row>
    <row r="176" spans="4:6">
      <c r="D176" s="15" t="s">
        <v>1491</v>
      </c>
      <c r="E176" s="17" t="s">
        <v>1495</v>
      </c>
      <c r="F176" s="18" t="s">
        <v>406</v>
      </c>
    </row>
    <row r="177" spans="4:6">
      <c r="D177" s="17" t="s">
        <v>1451</v>
      </c>
      <c r="E177" s="17" t="s">
        <v>16</v>
      </c>
      <c r="F177" s="18" t="s">
        <v>499</v>
      </c>
    </row>
    <row r="178" spans="4:6">
      <c r="D178" s="17" t="s">
        <v>1512</v>
      </c>
      <c r="E178" s="17" t="s">
        <v>1509</v>
      </c>
      <c r="F178" s="18" t="s">
        <v>500</v>
      </c>
    </row>
    <row r="179" spans="4:6">
      <c r="D179" s="17" t="s">
        <v>1571</v>
      </c>
      <c r="E179" s="17" t="s">
        <v>1477</v>
      </c>
      <c r="F179" s="18" t="s">
        <v>505</v>
      </c>
    </row>
    <row r="180" spans="4:6">
      <c r="D180" s="17" t="s">
        <v>1572</v>
      </c>
      <c r="E180" s="17" t="s">
        <v>63</v>
      </c>
      <c r="F180" s="18" t="s">
        <v>506</v>
      </c>
    </row>
    <row r="181" spans="4:6">
      <c r="D181" s="17" t="s">
        <v>1575</v>
      </c>
      <c r="E181" s="17" t="s">
        <v>63</v>
      </c>
      <c r="F181" s="18" t="s">
        <v>507</v>
      </c>
    </row>
    <row r="182" spans="4:6">
      <c r="D182" s="17" t="s">
        <v>1577</v>
      </c>
      <c r="E182" s="17" t="s">
        <v>63</v>
      </c>
      <c r="F182" s="18" t="s">
        <v>508</v>
      </c>
    </row>
    <row r="183" spans="4:6">
      <c r="D183" s="17" t="s">
        <v>1579</v>
      </c>
      <c r="E183" s="17" t="s">
        <v>1654</v>
      </c>
      <c r="F183" s="18" t="s">
        <v>522</v>
      </c>
    </row>
    <row r="184" spans="4:6">
      <c r="D184" s="17" t="s">
        <v>1580</v>
      </c>
      <c r="E184" s="17" t="s">
        <v>1581</v>
      </c>
      <c r="F184" s="18" t="s">
        <v>540</v>
      </c>
    </row>
    <row r="185" spans="4:6">
      <c r="D185" s="17" t="s">
        <v>1607</v>
      </c>
      <c r="E185" s="17" t="s">
        <v>1581</v>
      </c>
      <c r="F185" s="18" t="s">
        <v>541</v>
      </c>
    </row>
    <row r="186" spans="4:6">
      <c r="D186" s="17" t="s">
        <v>1608</v>
      </c>
      <c r="E186" s="17" t="s">
        <v>1609</v>
      </c>
      <c r="F186" s="18" t="s">
        <v>542</v>
      </c>
    </row>
    <row r="187" spans="4:6">
      <c r="D187" s="17" t="s">
        <v>1618</v>
      </c>
      <c r="E187" s="17" t="s">
        <v>63</v>
      </c>
      <c r="F187" s="18" t="s">
        <v>543</v>
      </c>
    </row>
    <row r="188" spans="4:6">
      <c r="D188" s="17" t="s">
        <v>1626</v>
      </c>
      <c r="E188" s="17" t="s">
        <v>63</v>
      </c>
      <c r="F188" s="18" t="s">
        <v>556</v>
      </c>
    </row>
    <row r="189" spans="4:6">
      <c r="D189" s="17" t="s">
        <v>1627</v>
      </c>
      <c r="E189" s="17" t="s">
        <v>316</v>
      </c>
      <c r="F189" s="18" t="s">
        <v>557</v>
      </c>
    </row>
    <row r="190" spans="4:6">
      <c r="D190" s="17" t="s">
        <v>1628</v>
      </c>
      <c r="E190" s="17" t="s">
        <v>63</v>
      </c>
      <c r="F190" s="18" t="s">
        <v>558</v>
      </c>
    </row>
    <row r="191" spans="4:6">
      <c r="D191" s="17" t="s">
        <v>1629</v>
      </c>
      <c r="E191" s="17" t="s">
        <v>63</v>
      </c>
      <c r="F191" s="18" t="s">
        <v>708</v>
      </c>
    </row>
    <row r="192" spans="4:6">
      <c r="D192" s="17" t="s">
        <v>1630</v>
      </c>
      <c r="E192" s="17" t="s">
        <v>63</v>
      </c>
      <c r="F192" s="18" t="s">
        <v>554</v>
      </c>
    </row>
    <row r="193" spans="4:6">
      <c r="D193" s="17" t="s">
        <v>1631</v>
      </c>
      <c r="E193" s="17" t="s">
        <v>1655</v>
      </c>
      <c r="F193" s="18" t="s">
        <v>688</v>
      </c>
    </row>
    <row r="194" spans="4:6">
      <c r="D194" s="17" t="s">
        <v>1632</v>
      </c>
      <c r="E194" s="17" t="s">
        <v>63</v>
      </c>
      <c r="F194" s="18" t="s">
        <v>572</v>
      </c>
    </row>
    <row r="195" spans="4:6">
      <c r="D195" s="17" t="s">
        <v>1633</v>
      </c>
      <c r="E195" s="17" t="s">
        <v>1609</v>
      </c>
      <c r="F195" s="18" t="s">
        <v>573</v>
      </c>
    </row>
    <row r="196" spans="4:6">
      <c r="D196" s="253" t="s">
        <v>1656</v>
      </c>
      <c r="E196" s="253" t="s">
        <v>1657</v>
      </c>
      <c r="F196" s="18" t="s">
        <v>574</v>
      </c>
    </row>
    <row r="197" spans="4:6">
      <c r="D197" s="253" t="s">
        <v>1415</v>
      </c>
      <c r="E197" s="254" t="s">
        <v>1658</v>
      </c>
      <c r="F197" s="18" t="s">
        <v>575</v>
      </c>
    </row>
    <row r="198" spans="4:6">
      <c r="D198" s="253" t="s">
        <v>1417</v>
      </c>
      <c r="E198" s="253" t="s">
        <v>1659</v>
      </c>
      <c r="F198" s="18" t="s">
        <v>576</v>
      </c>
    </row>
    <row r="199" spans="4:6">
      <c r="D199" s="253" t="s">
        <v>1660</v>
      </c>
      <c r="E199" s="253" t="s">
        <v>500</v>
      </c>
      <c r="F199" s="18" t="s">
        <v>577</v>
      </c>
    </row>
    <row r="200" spans="4:6">
      <c r="D200" s="255" t="s">
        <v>1416</v>
      </c>
      <c r="E200" s="253" t="s">
        <v>1661</v>
      </c>
      <c r="F200" s="18" t="s">
        <v>578</v>
      </c>
    </row>
    <row r="201" spans="4:6">
      <c r="D201" s="253" t="s">
        <v>1485</v>
      </c>
      <c r="E201" s="253" t="s">
        <v>1662</v>
      </c>
      <c r="F201" s="18" t="s">
        <v>579</v>
      </c>
    </row>
    <row r="202" spans="4:6">
      <c r="D202" s="17" t="s">
        <v>1663</v>
      </c>
      <c r="E202" s="17" t="s">
        <v>198</v>
      </c>
      <c r="F202" s="18" t="s">
        <v>580</v>
      </c>
    </row>
    <row r="203" spans="4:6">
      <c r="D203" s="17" t="s">
        <v>1664</v>
      </c>
      <c r="E203" s="17" t="s">
        <v>198</v>
      </c>
      <c r="F203" s="18" t="s">
        <v>581</v>
      </c>
    </row>
    <row r="204" spans="4:6">
      <c r="D204" s="17" t="s">
        <v>1665</v>
      </c>
      <c r="E204" s="17" t="s">
        <v>198</v>
      </c>
      <c r="F204" s="18" t="s">
        <v>582</v>
      </c>
    </row>
    <row r="205" spans="4:6">
      <c r="D205" s="17" t="s">
        <v>1666</v>
      </c>
      <c r="E205" s="17" t="s">
        <v>63</v>
      </c>
      <c r="F205" s="18" t="s">
        <v>583</v>
      </c>
    </row>
    <row r="206" spans="4:6">
      <c r="D206" s="17" t="s">
        <v>1667</v>
      </c>
      <c r="E206" s="17" t="s">
        <v>63</v>
      </c>
      <c r="F206" s="18" t="s">
        <v>584</v>
      </c>
    </row>
    <row r="207" spans="4:6">
      <c r="D207" s="17" t="s">
        <v>1695</v>
      </c>
      <c r="E207" s="258" t="s">
        <v>63</v>
      </c>
      <c r="F207" s="18" t="s">
        <v>585</v>
      </c>
    </row>
    <row r="208" spans="4:6">
      <c r="D208" s="17" t="s">
        <v>1696</v>
      </c>
      <c r="E208" s="258" t="s">
        <v>63</v>
      </c>
      <c r="F208" s="18" t="s">
        <v>586</v>
      </c>
    </row>
    <row r="209" spans="4:6">
      <c r="D209" s="17" t="s">
        <v>1691</v>
      </c>
      <c r="E209" s="17" t="s">
        <v>1692</v>
      </c>
      <c r="F209" s="18" t="s">
        <v>587</v>
      </c>
    </row>
    <row r="210" spans="4:6">
      <c r="D210" s="17" t="s">
        <v>1693</v>
      </c>
      <c r="E210" s="258" t="s">
        <v>1694</v>
      </c>
      <c r="F210" s="18" t="s">
        <v>588</v>
      </c>
    </row>
    <row r="211" spans="4:6">
      <c r="D211" s="17"/>
      <c r="E211" s="17"/>
      <c r="F211" s="18" t="s">
        <v>589</v>
      </c>
    </row>
    <row r="212" spans="4:6">
      <c r="D212" s="17"/>
      <c r="E212" s="17"/>
      <c r="F212" s="18" t="s">
        <v>590</v>
      </c>
    </row>
    <row r="213" spans="4:6">
      <c r="D213" s="17"/>
      <c r="E213" s="17"/>
      <c r="F213" s="18" t="s">
        <v>591</v>
      </c>
    </row>
    <row r="214" spans="4:6">
      <c r="D214" s="17"/>
      <c r="E214" s="17"/>
      <c r="F214" s="18" t="s">
        <v>592</v>
      </c>
    </row>
    <row r="215" spans="4:6">
      <c r="D215" s="17"/>
      <c r="E215" s="17"/>
      <c r="F215" s="18" t="s">
        <v>593</v>
      </c>
    </row>
    <row r="216" spans="4:6">
      <c r="D216" s="17"/>
      <c r="E216" s="17"/>
      <c r="F216" s="18" t="s">
        <v>594</v>
      </c>
    </row>
    <row r="217" spans="4:6">
      <c r="D217" s="17"/>
      <c r="E217" s="17"/>
      <c r="F217" s="18" t="s">
        <v>595</v>
      </c>
    </row>
    <row r="218" spans="4:6">
      <c r="D218" s="17"/>
      <c r="E218" s="17"/>
      <c r="F218" s="18" t="s">
        <v>596</v>
      </c>
    </row>
    <row r="219" spans="4:6">
      <c r="D219" s="17"/>
      <c r="E219" s="17"/>
      <c r="F219" s="24" t="s">
        <v>597</v>
      </c>
    </row>
    <row r="220" spans="4:6">
      <c r="D220" s="17"/>
      <c r="E220" s="17"/>
      <c r="F220" s="24" t="s">
        <v>598</v>
      </c>
    </row>
    <row r="221" spans="4:6">
      <c r="D221" s="17"/>
      <c r="E221" s="17"/>
      <c r="F221" s="24" t="s">
        <v>599</v>
      </c>
    </row>
    <row r="222" spans="4:6">
      <c r="D222" s="17"/>
      <c r="E222" s="17"/>
      <c r="F222" s="24" t="s">
        <v>600</v>
      </c>
    </row>
    <row r="223" spans="4:6">
      <c r="D223" s="17"/>
      <c r="E223" s="17"/>
      <c r="F223" s="24" t="s">
        <v>601</v>
      </c>
    </row>
    <row r="224" spans="4:6">
      <c r="D224" s="17"/>
      <c r="E224" s="17"/>
      <c r="F224" s="24" t="s">
        <v>602</v>
      </c>
    </row>
    <row r="225" spans="4:6">
      <c r="D225" s="17"/>
      <c r="E225" s="17"/>
      <c r="F225" s="24" t="s">
        <v>603</v>
      </c>
    </row>
    <row r="226" spans="4:6">
      <c r="D226" s="17"/>
      <c r="E226" s="17"/>
      <c r="F226" s="24" t="s">
        <v>604</v>
      </c>
    </row>
    <row r="227" spans="4:6">
      <c r="D227" s="17"/>
      <c r="E227" s="17"/>
      <c r="F227" s="24" t="s">
        <v>605</v>
      </c>
    </row>
    <row r="228" spans="4:6">
      <c r="D228" s="17"/>
      <c r="E228" s="17"/>
      <c r="F228" s="31" t="s">
        <v>606</v>
      </c>
    </row>
    <row r="229" spans="4:6">
      <c r="D229" s="17"/>
      <c r="E229" s="17"/>
      <c r="F229" s="31" t="s">
        <v>607</v>
      </c>
    </row>
    <row r="230" spans="4:6">
      <c r="D230" s="17"/>
      <c r="E230" s="17"/>
      <c r="F230" s="31" t="s">
        <v>608</v>
      </c>
    </row>
    <row r="231" spans="4:6">
      <c r="D231" s="17"/>
      <c r="E231" s="17"/>
      <c r="F231" s="24" t="s">
        <v>609</v>
      </c>
    </row>
    <row r="232" spans="4:6">
      <c r="D232" s="17"/>
      <c r="E232" s="17"/>
      <c r="F232" s="24" t="s">
        <v>696</v>
      </c>
    </row>
    <row r="233" spans="4:6">
      <c r="D233" s="17"/>
      <c r="E233" s="17"/>
      <c r="F233" s="24" t="s">
        <v>610</v>
      </c>
    </row>
    <row r="234" spans="4:6">
      <c r="D234" s="17"/>
      <c r="E234" s="17"/>
      <c r="F234" s="24" t="s">
        <v>611</v>
      </c>
    </row>
    <row r="235" spans="4:6">
      <c r="D235" s="17"/>
      <c r="E235" s="17"/>
      <c r="F235" s="24" t="s">
        <v>612</v>
      </c>
    </row>
    <row r="236" spans="4:6">
      <c r="D236" s="17"/>
      <c r="E236" s="17"/>
      <c r="F236" s="24" t="s">
        <v>613</v>
      </c>
    </row>
    <row r="237" spans="4:6">
      <c r="D237" s="17"/>
      <c r="E237" s="17"/>
      <c r="F237" s="24" t="s">
        <v>614</v>
      </c>
    </row>
    <row r="238" spans="4:6">
      <c r="D238" s="17"/>
      <c r="E238" s="17"/>
      <c r="F238" s="24" t="s">
        <v>615</v>
      </c>
    </row>
    <row r="239" spans="4:6">
      <c r="D239" s="17"/>
      <c r="E239" s="17"/>
      <c r="F239" s="24" t="s">
        <v>616</v>
      </c>
    </row>
    <row r="240" spans="4:6">
      <c r="D240" s="17"/>
      <c r="E240" s="17"/>
      <c r="F240" s="24" t="s">
        <v>617</v>
      </c>
    </row>
    <row r="241" spans="4:6">
      <c r="D241" s="17"/>
      <c r="E241" s="17"/>
      <c r="F241" s="24" t="s">
        <v>619</v>
      </c>
    </row>
    <row r="242" spans="4:6">
      <c r="D242" s="17"/>
      <c r="E242" s="17"/>
      <c r="F242" s="24" t="s">
        <v>620</v>
      </c>
    </row>
    <row r="243" spans="4:6">
      <c r="D243" s="17"/>
      <c r="E243" s="17"/>
      <c r="F243" s="31" t="s">
        <v>679</v>
      </c>
    </row>
    <row r="244" spans="4:6">
      <c r="D244" s="17"/>
      <c r="E244" s="17"/>
      <c r="F244" s="24" t="s">
        <v>680</v>
      </c>
    </row>
    <row r="245" spans="4:6">
      <c r="D245" s="17"/>
      <c r="E245" s="17"/>
      <c r="F245" s="24" t="s">
        <v>682</v>
      </c>
    </row>
    <row r="246" spans="4:6">
      <c r="F246" s="24" t="s">
        <v>747</v>
      </c>
    </row>
    <row r="247" spans="4:6">
      <c r="F247" s="24" t="s">
        <v>754</v>
      </c>
    </row>
    <row r="248" spans="4:6">
      <c r="F248" s="24" t="s">
        <v>759</v>
      </c>
    </row>
    <row r="249" spans="4:6">
      <c r="F249" s="24" t="s">
        <v>760</v>
      </c>
    </row>
    <row r="250" spans="4:6">
      <c r="F250" s="24" t="s">
        <v>761</v>
      </c>
    </row>
    <row r="251" spans="4:6">
      <c r="F251" s="24" t="s">
        <v>762</v>
      </c>
    </row>
    <row r="252" spans="4:6">
      <c r="F252" s="24" t="s">
        <v>763</v>
      </c>
    </row>
    <row r="253" spans="4:6">
      <c r="F253" s="24" t="s">
        <v>764</v>
      </c>
    </row>
    <row r="254" spans="4:6">
      <c r="F254" s="24" t="s">
        <v>1000</v>
      </c>
    </row>
    <row r="255" spans="4:6">
      <c r="F255" s="24" t="s">
        <v>953</v>
      </c>
    </row>
    <row r="256" spans="4:6">
      <c r="F256" s="24" t="s">
        <v>954</v>
      </c>
    </row>
    <row r="257" spans="6:6">
      <c r="F257" s="24" t="s">
        <v>1009</v>
      </c>
    </row>
    <row r="258" spans="6:6">
      <c r="F258" s="24" t="s">
        <v>955</v>
      </c>
    </row>
    <row r="259" spans="6:6">
      <c r="F259" s="24" t="s">
        <v>956</v>
      </c>
    </row>
    <row r="260" spans="6:6">
      <c r="F260" s="24" t="s">
        <v>1126</v>
      </c>
    </row>
    <row r="261" spans="6:6">
      <c r="F261" s="24" t="s">
        <v>1127</v>
      </c>
    </row>
    <row r="262" spans="6:6" ht="15.75" thickBot="1">
      <c r="F262" s="25" t="s">
        <v>957</v>
      </c>
    </row>
    <row r="263" spans="6:6">
      <c r="F263" s="26" t="s">
        <v>958</v>
      </c>
    </row>
    <row r="264" spans="6:6">
      <c r="F264" s="27" t="s">
        <v>959</v>
      </c>
    </row>
    <row r="265" spans="6:6">
      <c r="F265" s="26" t="s">
        <v>16</v>
      </c>
    </row>
    <row r="266" spans="6:6">
      <c r="F266" s="26" t="s">
        <v>18</v>
      </c>
    </row>
    <row r="267" spans="6:6">
      <c r="F267" s="26" t="s">
        <v>19</v>
      </c>
    </row>
    <row r="268" spans="6:6">
      <c r="F268" s="27" t="s">
        <v>1050</v>
      </c>
    </row>
    <row r="269" spans="6:6">
      <c r="F269" s="18" t="s">
        <v>1049</v>
      </c>
    </row>
    <row r="270" spans="6:6">
      <c r="F270" s="18" t="s">
        <v>1053</v>
      </c>
    </row>
    <row r="271" spans="6:6">
      <c r="F271" s="18" t="s">
        <v>1054</v>
      </c>
    </row>
    <row r="272" spans="6:6">
      <c r="F272" s="18" t="s">
        <v>1055</v>
      </c>
    </row>
    <row r="273" spans="6:6">
      <c r="F273" s="18" t="s">
        <v>1056</v>
      </c>
    </row>
    <row r="274" spans="6:6">
      <c r="F274" s="18" t="s">
        <v>1057</v>
      </c>
    </row>
    <row r="275" spans="6:6">
      <c r="F275" s="18" t="s">
        <v>1058</v>
      </c>
    </row>
    <row r="276" spans="6:6">
      <c r="F276" s="18" t="s">
        <v>1059</v>
      </c>
    </row>
    <row r="277" spans="6:6">
      <c r="F277" s="18" t="s">
        <v>1060</v>
      </c>
    </row>
    <row r="278" spans="6:6">
      <c r="F278" s="18" t="s">
        <v>1061</v>
      </c>
    </row>
    <row r="279" spans="6:6">
      <c r="F279" s="18" t="s">
        <v>1062</v>
      </c>
    </row>
    <row r="280" spans="6:6">
      <c r="F280" s="18" t="s">
        <v>1063</v>
      </c>
    </row>
    <row r="281" spans="6:6">
      <c r="F281" s="18" t="s">
        <v>1064</v>
      </c>
    </row>
    <row r="282" spans="6:6">
      <c r="F282" s="18" t="s">
        <v>1065</v>
      </c>
    </row>
    <row r="283" spans="6:6">
      <c r="F283" s="18" t="s">
        <v>1210</v>
      </c>
    </row>
    <row r="284" spans="6:6">
      <c r="F284" s="18" t="s">
        <v>1211</v>
      </c>
    </row>
    <row r="285" spans="6:6">
      <c r="F285" s="18" t="s">
        <v>1212</v>
      </c>
    </row>
    <row r="286" spans="6:6">
      <c r="F286" s="18" t="s">
        <v>1213</v>
      </c>
    </row>
    <row r="287" spans="6:6">
      <c r="F287" s="18" t="s">
        <v>1214</v>
      </c>
    </row>
    <row r="288" spans="6:6">
      <c r="F288" s="18" t="s">
        <v>1215</v>
      </c>
    </row>
    <row r="289" spans="6:6">
      <c r="F289" s="18" t="s">
        <v>1216</v>
      </c>
    </row>
    <row r="290" spans="6:6">
      <c r="F290" s="18" t="s">
        <v>1217</v>
      </c>
    </row>
    <row r="291" spans="6:6">
      <c r="F291" s="18" t="s">
        <v>1218</v>
      </c>
    </row>
    <row r="292" spans="6:6">
      <c r="F292" s="18" t="s">
        <v>1219</v>
      </c>
    </row>
    <row r="293" spans="6:6">
      <c r="F293" s="18" t="s">
        <v>1220</v>
      </c>
    </row>
    <row r="294" spans="6:6">
      <c r="F294" s="18" t="s">
        <v>1221</v>
      </c>
    </row>
    <row r="295" spans="6:6">
      <c r="F295" s="18" t="s">
        <v>1222</v>
      </c>
    </row>
    <row r="296" spans="6:6">
      <c r="F296" s="18" t="s">
        <v>1223</v>
      </c>
    </row>
    <row r="297" spans="6:6">
      <c r="F297" s="18" t="s">
        <v>1224</v>
      </c>
    </row>
    <row r="298" spans="6:6">
      <c r="F298" s="18" t="s">
        <v>1225</v>
      </c>
    </row>
    <row r="299" spans="6:6">
      <c r="F299" s="18" t="s">
        <v>1226</v>
      </c>
    </row>
    <row r="300" spans="6:6">
      <c r="F300" s="18" t="s">
        <v>1227</v>
      </c>
    </row>
    <row r="301" spans="6:6">
      <c r="F301" s="18" t="s">
        <v>1228</v>
      </c>
    </row>
    <row r="302" spans="6:6">
      <c r="F302" s="18" t="s">
        <v>1229</v>
      </c>
    </row>
    <row r="303" spans="6:6">
      <c r="F303" s="18" t="s">
        <v>1230</v>
      </c>
    </row>
    <row r="304" spans="6:6">
      <c r="F304" s="18" t="s">
        <v>1231</v>
      </c>
    </row>
    <row r="305" spans="6:6">
      <c r="F305" s="18" t="s">
        <v>1232</v>
      </c>
    </row>
    <row r="306" spans="6:6">
      <c r="F306" s="18" t="s">
        <v>1233</v>
      </c>
    </row>
    <row r="307" spans="6:6">
      <c r="F307" s="18" t="s">
        <v>1234</v>
      </c>
    </row>
    <row r="308" spans="6:6">
      <c r="F308" s="18" t="s">
        <v>1235</v>
      </c>
    </row>
    <row r="309" spans="6:6">
      <c r="F309" s="18" t="s">
        <v>1236</v>
      </c>
    </row>
    <row r="310" spans="6:6">
      <c r="F310" s="17" t="s">
        <v>1237</v>
      </c>
    </row>
    <row r="311" spans="6:6">
      <c r="F311" s="17" t="s">
        <v>1411</v>
      </c>
    </row>
    <row r="312" spans="6:6">
      <c r="F312" s="18" t="s">
        <v>1412</v>
      </c>
    </row>
    <row r="313" spans="6:6">
      <c r="F313" s="18" t="s">
        <v>1463</v>
      </c>
    </row>
    <row r="314" spans="6:6">
      <c r="F314" s="18" t="s">
        <v>1464</v>
      </c>
    </row>
    <row r="315" spans="6:6">
      <c r="F315" s="17" t="s">
        <v>1469</v>
      </c>
    </row>
    <row r="316" spans="6:6">
      <c r="F316" s="18" t="s">
        <v>1418</v>
      </c>
    </row>
    <row r="317" spans="6:6">
      <c r="F317" s="18" t="s">
        <v>1468</v>
      </c>
    </row>
    <row r="318" spans="6:6">
      <c r="F318" s="18" t="s">
        <v>1478</v>
      </c>
    </row>
    <row r="319" spans="6:6">
      <c r="F319" s="18" t="s">
        <v>1479</v>
      </c>
    </row>
    <row r="320" spans="6:6">
      <c r="F320" s="18" t="s">
        <v>1470</v>
      </c>
    </row>
    <row r="321" spans="6:6">
      <c r="F321" s="18" t="s">
        <v>1480</v>
      </c>
    </row>
    <row r="322" spans="6:6">
      <c r="F322" s="18" t="s">
        <v>1477</v>
      </c>
    </row>
    <row r="323" spans="6:6">
      <c r="F323" s="18" t="s">
        <v>1419</v>
      </c>
    </row>
    <row r="324" spans="6:6">
      <c r="F324" s="18" t="s">
        <v>1420</v>
      </c>
    </row>
    <row r="325" spans="6:6">
      <c r="F325" s="18" t="s">
        <v>1421</v>
      </c>
    </row>
    <row r="326" spans="6:6">
      <c r="F326" s="18" t="s">
        <v>1422</v>
      </c>
    </row>
    <row r="327" spans="6:6">
      <c r="F327" s="18" t="s">
        <v>1423</v>
      </c>
    </row>
    <row r="328" spans="6:6">
      <c r="F328" s="18" t="s">
        <v>1424</v>
      </c>
    </row>
    <row r="329" spans="6:6">
      <c r="F329" s="18" t="s">
        <v>1425</v>
      </c>
    </row>
    <row r="330" spans="6:6">
      <c r="F330" s="18" t="s">
        <v>1426</v>
      </c>
    </row>
    <row r="331" spans="6:6">
      <c r="F331" s="18" t="s">
        <v>1427</v>
      </c>
    </row>
    <row r="332" spans="6:6">
      <c r="F332" s="18" t="s">
        <v>1428</v>
      </c>
    </row>
    <row r="333" spans="6:6">
      <c r="F333" s="18" t="s">
        <v>1429</v>
      </c>
    </row>
    <row r="334" spans="6:6">
      <c r="F334" s="18" t="s">
        <v>1430</v>
      </c>
    </row>
    <row r="335" spans="6:6">
      <c r="F335" s="18" t="s">
        <v>1431</v>
      </c>
    </row>
    <row r="336" spans="6:6">
      <c r="F336" s="18" t="s">
        <v>1432</v>
      </c>
    </row>
    <row r="337" spans="6:6">
      <c r="F337" s="18" t="s">
        <v>1433</v>
      </c>
    </row>
    <row r="338" spans="6:6">
      <c r="F338" s="18" t="s">
        <v>1434</v>
      </c>
    </row>
    <row r="339" spans="6:6">
      <c r="F339" s="18" t="s">
        <v>1435</v>
      </c>
    </row>
    <row r="340" spans="6:6">
      <c r="F340" s="18" t="s">
        <v>1436</v>
      </c>
    </row>
    <row r="341" spans="6:6">
      <c r="F341" s="18" t="s">
        <v>1437</v>
      </c>
    </row>
    <row r="342" spans="6:6">
      <c r="F342" s="18" t="s">
        <v>1438</v>
      </c>
    </row>
    <row r="343" spans="6:6">
      <c r="F343" s="18" t="s">
        <v>1439</v>
      </c>
    </row>
    <row r="344" spans="6:6">
      <c r="F344" s="18" t="s">
        <v>1440</v>
      </c>
    </row>
    <row r="345" spans="6:6">
      <c r="F345" s="17" t="s">
        <v>1441</v>
      </c>
    </row>
    <row r="346" spans="6:6">
      <c r="F346" s="17" t="s">
        <v>1442</v>
      </c>
    </row>
    <row r="347" spans="6:6">
      <c r="F347" s="18" t="s">
        <v>1443</v>
      </c>
    </row>
    <row r="348" spans="6:6">
      <c r="F348" s="17" t="s">
        <v>1444</v>
      </c>
    </row>
    <row r="349" spans="6:6">
      <c r="F349" s="17" t="s">
        <v>1445</v>
      </c>
    </row>
    <row r="350" spans="6:6">
      <c r="F350" s="17" t="s">
        <v>1446</v>
      </c>
    </row>
    <row r="351" spans="6:6">
      <c r="F351" s="17" t="s">
        <v>1447</v>
      </c>
    </row>
    <row r="352" spans="6:6">
      <c r="F352" s="18" t="s">
        <v>1448</v>
      </c>
    </row>
    <row r="353" spans="6:6">
      <c r="F353" s="18" t="s">
        <v>1483</v>
      </c>
    </row>
    <row r="354" spans="6:6">
      <c r="F354" s="18" t="s">
        <v>1482</v>
      </c>
    </row>
    <row r="355" spans="6:6">
      <c r="F355" s="18" t="s">
        <v>1519</v>
      </c>
    </row>
    <row r="356" spans="6:6">
      <c r="F356" s="18" t="s">
        <v>1521</v>
      </c>
    </row>
    <row r="357" spans="6:6">
      <c r="F357" s="18" t="s">
        <v>1522</v>
      </c>
    </row>
    <row r="358" spans="6:6">
      <c r="F358" s="18" t="s">
        <v>1523</v>
      </c>
    </row>
    <row r="359" spans="6:6">
      <c r="F359" s="18" t="s">
        <v>1526</v>
      </c>
    </row>
    <row r="360" spans="6:6">
      <c r="F360" s="18" t="s">
        <v>1527</v>
      </c>
    </row>
    <row r="361" spans="6:6">
      <c r="F361" s="17" t="s">
        <v>1536</v>
      </c>
    </row>
    <row r="362" spans="6:6">
      <c r="F362" s="17" t="s">
        <v>1452</v>
      </c>
    </row>
    <row r="363" spans="6:6">
      <c r="F363" s="17" t="s">
        <v>1456</v>
      </c>
    </row>
    <row r="364" spans="6:6">
      <c r="F364" s="18" t="s">
        <v>1457</v>
      </c>
    </row>
    <row r="365" spans="6:6">
      <c r="F365" s="18" t="s">
        <v>1458</v>
      </c>
    </row>
    <row r="366" spans="6:6">
      <c r="F366" s="18" t="s">
        <v>1459</v>
      </c>
    </row>
    <row r="367" spans="6:6">
      <c r="F367" s="18" t="s">
        <v>1460</v>
      </c>
    </row>
    <row r="368" spans="6:6">
      <c r="F368" s="18" t="s">
        <v>1461</v>
      </c>
    </row>
    <row r="369" spans="6:6">
      <c r="F369" s="18" t="s">
        <v>1462</v>
      </c>
    </row>
    <row r="370" spans="6:6">
      <c r="F370" s="18" t="s">
        <v>1487</v>
      </c>
    </row>
    <row r="371" spans="6:6">
      <c r="F371" s="18" t="s">
        <v>1506</v>
      </c>
    </row>
    <row r="372" spans="6:6">
      <c r="F372" s="18" t="s">
        <v>1507</v>
      </c>
    </row>
    <row r="373" spans="6:6">
      <c r="F373" s="18" t="s">
        <v>1508</v>
      </c>
    </row>
    <row r="374" spans="6:6">
      <c r="F374" s="18" t="s">
        <v>1609</v>
      </c>
    </row>
    <row r="375" spans="6:6">
      <c r="F375" s="18" t="s">
        <v>1581</v>
      </c>
    </row>
    <row r="376" spans="6:6">
      <c r="F376" s="18" t="s">
        <v>1657</v>
      </c>
    </row>
    <row r="377" spans="6:6">
      <c r="F377" s="18" t="s">
        <v>1668</v>
      </c>
    </row>
    <row r="378" spans="6:6">
      <c r="F378" s="18" t="s">
        <v>1669</v>
      </c>
    </row>
    <row r="379" spans="6:6">
      <c r="F379" s="18" t="s">
        <v>1670</v>
      </c>
    </row>
    <row r="380" spans="6:6">
      <c r="F380" s="18" t="s">
        <v>1671</v>
      </c>
    </row>
    <row r="381" spans="6:6">
      <c r="F381" s="18" t="s">
        <v>1672</v>
      </c>
    </row>
    <row r="382" spans="6:6">
      <c r="F382" s="18" t="s">
        <v>1673</v>
      </c>
    </row>
    <row r="383" spans="6:6">
      <c r="F383" s="18" t="s">
        <v>1674</v>
      </c>
    </row>
    <row r="384" spans="6:6">
      <c r="F384" s="18" t="s">
        <v>1675</v>
      </c>
    </row>
    <row r="385" spans="6:6">
      <c r="F385" s="18" t="s">
        <v>1676</v>
      </c>
    </row>
    <row r="386" spans="6:6">
      <c r="F386" s="18" t="s">
        <v>1677</v>
      </c>
    </row>
    <row r="387" spans="6:6">
      <c r="F387" s="18" t="s">
        <v>1678</v>
      </c>
    </row>
    <row r="388" spans="6:6">
      <c r="F388" s="18" t="s">
        <v>1679</v>
      </c>
    </row>
    <row r="389" spans="6:6">
      <c r="F389" s="18" t="s">
        <v>1680</v>
      </c>
    </row>
    <row r="390" spans="6:6">
      <c r="F390" s="18" t="s">
        <v>1681</v>
      </c>
    </row>
    <row r="391" spans="6:6">
      <c r="F391" s="18" t="s">
        <v>1682</v>
      </c>
    </row>
    <row r="392" spans="6:6">
      <c r="F392" s="18" t="s">
        <v>1694</v>
      </c>
    </row>
    <row r="393" spans="6:6">
      <c r="F393" s="18" t="s">
        <v>55</v>
      </c>
    </row>
    <row r="394" spans="6:6">
      <c r="F394" s="18" t="s">
        <v>56</v>
      </c>
    </row>
    <row r="395" spans="6:6">
      <c r="F395" s="18" t="s">
        <v>57</v>
      </c>
    </row>
  </sheetData>
  <dataConsolidate/>
  <customSheetViews>
    <customSheetView guid="{D354225D-2C82-4417-8BA4-5EFA1D96D332}">
      <pane ySplit="1" topLeftCell="A15" activePane="bottomLeft" state="frozen"/>
      <selection pane="bottomLeft" activeCell="C26" sqref="C26"/>
      <pageMargins left="0.7" right="0.7" top="0.75" bottom="0.75" header="0.3" footer="0.3"/>
      <pageSetup paperSize="157" orientation="portrait" horizontalDpi="203" verticalDpi="203" r:id="rId1"/>
    </customSheetView>
    <customSheetView guid="{A8F9189F-30EC-448E-8FA3-1F1B01D22A46}">
      <pane ySplit="1" topLeftCell="A28" activePane="bottomLeft" state="frozen"/>
      <selection pane="bottomLeft" activeCell="C35" sqref="C35"/>
      <pageMargins left="0.7" right="0.7" top="0.75" bottom="0.75" header="0.3" footer="0.3"/>
      <pageSetup paperSize="157" orientation="portrait" horizontalDpi="203" verticalDpi="203" r:id="rId2"/>
    </customSheetView>
    <customSheetView guid="{CF42ED2D-1073-4AB2-96F1-563C90B8192E}">
      <pane ySplit="1" topLeftCell="A77" activePane="bottomLeft" state="frozen"/>
      <selection pane="bottomLeft" activeCell="C86" sqref="C86"/>
      <pageMargins left="0.7" right="0.7" top="0.75" bottom="0.75" header="0.3" footer="0.3"/>
      <pageSetup paperSize="157" orientation="portrait" horizontalDpi="203" verticalDpi="203" r:id="rId3"/>
    </customSheetView>
    <customSheetView guid="{038EA038-5A0E-4BA1-B2F5-E3A3B7AA82FA}">
      <pane ySplit="1" topLeftCell="A2" activePane="bottomLeft" state="frozen"/>
      <selection pane="bottomLeft" activeCell="C94" sqref="C94"/>
      <pageMargins left="0.7" right="0.7" top="0.75" bottom="0.75" header="0.3" footer="0.3"/>
      <pageSetup paperSize="157" orientation="portrait" horizontalDpi="203" verticalDpi="203" r:id="rId4"/>
    </customSheetView>
  </customSheetViews>
  <pageMargins left="0.7" right="0.7" top="0.75" bottom="0.75" header="0.3" footer="0.3"/>
  <pageSetup paperSize="157" orientation="portrait" horizontalDpi="203" verticalDpi="203"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26"/>
  <sheetViews>
    <sheetView zoomScaleNormal="100" workbookViewId="0">
      <selection activeCell="B1" sqref="B1"/>
    </sheetView>
  </sheetViews>
  <sheetFormatPr defaultRowHeight="15"/>
  <cols>
    <col min="1" max="1" width="59.5703125" style="11" bestFit="1" customWidth="1"/>
    <col min="2" max="2" width="28.140625" style="2" customWidth="1"/>
    <col min="3" max="3" width="20.85546875" style="1" customWidth="1"/>
    <col min="4" max="16384" width="9.140625" style="3"/>
  </cols>
  <sheetData>
    <row r="1" spans="1:4">
      <c r="A1" s="113"/>
      <c r="B1" s="15"/>
      <c r="C1" s="10"/>
    </row>
    <row r="2" spans="1:4">
      <c r="B2" s="15"/>
      <c r="C2" s="10"/>
    </row>
    <row r="3" spans="1:4">
      <c r="B3" s="15"/>
      <c r="C3" s="10"/>
    </row>
    <row r="4" spans="1:4">
      <c r="B4" s="15"/>
      <c r="C4" s="10"/>
    </row>
    <row r="5" spans="1:4">
      <c r="B5" s="15"/>
      <c r="C5" s="10"/>
    </row>
    <row r="6" spans="1:4">
      <c r="B6" s="15"/>
      <c r="C6" s="10"/>
    </row>
    <row r="7" spans="1:4">
      <c r="B7" s="15"/>
      <c r="C7" s="10"/>
    </row>
    <row r="8" spans="1:4">
      <c r="B8" s="15"/>
      <c r="C8" s="10"/>
    </row>
    <row r="9" spans="1:4">
      <c r="B9" s="15"/>
      <c r="C9" s="10"/>
    </row>
    <row r="10" spans="1:4">
      <c r="B10" s="11"/>
      <c r="C10" s="10"/>
    </row>
    <row r="11" spans="1:4">
      <c r="B11" s="11"/>
      <c r="C11" s="10"/>
    </row>
    <row r="12" spans="1:4">
      <c r="B12" s="11"/>
      <c r="C12" s="10"/>
    </row>
    <row r="13" spans="1:4">
      <c r="B13" s="11"/>
      <c r="C13" s="10"/>
      <c r="D13" s="4"/>
    </row>
    <row r="14" spans="1:4">
      <c r="B14" s="11"/>
      <c r="C14" s="10"/>
    </row>
    <row r="15" spans="1:4">
      <c r="B15" s="11"/>
      <c r="C15" s="10"/>
    </row>
    <row r="16" spans="1:4">
      <c r="B16" s="11"/>
      <c r="C16" s="10"/>
    </row>
    <row r="17" spans="1:3">
      <c r="B17" s="11"/>
      <c r="C17" s="10"/>
    </row>
    <row r="18" spans="1:3">
      <c r="B18" s="11"/>
      <c r="C18" s="10"/>
    </row>
    <row r="19" spans="1:3">
      <c r="B19" s="11"/>
      <c r="C19" s="10"/>
    </row>
    <row r="20" spans="1:3">
      <c r="B20" s="11"/>
      <c r="C20" s="10"/>
    </row>
    <row r="21" spans="1:3">
      <c r="B21" s="11"/>
      <c r="C21" s="10"/>
    </row>
    <row r="22" spans="1:3">
      <c r="B22" s="11"/>
      <c r="C22" s="10"/>
    </row>
    <row r="23" spans="1:3">
      <c r="B23" s="11"/>
      <c r="C23" s="10"/>
    </row>
    <row r="26" spans="1:3">
      <c r="A26" s="15"/>
    </row>
  </sheetData>
  <customSheetViews>
    <customSheetView guid="{D354225D-2C82-4417-8BA4-5EFA1D96D332}" state="hidden">
      <selection activeCell="A6" sqref="A6"/>
      <pageMargins left="0.7" right="0.7" top="0.75" bottom="0.75" header="0.3" footer="0.3"/>
      <pageSetup paperSize="157" orientation="portrait" horizontalDpi="203" verticalDpi="203" r:id="rId1"/>
    </customSheetView>
    <customSheetView guid="{A8F9189F-30EC-448E-8FA3-1F1B01D22A46}">
      <selection activeCell="C6" sqref="C6"/>
      <pageMargins left="0.7" right="0.7" top="0.75" bottom="0.75" header="0.3" footer="0.3"/>
      <pageSetup paperSize="157" orientation="portrait" horizontalDpi="203" verticalDpi="203" r:id="rId2"/>
    </customSheetView>
    <customSheetView guid="{CF42ED2D-1073-4AB2-96F1-563C90B8192E}" state="hidden">
      <pageMargins left="0.7" right="0.7" top="0.75" bottom="0.75" header="0.3" footer="0.3"/>
      <pageSetup paperSize="157" orientation="portrait" horizontalDpi="203" verticalDpi="203" r:id="rId3"/>
    </customSheetView>
    <customSheetView guid="{038EA038-5A0E-4BA1-B2F5-E3A3B7AA82FA}" state="hidden">
      <selection activeCell="A11" sqref="A11"/>
      <pageMargins left="0.7" right="0.7" top="0.75" bottom="0.75" header="0.3" footer="0.3"/>
      <pageSetup paperSize="157" orientation="portrait" horizontalDpi="203" verticalDpi="203" r:id="rId4"/>
    </customSheetView>
  </customSheetViews>
  <pageMargins left="0.7" right="0.7" top="0.75" bottom="0.75" header="0.3" footer="0.3"/>
  <pageSetup paperSize="157" orientation="portrait" horizontalDpi="203" verticalDpi="203" r:id="rId5"/>
  <drawing r:id="rId6"/>
  <legacyDrawing r:id="rId7"/>
  <controls>
    <mc:AlternateContent xmlns:mc="http://schemas.openxmlformats.org/markup-compatibility/2006">
      <mc:Choice Requires="x14">
        <control shapeId="7171" r:id="rId8" name="cmdDone">
          <controlPr defaultSize="0" autoLine="0" r:id="rId9">
            <anchor>
              <from>
                <xdr:col>2</xdr:col>
                <xdr:colOff>866775</xdr:colOff>
                <xdr:row>0</xdr:row>
                <xdr:rowOff>76200</xdr:rowOff>
              </from>
              <to>
                <xdr:col>2</xdr:col>
                <xdr:colOff>1209675</xdr:colOff>
                <xdr:row>12</xdr:row>
                <xdr:rowOff>47625</xdr:rowOff>
              </to>
            </anchor>
          </controlPr>
        </control>
      </mc:Choice>
      <mc:Fallback>
        <control shapeId="7171" r:id="rId8" name="cmdDon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4"/>
  <sheetViews>
    <sheetView workbookViewId="0">
      <selection activeCell="I15" sqref="I15"/>
    </sheetView>
  </sheetViews>
  <sheetFormatPr defaultRowHeight="15"/>
  <cols>
    <col min="1" max="1" width="17.5703125" bestFit="1" customWidth="1"/>
    <col min="2" max="2" width="11.7109375" bestFit="1" customWidth="1"/>
    <col min="3" max="3" width="16.85546875" bestFit="1" customWidth="1"/>
    <col min="5" max="5" width="43.28515625" bestFit="1" customWidth="1"/>
    <col min="7" max="7" width="12.85546875" bestFit="1" customWidth="1"/>
    <col min="9" max="9" width="17.5703125" bestFit="1" customWidth="1"/>
    <col min="10" max="10" width="12.85546875" bestFit="1" customWidth="1"/>
  </cols>
  <sheetData>
    <row r="1" spans="1:7">
      <c r="F1" s="1" t="s">
        <v>24</v>
      </c>
      <c r="G1" s="7" t="s">
        <v>25</v>
      </c>
    </row>
    <row r="2" spans="1:7">
      <c r="F2" s="1" t="s">
        <v>26</v>
      </c>
      <c r="G2" s="1" t="s">
        <v>27</v>
      </c>
    </row>
    <row r="3" spans="1:7">
      <c r="F3" s="1" t="s">
        <v>28</v>
      </c>
      <c r="G3" s="8">
        <v>41299</v>
      </c>
    </row>
    <row r="5" spans="1:7">
      <c r="A5" s="9" t="s">
        <v>24</v>
      </c>
      <c r="B5" s="9" t="s">
        <v>29</v>
      </c>
      <c r="C5" s="9" t="s">
        <v>32</v>
      </c>
      <c r="D5" s="9" t="s">
        <v>30</v>
      </c>
      <c r="E5" s="9" t="s">
        <v>31</v>
      </c>
    </row>
    <row r="6" spans="1:7">
      <c r="A6" s="1"/>
      <c r="B6" s="1"/>
      <c r="C6" s="1"/>
      <c r="D6" s="1"/>
      <c r="E6" s="1"/>
    </row>
    <row r="7" spans="1:7">
      <c r="A7" s="1"/>
      <c r="B7" s="1"/>
      <c r="C7" s="1"/>
      <c r="D7" s="1"/>
      <c r="E7" s="1"/>
    </row>
    <row r="8" spans="1:7">
      <c r="A8" s="1"/>
      <c r="B8" s="1"/>
      <c r="C8" s="1"/>
      <c r="D8" s="1"/>
      <c r="E8" s="1"/>
    </row>
    <row r="9" spans="1:7">
      <c r="A9" s="1"/>
      <c r="B9" s="1"/>
      <c r="C9" s="1"/>
      <c r="D9" s="1"/>
      <c r="E9" s="1"/>
    </row>
    <row r="10" spans="1:7">
      <c r="A10" s="1"/>
      <c r="B10" s="1"/>
      <c r="C10" s="1"/>
      <c r="D10" s="1"/>
      <c r="E10" s="1"/>
    </row>
    <row r="11" spans="1:7">
      <c r="A11" s="1"/>
      <c r="B11" s="1"/>
      <c r="C11" s="1"/>
      <c r="D11" s="1"/>
      <c r="E11" s="1"/>
    </row>
    <row r="12" spans="1:7">
      <c r="A12" s="1"/>
      <c r="B12" s="1"/>
      <c r="C12" s="1"/>
      <c r="D12" s="1"/>
      <c r="E12" s="1"/>
    </row>
    <row r="13" spans="1:7">
      <c r="A13" s="1"/>
      <c r="B13" s="1"/>
      <c r="C13" s="1"/>
      <c r="D13" s="1"/>
      <c r="E13" s="1"/>
    </row>
    <row r="14" spans="1:7">
      <c r="A14" s="1"/>
      <c r="B14" s="1"/>
      <c r="C14" s="1"/>
      <c r="D14" s="1"/>
      <c r="E14" s="1"/>
    </row>
  </sheetData>
  <customSheetViews>
    <customSheetView guid="{D354225D-2C82-4417-8BA4-5EFA1D96D332}">
      <selection activeCell="D25" sqref="D25"/>
      <pageMargins left="0.7" right="0.7" top="0.75" bottom="0.75" header="0.3" footer="0.3"/>
      <pageSetup orientation="portrait" r:id="rId1"/>
    </customSheetView>
    <customSheetView guid="{A8F9189F-30EC-448E-8FA3-1F1B01D22A46}">
      <selection activeCell="J10" sqref="J10"/>
      <pageMargins left="0.7" right="0.7" top="0.75" bottom="0.75" header="0.3" footer="0.3"/>
      <pageSetup orientation="portrait" r:id="rId2"/>
    </customSheetView>
    <customSheetView guid="{CF42ED2D-1073-4AB2-96F1-563C90B8192E}">
      <selection activeCell="D25" sqref="D25"/>
      <pageMargins left="0.7" right="0.7" top="0.75" bottom="0.75" header="0.3" footer="0.3"/>
      <pageSetup orientation="portrait" r:id="rId3"/>
    </customSheetView>
    <customSheetView guid="{038EA038-5A0E-4BA1-B2F5-E3A3B7AA82FA}">
      <selection activeCell="D25" sqref="D25"/>
      <pageMargins left="0.7" right="0.7" top="0.75" bottom="0.75" header="0.3" footer="0.3"/>
      <pageSetup orientation="portrait" r:id="rId4"/>
    </customSheetView>
  </customSheetView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3"/>
  <sheetViews>
    <sheetView topLeftCell="C1" workbookViewId="0">
      <selection activeCell="F20" sqref="F20"/>
    </sheetView>
  </sheetViews>
  <sheetFormatPr defaultRowHeight="15"/>
  <cols>
    <col min="1" max="2" width="22.42578125" style="16" bestFit="1" customWidth="1"/>
    <col min="3" max="3" width="36.140625" style="16" bestFit="1" customWidth="1"/>
    <col min="4" max="4" width="22.42578125" style="16" bestFit="1" customWidth="1"/>
    <col min="5" max="5" width="18.28515625" style="16" bestFit="1" customWidth="1"/>
    <col min="6" max="6" width="26.140625" style="16" bestFit="1" customWidth="1"/>
    <col min="7" max="7" width="34" style="16" bestFit="1" customWidth="1"/>
    <col min="8" max="8" width="11.7109375" style="16" bestFit="1" customWidth="1"/>
    <col min="9" max="9" width="17.7109375" style="16" bestFit="1" customWidth="1"/>
    <col min="10" max="10" width="13.28515625" style="16" bestFit="1" customWidth="1"/>
    <col min="11" max="16384" width="9.140625" style="16"/>
  </cols>
  <sheetData>
    <row r="1" spans="1:10">
      <c r="A1" s="14" t="s">
        <v>65</v>
      </c>
      <c r="B1" s="14" t="s">
        <v>66</v>
      </c>
      <c r="C1" s="14" t="s">
        <v>67</v>
      </c>
      <c r="D1" s="14" t="s">
        <v>78</v>
      </c>
      <c r="E1" s="14" t="s">
        <v>80</v>
      </c>
      <c r="F1" s="14" t="s">
        <v>81</v>
      </c>
      <c r="G1" s="14" t="s">
        <v>82</v>
      </c>
      <c r="H1" s="14" t="s">
        <v>291</v>
      </c>
      <c r="I1" s="14" t="s">
        <v>499</v>
      </c>
      <c r="J1" s="14" t="s">
        <v>500</v>
      </c>
    </row>
    <row r="2" spans="1:10">
      <c r="A2" s="16" t="s">
        <v>68</v>
      </c>
      <c r="B2" s="16" t="s">
        <v>60</v>
      </c>
      <c r="C2" s="16" t="s">
        <v>62</v>
      </c>
      <c r="D2" s="16" t="s">
        <v>60</v>
      </c>
      <c r="E2" s="16" t="s">
        <v>79</v>
      </c>
      <c r="F2" s="16" t="s">
        <v>83</v>
      </c>
      <c r="G2" s="16" t="s">
        <v>83</v>
      </c>
      <c r="H2" s="16" t="s">
        <v>292</v>
      </c>
      <c r="I2" s="16" t="s">
        <v>469</v>
      </c>
      <c r="J2" s="16" t="s">
        <v>501</v>
      </c>
    </row>
    <row r="3" spans="1:10">
      <c r="A3" s="16" t="s">
        <v>69</v>
      </c>
      <c r="B3" s="16" t="s">
        <v>70</v>
      </c>
      <c r="C3" s="16" t="s">
        <v>71</v>
      </c>
      <c r="D3" s="16" t="s">
        <v>70</v>
      </c>
      <c r="E3" s="16" t="s">
        <v>89</v>
      </c>
      <c r="F3" s="16" t="s">
        <v>84</v>
      </c>
      <c r="G3" s="16" t="s">
        <v>84</v>
      </c>
      <c r="H3" s="16" t="s">
        <v>293</v>
      </c>
      <c r="I3" s="16" t="s">
        <v>443</v>
      </c>
      <c r="J3" s="16" t="s">
        <v>502</v>
      </c>
    </row>
    <row r="4" spans="1:10">
      <c r="A4" s="16" t="s">
        <v>72</v>
      </c>
      <c r="B4" s="16" t="s">
        <v>73</v>
      </c>
      <c r="C4" s="16" t="s">
        <v>73</v>
      </c>
      <c r="D4" s="16" t="s">
        <v>73</v>
      </c>
      <c r="F4" s="16" t="s">
        <v>90</v>
      </c>
      <c r="G4" s="16" t="s">
        <v>85</v>
      </c>
      <c r="I4" s="16" t="s">
        <v>503</v>
      </c>
      <c r="J4" s="16" t="s">
        <v>504</v>
      </c>
    </row>
    <row r="5" spans="1:10">
      <c r="A5" s="16" t="s">
        <v>74</v>
      </c>
      <c r="F5" s="16" t="s">
        <v>85</v>
      </c>
      <c r="G5" s="16" t="s">
        <v>86</v>
      </c>
    </row>
    <row r="6" spans="1:10">
      <c r="A6" s="16" t="s">
        <v>75</v>
      </c>
      <c r="F6" s="16" t="s">
        <v>86</v>
      </c>
      <c r="G6" s="16" t="s">
        <v>87</v>
      </c>
    </row>
    <row r="7" spans="1:10">
      <c r="A7" s="16" t="s">
        <v>61</v>
      </c>
      <c r="F7" s="16" t="s">
        <v>91</v>
      </c>
      <c r="G7" s="16" t="s">
        <v>88</v>
      </c>
    </row>
    <row r="8" spans="1:10">
      <c r="A8" s="16" t="s">
        <v>76</v>
      </c>
      <c r="F8" s="16" t="s">
        <v>92</v>
      </c>
    </row>
    <row r="9" spans="1:10">
      <c r="A9" s="16" t="s">
        <v>64</v>
      </c>
      <c r="F9" s="16" t="s">
        <v>87</v>
      </c>
    </row>
    <row r="10" spans="1:10">
      <c r="A10" s="16" t="s">
        <v>77</v>
      </c>
      <c r="F10" s="16" t="s">
        <v>93</v>
      </c>
    </row>
    <row r="11" spans="1:10">
      <c r="F11" s="16" t="s">
        <v>94</v>
      </c>
    </row>
    <row r="12" spans="1:10">
      <c r="F12" s="16" t="s">
        <v>95</v>
      </c>
    </row>
    <row r="13" spans="1:10">
      <c r="F13" s="16" t="s">
        <v>88</v>
      </c>
    </row>
  </sheetData>
  <customSheetViews>
    <customSheetView guid="{D354225D-2C82-4417-8BA4-5EFA1D96D332}" topLeftCell="C1">
      <selection activeCell="F20" sqref="F20"/>
      <pageMargins left="0.7" right="0.7" top="0.75" bottom="0.75" header="0.3" footer="0.3"/>
    </customSheetView>
    <customSheetView guid="{A8F9189F-30EC-448E-8FA3-1F1B01D22A46}" topLeftCell="C1">
      <selection activeCell="I3" sqref="I3"/>
      <pageMargins left="0.7" right="0.7" top="0.75" bottom="0.75" header="0.3" footer="0.3"/>
    </customSheetView>
    <customSheetView guid="{CF42ED2D-1073-4AB2-96F1-563C90B8192E}" topLeftCell="C1">
      <selection activeCell="F20" sqref="F20"/>
      <pageMargins left="0.7" right="0.7" top="0.75" bottom="0.75" header="0.3" footer="0.3"/>
    </customSheetView>
    <customSheetView guid="{038EA038-5A0E-4BA1-B2F5-E3A3B7AA82FA}" topLeftCell="C1">
      <selection activeCell="F20" sqref="F20"/>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C25"/>
  <sheetViews>
    <sheetView topLeftCell="A10" workbookViewId="0">
      <selection activeCell="B18" sqref="B18"/>
    </sheetView>
  </sheetViews>
  <sheetFormatPr defaultRowHeight="15"/>
  <cols>
    <col min="1" max="1" width="30.140625" style="112" bestFit="1" customWidth="1"/>
    <col min="2" max="2" width="30.85546875" customWidth="1"/>
    <col min="3" max="3" width="28.5703125" customWidth="1"/>
    <col min="4" max="4" width="30.140625" bestFit="1" customWidth="1"/>
  </cols>
  <sheetData>
    <row r="2" spans="1:3">
      <c r="A2" s="55" t="s">
        <v>204</v>
      </c>
      <c r="B2" s="55" t="s">
        <v>310</v>
      </c>
      <c r="C2" s="125">
        <v>1</v>
      </c>
    </row>
    <row r="3" spans="1:3">
      <c r="A3" s="55" t="s">
        <v>205</v>
      </c>
      <c r="B3" s="55" t="s">
        <v>310</v>
      </c>
      <c r="C3" s="125">
        <v>1</v>
      </c>
    </row>
    <row r="4" spans="1:3">
      <c r="A4" s="55" t="s">
        <v>206</v>
      </c>
      <c r="B4" s="55" t="s">
        <v>310</v>
      </c>
      <c r="C4" s="125">
        <v>2</v>
      </c>
    </row>
    <row r="5" spans="1:3">
      <c r="A5" s="55" t="s">
        <v>207</v>
      </c>
      <c r="B5" s="55" t="s">
        <v>310</v>
      </c>
      <c r="C5" s="125">
        <v>3</v>
      </c>
    </row>
    <row r="6" spans="1:3">
      <c r="A6" s="55" t="s">
        <v>208</v>
      </c>
      <c r="B6" s="55" t="s">
        <v>310</v>
      </c>
      <c r="C6" s="125">
        <v>3</v>
      </c>
    </row>
    <row r="7" spans="1:3">
      <c r="A7" s="55" t="s">
        <v>209</v>
      </c>
      <c r="B7" s="126" t="s">
        <v>310</v>
      </c>
      <c r="C7" s="127"/>
    </row>
    <row r="8" spans="1:3">
      <c r="A8" s="128" t="s">
        <v>210</v>
      </c>
      <c r="B8" s="126" t="s">
        <v>310</v>
      </c>
      <c r="C8" s="127"/>
    </row>
    <row r="9" spans="1:3">
      <c r="A9" s="55" t="s">
        <v>211</v>
      </c>
      <c r="B9" s="55" t="s">
        <v>996</v>
      </c>
      <c r="C9" s="55"/>
    </row>
    <row r="10" spans="1:3">
      <c r="A10" s="55" t="s">
        <v>212</v>
      </c>
      <c r="B10" s="55" t="s">
        <v>996</v>
      </c>
      <c r="C10" s="55"/>
    </row>
    <row r="11" spans="1:3">
      <c r="A11" s="55" t="s">
        <v>213</v>
      </c>
      <c r="B11" s="55" t="s">
        <v>996</v>
      </c>
      <c r="C11" s="55"/>
    </row>
    <row r="12" spans="1:3">
      <c r="A12" s="55" t="s">
        <v>214</v>
      </c>
      <c r="B12" s="55" t="s">
        <v>310</v>
      </c>
      <c r="C12" s="125">
        <v>4</v>
      </c>
    </row>
    <row r="13" spans="1:3">
      <c r="A13" s="55" t="s">
        <v>215</v>
      </c>
      <c r="B13" s="126" t="s">
        <v>310</v>
      </c>
      <c r="C13" s="127">
        <v>5</v>
      </c>
    </row>
    <row r="14" spans="1:3">
      <c r="A14" s="81" t="s">
        <v>216</v>
      </c>
      <c r="B14" s="81"/>
      <c r="C14" s="81"/>
    </row>
    <row r="15" spans="1:3">
      <c r="A15" s="81" t="s">
        <v>217</v>
      </c>
      <c r="B15" s="81"/>
      <c r="C15" s="81"/>
    </row>
    <row r="16" spans="1:3">
      <c r="A16" s="55" t="s">
        <v>218</v>
      </c>
      <c r="B16" s="55" t="s">
        <v>310</v>
      </c>
      <c r="C16" s="125">
        <v>6</v>
      </c>
    </row>
    <row r="17" spans="1:3">
      <c r="A17" s="55" t="s">
        <v>219</v>
      </c>
      <c r="B17" s="126" t="s">
        <v>310</v>
      </c>
      <c r="C17" s="127">
        <v>7</v>
      </c>
    </row>
    <row r="18" spans="1:3">
      <c r="A18" s="55" t="s">
        <v>220</v>
      </c>
      <c r="B18" s="55" t="s">
        <v>310</v>
      </c>
      <c r="C18" s="125">
        <v>8</v>
      </c>
    </row>
    <row r="19" spans="1:3">
      <c r="A19" s="55" t="s">
        <v>221</v>
      </c>
      <c r="B19" s="55" t="s">
        <v>310</v>
      </c>
      <c r="C19" s="125">
        <v>9</v>
      </c>
    </row>
    <row r="20" spans="1:3">
      <c r="A20" s="55" t="s">
        <v>993</v>
      </c>
      <c r="B20" s="55" t="s">
        <v>310</v>
      </c>
      <c r="C20" s="125">
        <v>15</v>
      </c>
    </row>
    <row r="21" spans="1:3">
      <c r="A21" s="55" t="s">
        <v>222</v>
      </c>
      <c r="B21" s="55"/>
      <c r="C21" s="55"/>
    </row>
    <row r="22" spans="1:3">
      <c r="A22" s="55" t="s">
        <v>352</v>
      </c>
      <c r="B22" s="126" t="s">
        <v>310</v>
      </c>
      <c r="C22" s="127">
        <v>11</v>
      </c>
    </row>
    <row r="23" spans="1:3">
      <c r="A23" s="55" t="s">
        <v>353</v>
      </c>
      <c r="B23" s="126" t="s">
        <v>310</v>
      </c>
      <c r="C23" s="127">
        <v>12</v>
      </c>
    </row>
    <row r="24" spans="1:3">
      <c r="A24" s="55" t="s">
        <v>354</v>
      </c>
      <c r="B24" s="126" t="s">
        <v>310</v>
      </c>
      <c r="C24" s="127">
        <v>13</v>
      </c>
    </row>
    <row r="25" spans="1:3">
      <c r="A25" s="55" t="s">
        <v>355</v>
      </c>
      <c r="B25" s="126" t="s">
        <v>310</v>
      </c>
      <c r="C25" s="127">
        <v>14</v>
      </c>
    </row>
  </sheetData>
  <protectedRanges>
    <protectedRange sqref="A5" name="Range1_1"/>
  </protectedRanges>
  <customSheetViews>
    <customSheetView guid="{D354225D-2C82-4417-8BA4-5EFA1D96D332}" topLeftCell="A10">
      <selection activeCell="B18" sqref="B18"/>
      <pageMargins left="0.7" right="0.7" top="0.75" bottom="0.75" header="0.3" footer="0.3"/>
    </customSheetView>
    <customSheetView guid="{CF42ED2D-1073-4AB2-96F1-563C90B8192E}" topLeftCell="A10">
      <selection activeCell="B18" sqref="B18"/>
      <pageMargins left="0.7" right="0.7" top="0.75" bottom="0.75" header="0.3" footer="0.3"/>
    </customSheetView>
    <customSheetView guid="{038EA038-5A0E-4BA1-B2F5-E3A3B7AA82FA}" topLeftCell="A10">
      <selection activeCell="B18" sqref="B18"/>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vt:lpstr>
      <vt:lpstr>Application_Environment</vt:lpstr>
      <vt:lpstr>DataSheet</vt:lpstr>
      <vt:lpstr>Mapping</vt:lpstr>
      <vt:lpstr>TabData</vt:lpstr>
      <vt:lpstr>Version Control</vt:lpstr>
      <vt:lpstr>Sheet1</vt:lpstr>
      <vt:lpstr>Sheet2</vt:lpstr>
      <vt:lpstr>AdminProductType</vt:lpstr>
      <vt:lpstr>Another</vt:lpstr>
      <vt:lpstr>cASH</vt:lpstr>
      <vt:lpstr>CashPassport</vt:lpstr>
      <vt:lpstr>Currencies</vt:lpstr>
      <vt:lpstr>Passport</vt:lpstr>
      <vt:lpstr>PaymentCountries</vt:lpstr>
      <vt:lpstr>PaymentType</vt:lpstr>
      <vt:lpstr>Product</vt:lpstr>
    </vt:vector>
  </TitlesOfParts>
  <Company>Travelex</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Kambli, Ninad</dc:creator>
  <cp:lastModifiedBy>Subudhi, Chitesh Kumar</cp:lastModifiedBy>
  <dcterms:created xsi:type="dcterms:W3CDTF">2013-01-22T09:38:43Z</dcterms:created>
  <dcterms:modified xsi:type="dcterms:W3CDTF">2016-02-08T07:02:52Z</dcterms:modified>
</cp:coreProperties>
</file>