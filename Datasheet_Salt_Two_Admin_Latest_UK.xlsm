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11.xml" ContentType="application/vnd.ms-office.activeX+xml"/>
  <Override PartName="/xl/activeX/activeX1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240" yWindow="1875" windowWidth="15120" windowHeight="5130" activeTab="2"/>
  </bookViews>
  <sheets>
    <sheet name="Master" sheetId="1" r:id="rId1"/>
    <sheet name="Application_Environment" sheetId="2" r:id="rId2"/>
    <sheet name="DataSheet" sheetId="3" r:id="rId3"/>
    <sheet name="Mapping" sheetId="4" r:id="rId4"/>
    <sheet name="TabData" sheetId="5" state="hidden" r:id="rId5"/>
    <sheet name="Version Control" sheetId="6" r:id="rId6"/>
    <sheet name="Sheet1" sheetId="7" r:id="rId7"/>
    <sheet name="Sheet2" sheetId="8" r:id="rId8"/>
  </sheets>
  <functionGroups builtInGroupCount="17"/>
  <externalReferences>
    <externalReference r:id="rId9"/>
  </externalReferences>
  <definedNames>
    <definedName name="_xlnm._FilterDatabase" localSheetId="2" hidden="1">DataSheet!$B$3:$D$124</definedName>
    <definedName name="_xlnm._FilterDatabase" localSheetId="3" hidden="1">Mapping!$A$1:$G$374</definedName>
    <definedName name="_xlnm._FilterDatabase" localSheetId="0" hidden="1">Master!$A$1:$F$90</definedName>
    <definedName name="AdminProductType">Sheet1!$E$2:$E$3</definedName>
    <definedName name="Another">Sheet1!$C$2:$C$4</definedName>
    <definedName name="cASH">Sheet1!$F$2:$F$13</definedName>
    <definedName name="CashPassport">Sheet1!$G$2:$G$7</definedName>
    <definedName name="Currencies">Sheet1!$A$2:$A$10</definedName>
    <definedName name="FraudAction">[1]Sheet1!$H$2:$H$3</definedName>
    <definedName name="Passport">Sheet1!$D$2:$D$4</definedName>
    <definedName name="PaymentCountries">Sheet1!$I$2:$I$4</definedName>
    <definedName name="PaymentType">Sheet1!$J$2:$J$4</definedName>
    <definedName name="Product">Sheet1!$B$2:$B$4</definedName>
    <definedName name="Z_A8F9189F_30EC_448E_8FA3_1F1B01D22A46_.wvu.Cols" localSheetId="2" hidden="1">DataSheet!$BO:$BO</definedName>
    <definedName name="Z_A8F9189F_30EC_448E_8FA3_1F1B01D22A46_.wvu.FilterData" localSheetId="2" hidden="1">DataSheet!$D$3:$D$3</definedName>
    <definedName name="Z_A8F9189F_30EC_448E_8FA3_1F1B01D22A46_.wvu.FilterData" localSheetId="0" hidden="1">Master!$A$1:$F$53</definedName>
    <definedName name="Z_A8F9189F_30EC_448E_8FA3_1F1B01D22A46_.wvu.Rows" localSheetId="2" hidden="1">DataSheet!$31:$77</definedName>
  </definedNames>
  <calcPr calcId="145621"/>
  <customWorkbookViews>
    <customWorkbookView name="Sabale, Nilesh - Personal View" guid="{A8F9189F-30EC-448E-8FA3-1F1B01D22A46}" mergeInterval="0" personalView="1" maximized="1" windowWidth="1276" windowHeight="805" activeSheetId="5"/>
  </customWorkbookViews>
</workbook>
</file>

<file path=xl/calcChain.xml><?xml version="1.0" encoding="utf-8"?>
<calcChain xmlns="http://schemas.openxmlformats.org/spreadsheetml/2006/main">
  <c r="QS123" i="3" l="1"/>
  <c r="JK123" i="3"/>
  <c r="F48" i="3" l="1"/>
  <c r="G48" i="3"/>
  <c r="F30" i="3"/>
  <c r="G30" i="3"/>
  <c r="F29" i="3"/>
  <c r="G29" i="3"/>
  <c r="ND30" i="3" l="1"/>
  <c r="LM30" i="3"/>
  <c r="F47" i="3" l="1"/>
  <c r="G47" i="3"/>
  <c r="F46" i="3" l="1"/>
  <c r="G46" i="3"/>
  <c r="F45" i="3" l="1"/>
  <c r="G45" i="3"/>
  <c r="F44" i="3" l="1"/>
  <c r="G44" i="3"/>
  <c r="F43" i="3" l="1"/>
  <c r="G43" i="3"/>
  <c r="F10" i="3"/>
  <c r="G10" i="3"/>
  <c r="F42" i="3" l="1"/>
  <c r="G42" i="3"/>
  <c r="F9" i="3" l="1"/>
  <c r="G9" i="3"/>
  <c r="F41" i="3" l="1"/>
  <c r="G41" i="3"/>
  <c r="F40" i="3"/>
  <c r="G40" i="3"/>
  <c r="F39" i="3"/>
  <c r="G39" i="3"/>
  <c r="F121" i="3"/>
  <c r="G121" i="3"/>
  <c r="F38" i="3" l="1"/>
  <c r="G38" i="3"/>
  <c r="F37" i="3"/>
  <c r="G37" i="3"/>
  <c r="F7" i="3" l="1"/>
  <c r="G7" i="3"/>
  <c r="F36" i="3" l="1"/>
  <c r="G36" i="3"/>
  <c r="F35" i="3" l="1"/>
  <c r="G35" i="3"/>
  <c r="F6" i="3" l="1"/>
  <c r="G6" i="3"/>
  <c r="F34" i="3" l="1"/>
  <c r="G34" i="3"/>
  <c r="F5" i="3" l="1"/>
  <c r="G5" i="3"/>
  <c r="F33" i="3" l="1"/>
  <c r="G33" i="3"/>
  <c r="F32" i="3" l="1"/>
  <c r="G32" i="3"/>
  <c r="F95" i="3" l="1"/>
  <c r="G95" i="3"/>
  <c r="F26" i="3" l="1"/>
  <c r="G26" i="3"/>
  <c r="F25" i="3"/>
  <c r="G25" i="3"/>
  <c r="F13" i="3" l="1"/>
  <c r="G13" i="3"/>
  <c r="F12" i="3"/>
  <c r="G12" i="3"/>
  <c r="F11" i="3"/>
  <c r="G11" i="3"/>
  <c r="F8" i="3"/>
  <c r="G8" i="3"/>
  <c r="F4" i="3" l="1"/>
  <c r="G4" i="3"/>
  <c r="ND29" i="3" l="1"/>
  <c r="LM29" i="3"/>
  <c r="ND121" i="3"/>
  <c r="LM121" i="3"/>
  <c r="ND119" i="3"/>
  <c r="LM119" i="3"/>
  <c r="ND118" i="3"/>
  <c r="LM118" i="3"/>
  <c r="ND117" i="3"/>
  <c r="LM117" i="3"/>
  <c r="ND116" i="3"/>
  <c r="LM116" i="3"/>
  <c r="ND114" i="3"/>
  <c r="LM114" i="3"/>
  <c r="ND113" i="3"/>
  <c r="LM113" i="3"/>
  <c r="ND112" i="3"/>
  <c r="LM112" i="3"/>
  <c r="ND111" i="3"/>
  <c r="LM111" i="3"/>
  <c r="ND110" i="3"/>
  <c r="LM110" i="3"/>
  <c r="ND109" i="3"/>
  <c r="LM109" i="3"/>
  <c r="ND108" i="3"/>
  <c r="LM108" i="3"/>
  <c r="ND107" i="3"/>
  <c r="LM107" i="3"/>
  <c r="ND106" i="3"/>
  <c r="LM106" i="3"/>
  <c r="ND105" i="3"/>
  <c r="LM105" i="3"/>
  <c r="ND104" i="3"/>
  <c r="LM104" i="3"/>
  <c r="ND103" i="3"/>
  <c r="LM103" i="3"/>
  <c r="ND95" i="3"/>
  <c r="LM95" i="3"/>
  <c r="ND88" i="3"/>
  <c r="LM88" i="3"/>
  <c r="ND87" i="3"/>
  <c r="LM87" i="3"/>
  <c r="ND86" i="3"/>
  <c r="LM86" i="3"/>
  <c r="ND85" i="3"/>
  <c r="LM85" i="3"/>
  <c r="ND84" i="3"/>
  <c r="LM84" i="3"/>
  <c r="ND83" i="3"/>
  <c r="LM83" i="3"/>
  <c r="ND82" i="3"/>
  <c r="LM82" i="3"/>
  <c r="ND81" i="3"/>
  <c r="LM81" i="3"/>
  <c r="ND80" i="3"/>
  <c r="LM80" i="3"/>
  <c r="ND79" i="3"/>
  <c r="LM79" i="3"/>
  <c r="ND78" i="3"/>
  <c r="LM78" i="3"/>
  <c r="ND28" i="3"/>
  <c r="LM28" i="3"/>
  <c r="ND27" i="3"/>
  <c r="LM27" i="3"/>
  <c r="ND26" i="3"/>
  <c r="LM26" i="3"/>
  <c r="ND25" i="3"/>
  <c r="LM25" i="3"/>
  <c r="ND24" i="3"/>
  <c r="LM24" i="3"/>
  <c r="ND23" i="3"/>
  <c r="LM23" i="3"/>
  <c r="ND22" i="3"/>
  <c r="LM22" i="3"/>
  <c r="ND21" i="3"/>
  <c r="LM21" i="3"/>
  <c r="ND20" i="3"/>
  <c r="LM20" i="3"/>
  <c r="ND19" i="3"/>
  <c r="LM19" i="3"/>
  <c r="ND18" i="3"/>
  <c r="LM18" i="3"/>
  <c r="ND17" i="3"/>
  <c r="LM17" i="3"/>
  <c r="ND16" i="3"/>
  <c r="LM16" i="3"/>
  <c r="ND15" i="3"/>
  <c r="LM15" i="3"/>
  <c r="ND14" i="3"/>
  <c r="LM14" i="3"/>
  <c r="ND13" i="3"/>
  <c r="LM13" i="3"/>
  <c r="ND12" i="3"/>
  <c r="LM12" i="3"/>
  <c r="ND11" i="3"/>
  <c r="LM11" i="3"/>
  <c r="ND10" i="3"/>
  <c r="LM10" i="3"/>
  <c r="ND9" i="3"/>
  <c r="LM9" i="3"/>
  <c r="ND8" i="3"/>
  <c r="LM8" i="3"/>
  <c r="ND7" i="3"/>
  <c r="LM7" i="3"/>
  <c r="ND6" i="3"/>
  <c r="LM6" i="3"/>
  <c r="ND5" i="3"/>
  <c r="LM5" i="3"/>
  <c r="ND4" i="3"/>
  <c r="LM4" i="3"/>
  <c r="ND77" i="3"/>
  <c r="LM77" i="3"/>
  <c r="ND76" i="3"/>
  <c r="LM76" i="3"/>
  <c r="ND75" i="3"/>
  <c r="LM75" i="3"/>
  <c r="ND74" i="3"/>
  <c r="LM74" i="3"/>
  <c r="ND73" i="3"/>
  <c r="LM73" i="3"/>
  <c r="ND72" i="3"/>
  <c r="LM72" i="3"/>
  <c r="ND71" i="3"/>
  <c r="LM71" i="3"/>
  <c r="ND70" i="3"/>
  <c r="LM70" i="3"/>
  <c r="ND69" i="3"/>
  <c r="LM69" i="3"/>
  <c r="ND68" i="3"/>
  <c r="LM68" i="3"/>
  <c r="ND67" i="3"/>
  <c r="LM67" i="3"/>
  <c r="ND66" i="3"/>
  <c r="LM66" i="3"/>
  <c r="ND65" i="3"/>
  <c r="LM65" i="3"/>
  <c r="ND64" i="3"/>
  <c r="LM64" i="3"/>
  <c r="ND63" i="3"/>
  <c r="LM63" i="3"/>
  <c r="ND62" i="3"/>
  <c r="LM62" i="3"/>
  <c r="ND61" i="3"/>
  <c r="LM61" i="3"/>
  <c r="ND60" i="3"/>
  <c r="LM60" i="3"/>
  <c r="ND59" i="3"/>
  <c r="LM59" i="3"/>
  <c r="ND58" i="3"/>
  <c r="LM58" i="3"/>
  <c r="ND57" i="3"/>
  <c r="LM57" i="3"/>
  <c r="ND56" i="3"/>
  <c r="LM56" i="3"/>
  <c r="ND55" i="3"/>
  <c r="LM55" i="3"/>
  <c r="ND54" i="3"/>
  <c r="LM54" i="3"/>
  <c r="ND53" i="3"/>
  <c r="LM53" i="3"/>
  <c r="ND52" i="3"/>
  <c r="LM52" i="3"/>
  <c r="ND51" i="3"/>
  <c r="LM51" i="3"/>
  <c r="ND49" i="3"/>
  <c r="LM49" i="3"/>
  <c r="ND47" i="3"/>
  <c r="LM47" i="3"/>
  <c r="ND46" i="3"/>
  <c r="LM46" i="3"/>
  <c r="ND45" i="3"/>
  <c r="LM45" i="3"/>
  <c r="ND44" i="3"/>
  <c r="LM44" i="3"/>
  <c r="ND43" i="3"/>
  <c r="ND42" i="3"/>
  <c r="LM42" i="3"/>
  <c r="ND41" i="3"/>
  <c r="LM41" i="3"/>
  <c r="ND40" i="3"/>
  <c r="LM40" i="3"/>
  <c r="ND39" i="3"/>
  <c r="LM39" i="3"/>
  <c r="ND38" i="3"/>
  <c r="LM38" i="3"/>
  <c r="ND37" i="3"/>
  <c r="LM37" i="3"/>
  <c r="ND36" i="3"/>
  <c r="LM36" i="3"/>
  <c r="ND35" i="3"/>
  <c r="LM35" i="3"/>
  <c r="ND34" i="3"/>
  <c r="LM34" i="3"/>
  <c r="ND33" i="3"/>
  <c r="LM33" i="3"/>
  <c r="ND32" i="3"/>
  <c r="LM32" i="3"/>
</calcChain>
</file>

<file path=xl/comments1.xml><?xml version="1.0" encoding="utf-8"?>
<comments xmlns="http://schemas.openxmlformats.org/spreadsheetml/2006/main">
  <authors>
    <author>Redekar, Ravindra</author>
  </authors>
  <commentList>
    <comment ref="B65" authorId="0">
      <text>
        <r>
          <rPr>
            <b/>
            <sz val="9"/>
            <color indexed="81"/>
            <rFont val="Tahoma"/>
            <family val="2"/>
          </rPr>
          <t>Wadaskar, Harshit:</t>
        </r>
        <r>
          <rPr>
            <sz val="9"/>
            <color indexed="81"/>
            <rFont val="Tahoma"/>
            <family val="2"/>
          </rPr>
          <t xml:space="preserve">
Update 
From date = getdate -1
To date = current date</t>
        </r>
      </text>
    </comment>
  </commentList>
</comments>
</file>

<file path=xl/comments2.xml><?xml version="1.0" encoding="utf-8"?>
<comments xmlns="http://schemas.openxmlformats.org/spreadsheetml/2006/main">
  <authors>
    <author>Kapale, Vikram</author>
    <author>Redekar, Ravindra</author>
  </authors>
  <commentList>
    <comment ref="JL3" authorId="0">
      <text>
        <r>
          <rPr>
            <b/>
            <sz val="9"/>
            <color indexed="81"/>
            <rFont val="Tahoma"/>
            <family val="2"/>
          </rPr>
          <t>Wadaskar, Harshit:</t>
        </r>
        <r>
          <rPr>
            <sz val="9"/>
            <color indexed="81"/>
            <rFont val="Tahoma"/>
            <family val="2"/>
          </rPr>
          <t xml:space="preserve">
Buy Spot Rate</t>
        </r>
      </text>
    </comment>
    <comment ref="JM3" authorId="0">
      <text>
        <r>
          <rPr>
            <b/>
            <sz val="9"/>
            <color indexed="81"/>
            <rFont val="Tahoma"/>
            <family val="2"/>
          </rPr>
          <t>Wadaskar,Harshit:</t>
        </r>
        <r>
          <rPr>
            <sz val="9"/>
            <color indexed="81"/>
            <rFont val="Tahoma"/>
            <family val="2"/>
          </rPr>
          <t xml:space="preserve">
Sell Rate</t>
        </r>
      </text>
    </comment>
    <comment ref="JN3" authorId="0">
      <text>
        <r>
          <rPr>
            <b/>
            <sz val="9"/>
            <color indexed="81"/>
            <rFont val="Tahoma"/>
            <family val="2"/>
          </rPr>
          <t>Wadaskar,Harshit :</t>
        </r>
        <r>
          <rPr>
            <sz val="9"/>
            <color indexed="81"/>
            <rFont val="Tahoma"/>
            <family val="2"/>
          </rPr>
          <t xml:space="preserve">
Sell Rate</t>
        </r>
      </text>
    </comment>
    <comment ref="C4" authorId="1">
      <text>
        <r>
          <rPr>
            <b/>
            <sz val="9"/>
            <color indexed="81"/>
            <rFont val="Tahoma"/>
            <family val="2"/>
          </rPr>
          <t>Harshit Wadaskar:</t>
        </r>
        <r>
          <rPr>
            <sz val="9"/>
            <color indexed="81"/>
            <rFont val="Tahoma"/>
            <family val="2"/>
          </rPr>
          <t xml:space="preserve">
Payment Review fraud - Cash
</t>
        </r>
      </text>
    </comment>
    <comment ref="C5" authorId="1">
      <text>
        <r>
          <rPr>
            <b/>
            <sz val="9"/>
            <color indexed="81"/>
            <rFont val="Tahoma"/>
            <family val="2"/>
          </rPr>
          <t>Harshit Wadaskar:</t>
        </r>
        <r>
          <rPr>
            <sz val="9"/>
            <color indexed="81"/>
            <rFont val="Tahoma"/>
            <family val="2"/>
          </rPr>
          <t xml:space="preserve">
Payament Review Fraud - Cash</t>
        </r>
      </text>
    </comment>
    <comment ref="C6" authorId="1">
      <text>
        <r>
          <rPr>
            <b/>
            <sz val="9"/>
            <color indexed="81"/>
            <rFont val="Tahoma"/>
            <family val="2"/>
          </rPr>
          <t>Harshit Wadaskar:</t>
        </r>
        <r>
          <rPr>
            <sz val="9"/>
            <color indexed="81"/>
            <rFont val="Tahoma"/>
            <family val="2"/>
          </rPr>
          <t xml:space="preserve">
Cash Order</t>
        </r>
      </text>
    </comment>
    <comment ref="C7" authorId="1">
      <text>
        <r>
          <rPr>
            <b/>
            <sz val="9"/>
            <color indexed="81"/>
            <rFont val="Tahoma"/>
            <family val="2"/>
          </rPr>
          <t>Harshit Wadaskar:</t>
        </r>
        <r>
          <rPr>
            <sz val="9"/>
            <color indexed="81"/>
            <rFont val="Tahoma"/>
            <family val="2"/>
          </rPr>
          <t xml:space="preserve">
Cash Order</t>
        </r>
      </text>
    </comment>
    <comment ref="C26" authorId="1">
      <text>
        <r>
          <rPr>
            <b/>
            <sz val="9"/>
            <color indexed="81"/>
            <rFont val="Tahoma"/>
            <family val="2"/>
          </rPr>
          <t>Harshit Wadaskar:</t>
        </r>
        <r>
          <rPr>
            <sz val="9"/>
            <color indexed="81"/>
            <rFont val="Tahoma"/>
            <family val="2"/>
          </rPr>
          <t xml:space="preserve">
Cash Order</t>
        </r>
      </text>
    </comment>
    <comment ref="JO36" authorId="0">
      <text>
        <r>
          <rPr>
            <b/>
            <sz val="9"/>
            <color indexed="81"/>
            <rFont val="Tahoma"/>
            <family val="2"/>
          </rPr>
          <t>Wadaskar,Harshit :</t>
        </r>
        <r>
          <rPr>
            <sz val="9"/>
            <color indexed="81"/>
            <rFont val="Tahoma"/>
            <family val="2"/>
          </rPr>
          <t xml:space="preserve">
Should start with - (minus) Sign</t>
        </r>
      </text>
    </comment>
    <comment ref="C37" authorId="1">
      <text>
        <r>
          <rPr>
            <b/>
            <sz val="9"/>
            <color indexed="81"/>
            <rFont val="Tahoma"/>
            <family val="2"/>
          </rPr>
          <t>Wadaskar, Harshit:</t>
        </r>
        <r>
          <rPr>
            <sz val="9"/>
            <color indexed="81"/>
            <rFont val="Tahoma"/>
            <family val="2"/>
          </rPr>
          <t xml:space="preserve">
Update 
From date = getdate -1
To date = current date</t>
        </r>
      </text>
    </comment>
    <comment ref="C123" authorId="1">
      <text>
        <r>
          <rPr>
            <b/>
            <sz val="9"/>
            <color indexed="81"/>
            <rFont val="Tahoma"/>
            <family val="2"/>
          </rPr>
          <t>Wadaskar, Harshit:</t>
        </r>
        <r>
          <rPr>
            <sz val="9"/>
            <color indexed="81"/>
            <rFont val="Tahoma"/>
            <family val="2"/>
          </rPr>
          <t xml:space="preserve">
Update 
From date = getdate -1
To date = current date</t>
        </r>
      </text>
    </comment>
  </commentList>
</comments>
</file>

<file path=xl/comments3.xml><?xml version="1.0" encoding="utf-8"?>
<comments xmlns="http://schemas.openxmlformats.org/spreadsheetml/2006/main">
  <authors>
    <author>Redekar, Ravindra</author>
  </authors>
  <commentList>
    <comment ref="B105" authorId="0">
      <text>
        <r>
          <rPr>
            <b/>
            <sz val="9"/>
            <color indexed="81"/>
            <rFont val="Tahoma"/>
            <family val="2"/>
          </rPr>
          <t>Wadaskar, Harshit:</t>
        </r>
        <r>
          <rPr>
            <sz val="9"/>
            <color indexed="81"/>
            <rFont val="Tahoma"/>
            <family val="2"/>
          </rPr>
          <t xml:space="preserve">
Update 
From date = getdate -1
To date = current date</t>
        </r>
      </text>
    </comment>
  </commentList>
</comments>
</file>

<file path=xl/sharedStrings.xml><?xml version="1.0" encoding="utf-8"?>
<sst xmlns="http://schemas.openxmlformats.org/spreadsheetml/2006/main" count="5220" uniqueCount="1439">
  <si>
    <t>Action</t>
  </si>
  <si>
    <t>Headers</t>
  </si>
  <si>
    <t>Headers Description</t>
  </si>
  <si>
    <t>FRAMEWORK</t>
  </si>
  <si>
    <t>INDEX</t>
  </si>
  <si>
    <t>STATUS</t>
  </si>
  <si>
    <t>TC_STATUS_MESSAGE</t>
  </si>
  <si>
    <t>SNAPSHOT_PATH</t>
  </si>
  <si>
    <t>RESULTS_PATH</t>
  </si>
  <si>
    <t>Test Case Name</t>
  </si>
  <si>
    <t>App_Env</t>
  </si>
  <si>
    <t>App_Name][App_Env][UserType</t>
  </si>
  <si>
    <t>App_Name</t>
  </si>
  <si>
    <t>UserType</t>
  </si>
  <si>
    <t>Sr. No</t>
  </si>
  <si>
    <t>TEST CASE NAME</t>
  </si>
  <si>
    <t>URL</t>
  </si>
  <si>
    <t>Timeout</t>
  </si>
  <si>
    <t>UserID</t>
  </si>
  <si>
    <t>Password</t>
  </si>
  <si>
    <t>Status</t>
  </si>
  <si>
    <t>AdditionalDetail</t>
  </si>
  <si>
    <t>Maker</t>
  </si>
  <si>
    <t>Not Active</t>
  </si>
  <si>
    <t>Datasheet Version</t>
  </si>
  <si>
    <t>1.0</t>
  </si>
  <si>
    <t>Created By</t>
  </si>
  <si>
    <t>Ninad Kambli</t>
  </si>
  <si>
    <t>Date</t>
  </si>
  <si>
    <t>Modified By</t>
  </si>
  <si>
    <t>Purpose</t>
  </si>
  <si>
    <t>Name of the sheet where modification is done</t>
  </si>
  <si>
    <t>Modification date</t>
  </si>
  <si>
    <t>BUSINESS_COMPONENT</t>
  </si>
  <si>
    <t>HEADERS_USED</t>
  </si>
  <si>
    <t>BUSINESS_COMPONENTS_USED</t>
  </si>
  <si>
    <t>TESTCASES</t>
  </si>
  <si>
    <t>Dependency</t>
  </si>
  <si>
    <t>TEST_CASE</t>
  </si>
  <si>
    <t>MAPPING_INDEX</t>
  </si>
  <si>
    <t>TEST_CASE][MAPPING_INDEX</t>
  </si>
  <si>
    <t>Copy_BCHeader_Values</t>
  </si>
  <si>
    <t>SOURCE_HEADERS</t>
  </si>
  <si>
    <t>TARGET_HEADERS</t>
  </si>
  <si>
    <t>SOURCE_HEADERS][TARGET_HEADERS</t>
  </si>
  <si>
    <t>Copy_TC_to_TC</t>
  </si>
  <si>
    <t>SourceTC</t>
  </si>
  <si>
    <t>SourceIndex</t>
  </si>
  <si>
    <t>SourceTCHeader</t>
  </si>
  <si>
    <t>TargetTCHeader</t>
  </si>
  <si>
    <t>SourceTC][SourceIndex][SourceTCHeader][TargetTCHeader</t>
  </si>
  <si>
    <t>TCNAME</t>
  </si>
  <si>
    <t>INDEX][TCNAME][STATUS][TC_STATUS_MESSAGE][SNAPSHOT_PATH][RESULTS_PATH</t>
  </si>
  <si>
    <t>Clear_Header_Values</t>
  </si>
  <si>
    <t>ClearHeaders</t>
  </si>
  <si>
    <t>Start_Time</t>
  </si>
  <si>
    <t>End_Time</t>
  </si>
  <si>
    <t>Total_Execution_Time</t>
  </si>
  <si>
    <t>SALT</t>
  </si>
  <si>
    <t>kapalev</t>
  </si>
  <si>
    <t>Cash Passport</t>
  </si>
  <si>
    <t>Indonesia, Rupiah</t>
  </si>
  <si>
    <t>Purchase Cash</t>
  </si>
  <si>
    <t>None</t>
  </si>
  <si>
    <t>New Zealand, Dollar</t>
  </si>
  <si>
    <t>Currencies</t>
  </si>
  <si>
    <t>Product</t>
  </si>
  <si>
    <t>AnotherCur</t>
  </si>
  <si>
    <t>Australia, Dollar</t>
  </si>
  <si>
    <t>Canada, Dollar</t>
  </si>
  <si>
    <t>Multi Currency Passport</t>
  </si>
  <si>
    <t>Purchase Multi-Currency Cash Passport</t>
  </si>
  <si>
    <t>Denmark, Krone</t>
  </si>
  <si>
    <t>Reload Cash Passport</t>
  </si>
  <si>
    <t>Euro</t>
  </si>
  <si>
    <t>Hong Kong, Dollar</t>
  </si>
  <si>
    <t>Japan, Yen</t>
  </si>
  <si>
    <t>United Kingdom, Pound</t>
  </si>
  <si>
    <t>Passport</t>
  </si>
  <si>
    <t>Cash</t>
  </si>
  <si>
    <t>AdminProductType</t>
  </si>
  <si>
    <t>AdminForeignCurrencyCash</t>
  </si>
  <si>
    <t>AdminForeignCurrencyCashPassport</t>
  </si>
  <si>
    <t>AUD</t>
  </si>
  <si>
    <t>CAD</t>
  </si>
  <si>
    <t>EUR</t>
  </si>
  <si>
    <t>GBP</t>
  </si>
  <si>
    <t>JPY</t>
  </si>
  <si>
    <t>USD</t>
  </si>
  <si>
    <t>CashPassport</t>
  </si>
  <si>
    <t>DKK</t>
  </si>
  <si>
    <t>HKD</t>
  </si>
  <si>
    <t>IDR</t>
  </si>
  <si>
    <t>MXN</t>
  </si>
  <si>
    <t>NZD</t>
  </si>
  <si>
    <t>SAR</t>
  </si>
  <si>
    <t>Admin</t>
  </si>
  <si>
    <t>Buy_Product</t>
  </si>
  <si>
    <t>LST_SALT_Home{Foreign_Currency}</t>
  </si>
  <si>
    <t>EDT_SALT_Home{Foreign_Amount}</t>
  </si>
  <si>
    <t>HandleSecurityAlert</t>
  </si>
  <si>
    <t>Actual_ForeignAmount</t>
  </si>
  <si>
    <t>Actual_LocalAmount</t>
  </si>
  <si>
    <t>LBL_SALT_Home{Foreign_CurrencyCode}</t>
  </si>
  <si>
    <t>Local_CurrencyCode</t>
  </si>
  <si>
    <t>EDT_SALT_Home{Local_Amount}</t>
  </si>
  <si>
    <r>
      <t>LST_SALT_Home</t>
    </r>
    <r>
      <rPr>
        <b/>
        <sz val="10"/>
        <color theme="1"/>
        <rFont val="Calibri"/>
        <family val="2"/>
        <scheme val="minor"/>
      </rPr>
      <t>{Foreign_Currency}</t>
    </r>
  </si>
  <si>
    <r>
      <t>EDT_SALT_Home</t>
    </r>
    <r>
      <rPr>
        <b/>
        <sz val="10"/>
        <color theme="1"/>
        <rFont val="Calibri"/>
        <family val="2"/>
        <scheme val="minor"/>
      </rPr>
      <t>{Foreign_Amount}</t>
    </r>
  </si>
  <si>
    <r>
      <t>LBL_SALT_Home</t>
    </r>
    <r>
      <rPr>
        <b/>
        <sz val="10"/>
        <color theme="1"/>
        <rFont val="Calibri"/>
        <family val="2"/>
        <scheme val="minor"/>
      </rPr>
      <t>{Foreign_CurrencyCode}</t>
    </r>
  </si>
  <si>
    <r>
      <t>EDT_SALT_Home</t>
    </r>
    <r>
      <rPr>
        <b/>
        <sz val="10"/>
        <color theme="1"/>
        <rFont val="Calibri"/>
        <family val="2"/>
        <scheme val="minor"/>
      </rPr>
      <t>{Local_Amount}</t>
    </r>
  </si>
  <si>
    <t>EnterFirstOrderDetail</t>
  </si>
  <si>
    <t>VerifyFirstOrder</t>
  </si>
  <si>
    <t>Add_ProductType</t>
  </si>
  <si>
    <t>Add_ForeignCurrency</t>
  </si>
  <si>
    <t>Add_ForeignAmount</t>
  </si>
  <si>
    <t>Add_Foreign_CurrencyCode</t>
  </si>
  <si>
    <t>Add_LocalAmount</t>
  </si>
  <si>
    <t>Add_Local_CurrencyCode</t>
  </si>
  <si>
    <t>Add_OrderType</t>
  </si>
  <si>
    <t>AddOrder</t>
  </si>
  <si>
    <t>EDT_SALT_ShippingOption{Location}</t>
  </si>
  <si>
    <t>Shipping_Type</t>
  </si>
  <si>
    <t>Availability_Message</t>
  </si>
  <si>
    <t>PricePromise_Message</t>
  </si>
  <si>
    <t>DeliveryDate</t>
  </si>
  <si>
    <t>Selected_DeliveryDate</t>
  </si>
  <si>
    <t>Selected_DeliveryCost</t>
  </si>
  <si>
    <t>Selected_FulfilmentOption</t>
  </si>
  <si>
    <t>LST_SALT_Pay{Title}</t>
  </si>
  <si>
    <t>EDT_SALT_Pay{FirstName}</t>
  </si>
  <si>
    <t>EDT_SALT_Pay{MiddleName}</t>
  </si>
  <si>
    <t>EDT_SALT_Pay{LastName}</t>
  </si>
  <si>
    <t>LST_SALT_Pay{DOB_MM}</t>
  </si>
  <si>
    <t>LST_SALT_Pay{DOB_DD}</t>
  </si>
  <si>
    <t>LST_SALT_Pay{DOB_YYYY}</t>
  </si>
  <si>
    <t>EDT_SALT_Pay{Mother_MaidenName}</t>
  </si>
  <si>
    <t>LST_SALT_Pay{ID_Type}</t>
  </si>
  <si>
    <t>LST_SALT_Pay{CountryOfIssue}</t>
  </si>
  <si>
    <t>LST_SALT_Pay{StateOfIssue}</t>
  </si>
  <si>
    <t>EDT_SALT_Pay{ID_Number}</t>
  </si>
  <si>
    <t>LST_SALT_Pay{IDExpiry_MM}</t>
  </si>
  <si>
    <t>LST_SALT_Pay{IDExpiry_DD}</t>
  </si>
  <si>
    <t>LST_SALT_Pay{IDExpiry_YYYY}</t>
  </si>
  <si>
    <t>EDT_SALT_Pay{Cell_Phone}</t>
  </si>
  <si>
    <t>EDT_SALT_Pay{Home_Phone}</t>
  </si>
  <si>
    <t>EDT_SALT_Pay{Email_Address}</t>
  </si>
  <si>
    <t>EDT_SALT_Pay{Confirm_EmailAddress}</t>
  </si>
  <si>
    <t>EDT_SALT_Pay{Street_Address}</t>
  </si>
  <si>
    <t>EDT_SALT_Pay{Apartment_Number}</t>
  </si>
  <si>
    <t>EDT_SALT_Pay{City}</t>
  </si>
  <si>
    <t>EDT_SALT_Pay{Zip}</t>
  </si>
  <si>
    <t>LST_SALT_Pay{Card_Type}</t>
  </si>
  <si>
    <t>EDT_SALT_Pay{Card_Number}</t>
  </si>
  <si>
    <t>EDT_SALT_Pay{Card_FirstName}</t>
  </si>
  <si>
    <t>EDT_SALT_Pay{Card_LastName}</t>
  </si>
  <si>
    <t>EDT_SALT_Pay{Security_Code}</t>
  </si>
  <si>
    <t>CHK_SALT_Pay{Special_Offers}</t>
  </si>
  <si>
    <t>CHK_SALT_Pay{TermsAndConditions}</t>
  </si>
  <si>
    <t>Confirmation</t>
  </si>
  <si>
    <t>NOD_SALT_Confirmation{Order_Number}</t>
  </si>
  <si>
    <t>Residential_State</t>
  </si>
  <si>
    <r>
      <t>EDT_SALT_ShippingOption</t>
    </r>
    <r>
      <rPr>
        <b/>
        <sz val="10"/>
        <color theme="1"/>
        <rFont val="Calibri"/>
        <family val="2"/>
        <scheme val="minor"/>
      </rPr>
      <t>{Location}</t>
    </r>
  </si>
  <si>
    <r>
      <t>LST_SALT_Pay</t>
    </r>
    <r>
      <rPr>
        <b/>
        <sz val="10"/>
        <color theme="1"/>
        <rFont val="Calibri"/>
        <family val="2"/>
        <scheme val="minor"/>
      </rPr>
      <t>{Title}</t>
    </r>
  </si>
  <si>
    <r>
      <t>EDT_SALT_Pay</t>
    </r>
    <r>
      <rPr>
        <b/>
        <sz val="10"/>
        <color theme="1"/>
        <rFont val="Calibri"/>
        <family val="2"/>
        <scheme val="minor"/>
      </rPr>
      <t>{FirstName}</t>
    </r>
  </si>
  <si>
    <r>
      <t>EDT_SALT_Pay</t>
    </r>
    <r>
      <rPr>
        <b/>
        <sz val="10"/>
        <color theme="1"/>
        <rFont val="Calibri"/>
        <family val="2"/>
        <scheme val="minor"/>
      </rPr>
      <t>{LastName}</t>
    </r>
  </si>
  <si>
    <r>
      <t>LST_SALT_Pay</t>
    </r>
    <r>
      <rPr>
        <b/>
        <sz val="10"/>
        <color theme="1"/>
        <rFont val="Calibri"/>
        <family val="2"/>
        <scheme val="minor"/>
      </rPr>
      <t>{DOB_MM}</t>
    </r>
  </si>
  <si>
    <r>
      <t>LST_SALT_Pay</t>
    </r>
    <r>
      <rPr>
        <b/>
        <sz val="10"/>
        <color theme="1"/>
        <rFont val="Calibri"/>
        <family val="2"/>
        <scheme val="minor"/>
      </rPr>
      <t>{DOB_DD}</t>
    </r>
  </si>
  <si>
    <r>
      <t>LST_SALT_Pay</t>
    </r>
    <r>
      <rPr>
        <b/>
        <sz val="10"/>
        <color theme="1"/>
        <rFont val="Calibri"/>
        <family val="2"/>
        <scheme val="minor"/>
      </rPr>
      <t>{DOB_YYYY}</t>
    </r>
  </si>
  <si>
    <r>
      <t>EDT_SALT_Pay</t>
    </r>
    <r>
      <rPr>
        <b/>
        <sz val="10"/>
        <color theme="1"/>
        <rFont val="Calibri"/>
        <family val="2"/>
        <scheme val="minor"/>
      </rPr>
      <t>{Mother_MaidenName}</t>
    </r>
  </si>
  <si>
    <r>
      <t>LST_SALT_Pay</t>
    </r>
    <r>
      <rPr>
        <b/>
        <sz val="10"/>
        <color theme="1"/>
        <rFont val="Calibri"/>
        <family val="2"/>
        <scheme val="minor"/>
      </rPr>
      <t>{ID_Type}</t>
    </r>
  </si>
  <si>
    <r>
      <t>LST_SALT_Pay</t>
    </r>
    <r>
      <rPr>
        <b/>
        <sz val="10"/>
        <color theme="1"/>
        <rFont val="Calibri"/>
        <family val="2"/>
        <scheme val="minor"/>
      </rPr>
      <t>{CountryOfIssue}</t>
    </r>
  </si>
  <si>
    <r>
      <t>LST_SALT_Pay</t>
    </r>
    <r>
      <rPr>
        <b/>
        <sz val="10"/>
        <color theme="1"/>
        <rFont val="Calibri"/>
        <family val="2"/>
        <scheme val="minor"/>
      </rPr>
      <t>{StateOfIssue}</t>
    </r>
  </si>
  <si>
    <r>
      <t>EDT_SALT_Pay</t>
    </r>
    <r>
      <rPr>
        <b/>
        <sz val="10"/>
        <color theme="1"/>
        <rFont val="Calibri"/>
        <family val="2"/>
        <scheme val="minor"/>
      </rPr>
      <t>{ID_Number}</t>
    </r>
  </si>
  <si>
    <r>
      <t>LST_SALT_Pay</t>
    </r>
    <r>
      <rPr>
        <b/>
        <sz val="10"/>
        <color theme="1"/>
        <rFont val="Calibri"/>
        <family val="2"/>
        <scheme val="minor"/>
      </rPr>
      <t>{IDExpiry_MM}</t>
    </r>
  </si>
  <si>
    <r>
      <t>LST_SALT_Pay</t>
    </r>
    <r>
      <rPr>
        <b/>
        <sz val="10"/>
        <color theme="1"/>
        <rFont val="Calibri"/>
        <family val="2"/>
        <scheme val="minor"/>
      </rPr>
      <t>{IDExpiry_DD}</t>
    </r>
  </si>
  <si>
    <r>
      <t>LST_SALT_Pay</t>
    </r>
    <r>
      <rPr>
        <b/>
        <sz val="10"/>
        <color theme="1"/>
        <rFont val="Calibri"/>
        <family val="2"/>
        <scheme val="minor"/>
      </rPr>
      <t>{IDExpiry_YYYY}</t>
    </r>
  </si>
  <si>
    <r>
      <t>EDT_SALT_Pay</t>
    </r>
    <r>
      <rPr>
        <b/>
        <sz val="10"/>
        <color theme="1"/>
        <rFont val="Calibri"/>
        <family val="2"/>
        <scheme val="minor"/>
      </rPr>
      <t>{Cell_Phone}</t>
    </r>
  </si>
  <si>
    <r>
      <t>EDT_SALT_Pay</t>
    </r>
    <r>
      <rPr>
        <b/>
        <sz val="10"/>
        <color theme="1"/>
        <rFont val="Calibri"/>
        <family val="2"/>
        <scheme val="minor"/>
      </rPr>
      <t>{Home_Phone}</t>
    </r>
  </si>
  <si>
    <r>
      <t>EDT_SALT_Pay</t>
    </r>
    <r>
      <rPr>
        <b/>
        <sz val="10"/>
        <color theme="1"/>
        <rFont val="Calibri"/>
        <family val="2"/>
        <scheme val="minor"/>
      </rPr>
      <t>{Email_Address}</t>
    </r>
  </si>
  <si>
    <r>
      <t>EDT_SALT_Pay</t>
    </r>
    <r>
      <rPr>
        <b/>
        <sz val="10"/>
        <color theme="1"/>
        <rFont val="Calibri"/>
        <family val="2"/>
        <scheme val="minor"/>
      </rPr>
      <t>{Confirm_EmailAddress}</t>
    </r>
  </si>
  <si>
    <r>
      <t>EDT_SALT_Pay</t>
    </r>
    <r>
      <rPr>
        <b/>
        <sz val="10"/>
        <color theme="1"/>
        <rFont val="Calibri"/>
        <family val="2"/>
        <scheme val="minor"/>
      </rPr>
      <t>{Street_Address}</t>
    </r>
  </si>
  <si>
    <r>
      <t>EDT_SALT_Pay</t>
    </r>
    <r>
      <rPr>
        <b/>
        <sz val="10"/>
        <color theme="1"/>
        <rFont val="Calibri"/>
        <family val="2"/>
        <scheme val="minor"/>
      </rPr>
      <t>{Apartment_Number}</t>
    </r>
  </si>
  <si>
    <r>
      <t>EDT_SALT_Pay</t>
    </r>
    <r>
      <rPr>
        <b/>
        <sz val="10"/>
        <color theme="1"/>
        <rFont val="Calibri"/>
        <family val="2"/>
        <scheme val="minor"/>
      </rPr>
      <t>{City}</t>
    </r>
  </si>
  <si>
    <r>
      <t>EDT_SALT_Pay</t>
    </r>
    <r>
      <rPr>
        <b/>
        <sz val="10"/>
        <color theme="1"/>
        <rFont val="Calibri"/>
        <family val="2"/>
        <scheme val="minor"/>
      </rPr>
      <t>{Zip}</t>
    </r>
  </si>
  <si>
    <r>
      <t>LST_SALT_Pay</t>
    </r>
    <r>
      <rPr>
        <b/>
        <sz val="10"/>
        <color theme="1"/>
        <rFont val="Calibri"/>
        <family val="2"/>
        <scheme val="minor"/>
      </rPr>
      <t>{Card_Type}</t>
    </r>
  </si>
  <si>
    <r>
      <t>EDT_SALT_Pay</t>
    </r>
    <r>
      <rPr>
        <b/>
        <sz val="10"/>
        <color theme="1"/>
        <rFont val="Calibri"/>
        <family val="2"/>
        <scheme val="minor"/>
      </rPr>
      <t>{Card_Number}</t>
    </r>
  </si>
  <si>
    <r>
      <t>EDT_SALT_Pay</t>
    </r>
    <r>
      <rPr>
        <b/>
        <sz val="10"/>
        <color theme="1"/>
        <rFont val="Calibri"/>
        <family val="2"/>
        <scheme val="minor"/>
      </rPr>
      <t>{Card_FirstName}</t>
    </r>
  </si>
  <si>
    <r>
      <t>EDT_SALT_Pay</t>
    </r>
    <r>
      <rPr>
        <b/>
        <sz val="10"/>
        <color theme="1"/>
        <rFont val="Calibri"/>
        <family val="2"/>
        <scheme val="minor"/>
      </rPr>
      <t>{Card_LastName}</t>
    </r>
  </si>
  <si>
    <r>
      <t>EDT_SALT_Pay</t>
    </r>
    <r>
      <rPr>
        <b/>
        <sz val="10"/>
        <color theme="1"/>
        <rFont val="Calibri"/>
        <family val="2"/>
        <scheme val="minor"/>
      </rPr>
      <t>{Security_Code}</t>
    </r>
  </si>
  <si>
    <r>
      <t>CHK_SALT_Pay</t>
    </r>
    <r>
      <rPr>
        <b/>
        <sz val="10"/>
        <color theme="1"/>
        <rFont val="Calibri"/>
        <family val="2"/>
        <scheme val="minor"/>
      </rPr>
      <t>{Special_Offers}</t>
    </r>
  </si>
  <si>
    <r>
      <t>CHK_SALT_Pay</t>
    </r>
    <r>
      <rPr>
        <b/>
        <sz val="10"/>
        <color theme="1"/>
        <rFont val="Calibri"/>
        <family val="2"/>
        <scheme val="minor"/>
      </rPr>
      <t>{TermsAndConditions}</t>
    </r>
  </si>
  <si>
    <r>
      <t>NOD_SALT_Confirmation</t>
    </r>
    <r>
      <rPr>
        <b/>
        <sz val="10"/>
        <color theme="1"/>
        <rFont val="Calibri"/>
        <family val="2"/>
        <scheme val="minor"/>
      </rPr>
      <t>{Order_Number}</t>
    </r>
  </si>
  <si>
    <t>EDT_SALT_CreateOrder{Primary_CardNumber}</t>
  </si>
  <si>
    <r>
      <t>EDT_SALT_CreateOrder</t>
    </r>
    <r>
      <rPr>
        <b/>
        <sz val="10"/>
        <color theme="1"/>
        <rFont val="Calibri"/>
        <family val="2"/>
        <scheme val="minor"/>
      </rPr>
      <t>{Primary_CardNumber}</t>
    </r>
  </si>
  <si>
    <t>4111111111111111</t>
  </si>
  <si>
    <t>OrderTotal</t>
  </si>
  <si>
    <t>ProductType</t>
  </si>
  <si>
    <t>ForeignAmount</t>
  </si>
  <si>
    <t>OrderNumber</t>
  </si>
  <si>
    <t>StoreName</t>
  </si>
  <si>
    <t>SelectStore</t>
  </si>
  <si>
    <t>PackOrder</t>
  </si>
  <si>
    <t>PrimaryCardNumber</t>
  </si>
  <si>
    <t>Pre-Req</t>
  </si>
  <si>
    <t>FraudOrdersInReview</t>
  </si>
  <si>
    <t>AdminFraudReviewSettle</t>
  </si>
  <si>
    <t>AdminFraudReviewReject</t>
  </si>
  <si>
    <t>CheckRefundDashBoard</t>
  </si>
  <si>
    <t>RefundCancellation</t>
  </si>
  <si>
    <t>CheckVaultDashBoardView</t>
  </si>
  <si>
    <t>CheckVaultDashBoardOrdersToPack</t>
  </si>
  <si>
    <t>CheckOrdersToPack</t>
  </si>
  <si>
    <t>CheckOrdersToPickUp</t>
  </si>
  <si>
    <t>CheckOrdersToUnpack</t>
  </si>
  <si>
    <t>StorePackCashOrder</t>
  </si>
  <si>
    <t>StorePackCashPassportOrder</t>
  </si>
  <si>
    <t>StoreDayEndOrdersPackedInSafe</t>
  </si>
  <si>
    <t>StoreDayEndOrdersCompleted</t>
  </si>
  <si>
    <t>PickUpCashOrder</t>
  </si>
  <si>
    <t>PickUpCashPassportOrder</t>
  </si>
  <si>
    <t>CancelledPendingUnpackingstore</t>
  </si>
  <si>
    <t>CancelledPendingPackingstore</t>
  </si>
  <si>
    <t>CancelledPendingScheduled</t>
  </si>
  <si>
    <t>RefundDashboardCancellation</t>
  </si>
  <si>
    <t>VaultDashBoardView</t>
  </si>
  <si>
    <t>VaultDashBoardOrdersToPack</t>
  </si>
  <si>
    <t>Currency_Amount</t>
  </si>
  <si>
    <t>Currency][Amount</t>
  </si>
  <si>
    <t>Add_Another_Currency</t>
  </si>
  <si>
    <t>Product_Name][("LST_SALT_FullSite{ProductType_CurrentOrderPage}")][("LST_SALT_FullSite{Currency_CurrentOrderPage}")][("EDT_SALT_FullSite{ForeignAmount_CurrentOrderPage}")</t>
  </si>
  <si>
    <t>Receive_Order</t>
  </si>
  <si>
    <t>EDT_SALT_FullSite{Receive_Your_Order_CreateOrderPage}</t>
  </si>
  <si>
    <t>Shipping_opt</t>
  </si>
  <si>
    <t>Select_Date</t>
  </si>
  <si>
    <t>Currency_Add_Next</t>
  </si>
  <si>
    <t>StorePickUp</t>
  </si>
  <si>
    <t>Cash_CashPassport][LST_SALT_FullSite{ProductType_CurrentOrderPage}][LST_SALT_FullSite{Currency_CurrentOrderPage}][EDT_SALT_FullSite{ForeignAmount_CurrentOrderPage}</t>
  </si>
  <si>
    <t>Home_Delivery</t>
  </si>
  <si>
    <t>GetCurrencySellSpotRate</t>
  </si>
  <si>
    <t>Admin Product Type][Admin Foreign Currency][CurrencyRate</t>
  </si>
  <si>
    <t>SaltAdminLogoutAndClose</t>
  </si>
  <si>
    <t>SiteContect_value</t>
  </si>
  <si>
    <t>Section Name][Field Name</t>
  </si>
  <si>
    <t>Select_Country</t>
  </si>
  <si>
    <t>LST_SALT_Admin{Country}</t>
  </si>
  <si>
    <t>Purchase_Cash</t>
  </si>
  <si>
    <t>Sort_Currencies_Admin</t>
  </si>
  <si>
    <t>Purchase_CashPassport</t>
  </si>
  <si>
    <t>Sort_Cur_CashPassport</t>
  </si>
  <si>
    <t>Salt_URL_launch</t>
  </si>
  <si>
    <t>CheckFraudOrderInReview</t>
  </si>
  <si>
    <t>GetOrderStatus</t>
  </si>
  <si>
    <t>FraudReviewAcceptReject</t>
  </si>
  <si>
    <t>OrderNumber][Action</t>
  </si>
  <si>
    <t>GetOrderPaymentType</t>
  </si>
  <si>
    <t>FraudReview</t>
  </si>
  <si>
    <t>Action][OrderNumber</t>
  </si>
  <si>
    <t>RefundDashBoard</t>
  </si>
  <si>
    <t>DayEndOrdersPackedInSafe</t>
  </si>
  <si>
    <t>DayEndOrdersCompleted</t>
  </si>
  <si>
    <t>PickUpOrder</t>
  </si>
  <si>
    <t>OrdersToUnPack</t>
  </si>
  <si>
    <t>CancelPendingPackingStoreAndHome</t>
  </si>
  <si>
    <t>OrdersToPack</t>
  </si>
  <si>
    <t>MakeOrderCancelledPendingRefund</t>
  </si>
  <si>
    <t>OrderNumber][PrimaryCardNumber][TrackingID</t>
  </si>
  <si>
    <t>PackOrderStatusCheck</t>
  </si>
  <si>
    <t>OrdersToPickUp</t>
  </si>
  <si>
    <t>CountryLoadBeforeExecution</t>
  </si>
  <si>
    <t>Currency</t>
  </si>
  <si>
    <t>Amount</t>
  </si>
  <si>
    <t>Product_Name</t>
  </si>
  <si>
    <t>("LST_SALT_FullSite{ProductType_CurrentOrderPage}")</t>
  </si>
  <si>
    <t>("LST_SALT_FullSite{Currency_CurrentOrderPage}")</t>
  </si>
  <si>
    <t>("EDT_SALT_FullSite{ForeignAmount_CurrentOrderPage}")</t>
  </si>
  <si>
    <t>Cash_CashPassport</t>
  </si>
  <si>
    <t>LST_SALT_FullSite{ProductType_CurrentOrderPage}</t>
  </si>
  <si>
    <t>LST_SALT_FullSite{Currency_CurrentOrderPage}</t>
  </si>
  <si>
    <t>EDT_SALT_FullSite{ForeignAmount_CurrentOrderPage}</t>
  </si>
  <si>
    <t>Admin Product Type</t>
  </si>
  <si>
    <t>Admin Foreign Currency</t>
  </si>
  <si>
    <t>CurrencyRate</t>
  </si>
  <si>
    <t>Section Name</t>
  </si>
  <si>
    <t>Field Name</t>
  </si>
  <si>
    <t>CustomerName</t>
  </si>
  <si>
    <t>PickupDate</t>
  </si>
  <si>
    <t>CashPassportPAN</t>
  </si>
  <si>
    <t>ProductTotal</t>
  </si>
  <si>
    <t>PANs</t>
  </si>
  <si>
    <t>TrackingID</t>
  </si>
  <si>
    <t>FraudAction</t>
  </si>
  <si>
    <t>Settle</t>
  </si>
  <si>
    <t>Reject</t>
  </si>
  <si>
    <r>
      <t>("LST_SALT_FullSite</t>
    </r>
    <r>
      <rPr>
        <b/>
        <sz val="10"/>
        <color theme="1"/>
        <rFont val="Calibri"/>
        <family val="2"/>
        <scheme val="minor"/>
      </rPr>
      <t>{ProductType_CurrentOrderPage}")</t>
    </r>
  </si>
  <si>
    <r>
      <t>("LST_SALT_FullSite</t>
    </r>
    <r>
      <rPr>
        <b/>
        <sz val="10"/>
        <color theme="1"/>
        <rFont val="Calibri"/>
        <family val="2"/>
        <scheme val="minor"/>
      </rPr>
      <t>{Currency_CurrentOrderPage}")</t>
    </r>
  </si>
  <si>
    <r>
      <t>("EDT_SALT_FullSite</t>
    </r>
    <r>
      <rPr>
        <b/>
        <sz val="10"/>
        <color theme="1"/>
        <rFont val="Calibri"/>
        <family val="2"/>
        <scheme val="minor"/>
      </rPr>
      <t>{ForeignAmount_CurrentOrderPage}")</t>
    </r>
  </si>
  <si>
    <r>
      <t>EDT_SALT_FullSite</t>
    </r>
    <r>
      <rPr>
        <b/>
        <sz val="10"/>
        <color theme="1"/>
        <rFont val="Calibri"/>
        <family val="2"/>
        <scheme val="minor"/>
      </rPr>
      <t>{Receive_Your_Order_CreateOrderPage}</t>
    </r>
  </si>
  <si>
    <r>
      <t>LST_SALT_FullSite</t>
    </r>
    <r>
      <rPr>
        <b/>
        <sz val="10"/>
        <color theme="1"/>
        <rFont val="Calibri"/>
        <family val="2"/>
        <scheme val="minor"/>
      </rPr>
      <t>{ProductType_CurrentOrderPage}</t>
    </r>
  </si>
  <si>
    <r>
      <t>LST_SALT_FullSite</t>
    </r>
    <r>
      <rPr>
        <b/>
        <sz val="10"/>
        <color theme="1"/>
        <rFont val="Calibri"/>
        <family val="2"/>
        <scheme val="minor"/>
      </rPr>
      <t>{Currency_CurrentOrderPage}</t>
    </r>
  </si>
  <si>
    <r>
      <t>EDT_SALT_FullSite</t>
    </r>
    <r>
      <rPr>
        <b/>
        <sz val="10"/>
        <color theme="1"/>
        <rFont val="Calibri"/>
        <family val="2"/>
        <scheme val="minor"/>
      </rPr>
      <t>{ForeignAmount_CurrentOrderPage}</t>
    </r>
  </si>
  <si>
    <r>
      <t>LST_SALT_Admin</t>
    </r>
    <r>
      <rPr>
        <b/>
        <sz val="10"/>
        <color theme="1"/>
        <rFont val="Calibri"/>
        <family val="2"/>
        <scheme val="minor"/>
      </rPr>
      <t>{Country}</t>
    </r>
  </si>
  <si>
    <t>SecondaryCardNumber</t>
  </si>
  <si>
    <t>OrderNumber][PrimaryCardNumber][SecondaryCardNumber][StoreName</t>
  </si>
  <si>
    <t>AdminCancelPendingUnpckingStore</t>
  </si>
  <si>
    <t>Salt_Login</t>
  </si>
  <si>
    <t>Salt_Logout</t>
  </si>
  <si>
    <t>CallCenter_SubmitNewOrder</t>
  </si>
  <si>
    <t>ChangeOrderIDPickUpDate</t>
  </si>
  <si>
    <t>HappyPath_SingleProduct_AUS</t>
  </si>
  <si>
    <t>HappyPath_MultipleProduct_AUS</t>
  </si>
  <si>
    <t>PurchaseFunnel_SingleProduct_AUS</t>
  </si>
  <si>
    <t>PurchaseFunnel_MultipleProduct_AUS</t>
  </si>
  <si>
    <t>CheckCallCenterOptions</t>
  </si>
  <si>
    <t>VerifySubmitNewOrderOption</t>
  </si>
  <si>
    <t>PartnerName][PartnerID</t>
  </si>
  <si>
    <t>CurrentOrderPage</t>
  </si>
  <si>
    <t>ProductType][ForeignCurrency][ForeignAmount][Foreign_CurrencyCode][LocalAmount][Local_CurrencyCode</t>
  </si>
  <si>
    <t>OrderSearchTC</t>
  </si>
  <si>
    <t>OrderNumber][StoreName</t>
  </si>
  <si>
    <t>PackOrderFirst</t>
  </si>
  <si>
    <t>OrderNumber][PrimaryCardNumber</t>
  </si>
  <si>
    <t>ChangeOrderID</t>
  </si>
  <si>
    <t>ChangePickUpDate</t>
  </si>
  <si>
    <t>Verify_Vault</t>
  </si>
  <si>
    <t>Salt_Login][EnterFirstOrderDetail][VerifyFirstOrder][AddOrder][ValidateOrderSummary][EnterShippingLocation][SelectFulfilmentOption][DeliveryDate][PayAus][Confirmation][Salt_Logout</t>
  </si>
  <si>
    <t>Salt_Login][PF_EnterFirstOrderDetail][EnterFirstOrderDetail][VerifyFirstOrder][ValidateOrderSummary][AddOrder][EnterShippingLocation][EnterShippingLocation][EnterShippingLocation][EnterShippingLocation][EnterShippingLocation][PF_ShippingOptions][SelectFulfilmentOption][DeliveryDate][PayAus][Confirmation][Salt_Logout</t>
  </si>
  <si>
    <t>ValidateOrderSummary</t>
  </si>
  <si>
    <t>Buy_Product][LST_SALT_Home{Foreign_Currency}][Actual_ForeignAmount][Actual_LocalAmount][LBL_SALT_Home{Foreign_CurrencyCode}][Local_CurrencyCode][Availability_Message][PricePromise_Message][EDT_SALT_CreateOrder{Primary_CardNumber}</t>
  </si>
  <si>
    <t>Add_OrderType][Add_ProductType][Add_ForeignCurrency][Add_ForeignAmount][Add_Foreign_CurrencyCode][Add_LocalAmount][Add_Local_CurrencyCode][Add_ActualForeignAmount</t>
  </si>
  <si>
    <t>Selected_DeliveryCost][NOD_SALT_Confirmation{Order_Number}][EDT_SALT_Pay{Street_Address}][EDT_SALT_Pay{Apartment_Number}][EDT_SALT_Pay{City}][EDT_SALT_Pay{Zip}][Order_Total</t>
  </si>
  <si>
    <t>GetAdminDetails</t>
  </si>
  <si>
    <t>PF_EnterFirstOrderDetail</t>
  </si>
  <si>
    <t>PF_ShippingOptions</t>
  </si>
  <si>
    <t>EnterShippingLocation</t>
  </si>
  <si>
    <t>EDT_SALT_ShippingOption{Location}][Validation_Type</t>
  </si>
  <si>
    <t>SelectFulfilmentOption</t>
  </si>
  <si>
    <t>PayAus</t>
  </si>
  <si>
    <t>PayNZ</t>
  </si>
  <si>
    <t>LST_SALT_Pay{Title}][EDT_SALT_Pay{FirstName}][EDT_SALT_Pay{MiddleName}][EDT_SALT_Pay{LastName}][LST_SALT_PayAus{DOB_Day}][LST_SALT_PayAus{DOB_Month}][LST_SALT_PayAus{DOB_Year}][LST_SALT_Pay{ID_Type}][LST_SALT_Pay{CountryOfIssue}][CHK_SALT_PayNZ{AdditionalIDRequired}][EDT_SALT_Pay{ID_Number}][EDT_SALT_Pay{Confirm_IDNumber}][LST_SALT_PayAus{IDExpiry_Day}][LST_SALT_PayAus{IDExpiry_Month}][LST_SALT_PayAus{IDExpiry_Year}][EDT_SALT_Pay{Mother_MaidenName}][EDT_SALT_Pay{Cell_Phone}][EDT_SALT_Pay{Home_Phone}][EDT_SALT_Pay{Email_Address}][EDT_SALT_Pay{Confirm_EmailAddress}][EDT_SALT_Pay{Street_Address}][EDT_SALT_PayAus{Suburb}][EDT_SALT_Pay{City}][EDT_SALT_Pay{Zip}][LST_SALT_Pay{Card_Type}][EDT_SALT_Pay{Card_Number}][EDT_SALT_Pay{Card_FirstName}][EDT_SALT_Pay{Card_LastName}][EDT_SALT_Pay{Security_Code}][LST_SALT_PayAus{CardExpiry_Month}][LST_SALT_PayAus{CardExpiry_Year}][CHK_SALT_PayAus{Use_Residential}][EDT_SALT_PayAus{Billing_StreetAddress}][EDT_SALT_PayAus{Billing_Suburb}][EDT_SALT_PayAus{Billing_City}][EDT_SALT_PayAus{Billing_Postcode}][CHK_SALT_Pay{Special_Offers}][CHK_SALT_Pay{TermsAndConditions}][Order_Total</t>
  </si>
  <si>
    <t>PayCan</t>
  </si>
  <si>
    <t>LST_SALT_Pay{Title}][EDT_SALT_Pay{FirstName}][EDT_SALT_Pay{MiddleName}][EDT_SALT_Pay{LastName}][LST_SALT_Pay{DOB_MM}][LST_SALT_Pay{DOB_DD}][LST_SALT_Pay{DOB_YYYY}][LST_SALT_Pay{ID_Type}][LST_SALT_Pay{CountryOfIssue}][EDT_SALT_Pay{ID_Number}][EDT_SALT_Pay{Confirm_IDNumber}][LST_SALT_Pay{IDExpiry_MM}][LST_SALT_Pay{IDExpiry_DD}][LST_SALT_Pay{IDExpiry_YYYY}][EDT_SALT_Pay{Mother_MaidenName}][EDT_SALT_Pay{Cell_Phone}][EDT_SALT_Pay{Home_Phone}][EDT_SALT_Pay{Email_Address}][EDT_SALT_Pay{Confirm_EmailAddress}][EDT_SALT_Pay{Street_Address}][EDT_SALT_Pay{Apartment_Number}][EDT_SALT_Pay{City}][LST_SALT_Pay{State}][EDT_SALT_Pay{Zip}][LST_SALT_Pay{Card_Type}][EDT_SALT_Pay{Card_Number}][EDT_SALT_Pay{Card_FirstName}][EDT_SALT_Pay{Card_LastName}][EDT_SALT_Pay{Security_Code}][LST_SALT_Pay{CardExpiry_MM}][LST_SALT_Pay{CardExpiry_YYYY}][CHK_SALT_Pay{Special_Offers}][CHK_SALT_Pay{TermsAndConditions}][Order_Total</t>
  </si>
  <si>
    <t>EditOrder</t>
  </si>
  <si>
    <t>Edit_OrderNumber][Edit_ProductType][Edit_ForeignCurrency][Edit_ForeignAmount][Edit_Foreign_CurrencyCode][Edit_LocalAmount][Edit_Local_CurrencyCode][Edit_ActualForeignAmount</t>
  </si>
  <si>
    <t>PF_DeliveryDate</t>
  </si>
  <si>
    <t>Change_OrderDetail</t>
  </si>
  <si>
    <t>Change_ShippingOptions</t>
  </si>
  <si>
    <t>Change_DeliveryDate</t>
  </si>
  <si>
    <t>PF_Pay_Validation</t>
  </si>
  <si>
    <t>Order_Total</t>
  </si>
  <si>
    <t>AUSCountry</t>
  </si>
  <si>
    <t>FullPayment</t>
  </si>
  <si>
    <t>PartialPayment</t>
  </si>
  <si>
    <t>HigherPayment</t>
  </si>
  <si>
    <t>IgnorePayment</t>
  </si>
  <si>
    <t>BPAY_Payments</t>
  </si>
  <si>
    <t>OrderNumber][ActionName][Payment</t>
  </si>
  <si>
    <t>Add_ActualForeignAmount</t>
  </si>
  <si>
    <t>SSN</t>
  </si>
  <si>
    <t>LST_SALT_Pay{CardExpiry_MM}</t>
  </si>
  <si>
    <t>LST_SALT_Pay{CardExpiry_YYYY}</t>
  </si>
  <si>
    <t>Store_Name</t>
  </si>
  <si>
    <t>Airport_Name</t>
  </si>
  <si>
    <t>Validation_Type</t>
  </si>
  <si>
    <t>LST_SALT_PayAus{DOB_Day}</t>
  </si>
  <si>
    <t>LST_SALT_PayAus{DOB_Month}</t>
  </si>
  <si>
    <t>LST_SALT_PayAus{DOB_Year}</t>
  </si>
  <si>
    <t>LST_SALT_PayAus{IDExpiry_Day}</t>
  </si>
  <si>
    <t>LST_SALT_PayAus{IDExpiry_Month}</t>
  </si>
  <si>
    <t>LST_SALT_PayAus{IDExpiry_Year}</t>
  </si>
  <si>
    <t>EDT_SALT_PayAus{Suburb}</t>
  </si>
  <si>
    <t>LST_SALT_PayAus{CardExpiry_Month}</t>
  </si>
  <si>
    <t>LST_SALT_PayAus{CardExpiry_Year}</t>
  </si>
  <si>
    <t>CHK_SALT_PayAus{Use_Residential}</t>
  </si>
  <si>
    <t>EDT_SALT_PayAus{Billing_StreetAddress}</t>
  </si>
  <si>
    <t>EDT_SALT_PayAus{Billing_Suburb}</t>
  </si>
  <si>
    <t>EDT_SALT_PayAus{Billing_City}</t>
  </si>
  <si>
    <t>EDT_SALT_PayAus{Billing_Postcode}</t>
  </si>
  <si>
    <t>CHK_SALT_PayNZ{AdditionalIDRequired}</t>
  </si>
  <si>
    <t>LST_SALT_Pay{State}</t>
  </si>
  <si>
    <t>Edit_OrderNumber</t>
  </si>
  <si>
    <t>Edit_ProductType</t>
  </si>
  <si>
    <t>Edit_ForeignCurrency</t>
  </si>
  <si>
    <t>Edit_ForeignAmount</t>
  </si>
  <si>
    <t>Edit_Foreign_CurrencyCode</t>
  </si>
  <si>
    <t>Edit_LocalAmount</t>
  </si>
  <si>
    <t>Edit_Local_CurrencyCode</t>
  </si>
  <si>
    <t>Edit_ActualForeignAmount</t>
  </si>
  <si>
    <t>PartnerName</t>
  </si>
  <si>
    <t>PartnerID</t>
  </si>
  <si>
    <t>ForeignCurrency</t>
  </si>
  <si>
    <t>Foreign_CurrencyCode</t>
  </si>
  <si>
    <t>LocalAmount</t>
  </si>
  <si>
    <t>EDT_SALT_ChangeID{NewCustName}</t>
  </si>
  <si>
    <t>LST_SALT_ChangeID{IDType}</t>
  </si>
  <si>
    <t>LST_SALT_ChangeID{Country}</t>
  </si>
  <si>
    <t>LST_SALT_ChangeID{State}</t>
  </si>
  <si>
    <t>EDT_SALT_ChangeID{IdNumber}</t>
  </si>
  <si>
    <t>LST_SALT_ChangeID{ExpiryMonth}</t>
  </si>
  <si>
    <t>LST_SALT_ChangeID{ExpiryDay}</t>
  </si>
  <si>
    <t>LST_SALT_ChangeID{ExpiryYear}</t>
  </si>
  <si>
    <t>LST_SALT_ChangeID{DOBMonth}</t>
  </si>
  <si>
    <t>LST_SALT_ChangeID{DOBDay}</t>
  </si>
  <si>
    <t>LST_SALT_ChangeID{DOBYear}</t>
  </si>
  <si>
    <t>ActionName</t>
  </si>
  <si>
    <t>Payment</t>
  </si>
  <si>
    <r>
      <t>LST_SALT_Pay</t>
    </r>
    <r>
      <rPr>
        <b/>
        <sz val="10"/>
        <color theme="1"/>
        <rFont val="Calibri"/>
        <family val="2"/>
        <scheme val="minor"/>
      </rPr>
      <t>{CardExpiry_MM}</t>
    </r>
  </si>
  <si>
    <r>
      <t>LST_SALT_Pay</t>
    </r>
    <r>
      <rPr>
        <b/>
        <sz val="10"/>
        <color theme="1"/>
        <rFont val="Calibri"/>
        <family val="2"/>
        <scheme val="minor"/>
      </rPr>
      <t>{CardExpiry_YYYY}</t>
    </r>
  </si>
  <si>
    <r>
      <t>LST_SALT_PayAus</t>
    </r>
    <r>
      <rPr>
        <b/>
        <sz val="10"/>
        <color theme="1"/>
        <rFont val="Calibri"/>
        <family val="2"/>
        <scheme val="minor"/>
      </rPr>
      <t>{DOB_Day}</t>
    </r>
  </si>
  <si>
    <r>
      <t>LST_SALT_PayAus</t>
    </r>
    <r>
      <rPr>
        <b/>
        <sz val="10"/>
        <color theme="1"/>
        <rFont val="Calibri"/>
        <family val="2"/>
        <scheme val="minor"/>
      </rPr>
      <t>{DOB_Month}</t>
    </r>
  </si>
  <si>
    <r>
      <t>LST_SALT_PayAus</t>
    </r>
    <r>
      <rPr>
        <b/>
        <sz val="10"/>
        <color theme="1"/>
        <rFont val="Calibri"/>
        <family val="2"/>
        <scheme val="minor"/>
      </rPr>
      <t>{DOB_Year}</t>
    </r>
  </si>
  <si>
    <r>
      <t>LST_SALT_PayAus</t>
    </r>
    <r>
      <rPr>
        <b/>
        <sz val="10"/>
        <color theme="1"/>
        <rFont val="Calibri"/>
        <family val="2"/>
        <scheme val="minor"/>
      </rPr>
      <t>{IDExpiry_Day}</t>
    </r>
  </si>
  <si>
    <r>
      <t>LST_SALT_PayAus</t>
    </r>
    <r>
      <rPr>
        <b/>
        <sz val="10"/>
        <color theme="1"/>
        <rFont val="Calibri"/>
        <family val="2"/>
        <scheme val="minor"/>
      </rPr>
      <t>{IDExpiry_Month}</t>
    </r>
  </si>
  <si>
    <r>
      <t>LST_SALT_PayAus</t>
    </r>
    <r>
      <rPr>
        <b/>
        <sz val="10"/>
        <color theme="1"/>
        <rFont val="Calibri"/>
        <family val="2"/>
        <scheme val="minor"/>
      </rPr>
      <t>{IDExpiry_Year}</t>
    </r>
  </si>
  <si>
    <r>
      <t>EDT_SALT_PayAus</t>
    </r>
    <r>
      <rPr>
        <b/>
        <sz val="10"/>
        <color theme="1"/>
        <rFont val="Calibri"/>
        <family val="2"/>
        <scheme val="minor"/>
      </rPr>
      <t>{Suburb}</t>
    </r>
  </si>
  <si>
    <r>
      <t>LST_SALT_PayAus</t>
    </r>
    <r>
      <rPr>
        <b/>
        <sz val="10"/>
        <color theme="1"/>
        <rFont val="Calibri"/>
        <family val="2"/>
        <scheme val="minor"/>
      </rPr>
      <t>{CardExpiry_Month}</t>
    </r>
  </si>
  <si>
    <r>
      <t>LST_SALT_PayAus</t>
    </r>
    <r>
      <rPr>
        <b/>
        <sz val="10"/>
        <color theme="1"/>
        <rFont val="Calibri"/>
        <family val="2"/>
        <scheme val="minor"/>
      </rPr>
      <t>{CardExpiry_Year}</t>
    </r>
  </si>
  <si>
    <r>
      <t>CHK_SALT_PayAus</t>
    </r>
    <r>
      <rPr>
        <b/>
        <sz val="10"/>
        <color theme="1"/>
        <rFont val="Calibri"/>
        <family val="2"/>
        <scheme val="minor"/>
      </rPr>
      <t>{Use_Residential}</t>
    </r>
  </si>
  <si>
    <r>
      <t>EDT_SALT_PayAus</t>
    </r>
    <r>
      <rPr>
        <b/>
        <sz val="10"/>
        <color theme="1"/>
        <rFont val="Calibri"/>
        <family val="2"/>
        <scheme val="minor"/>
      </rPr>
      <t>{Billing_StreetAddress}</t>
    </r>
  </si>
  <si>
    <r>
      <t>EDT_SALT_PayAus</t>
    </r>
    <r>
      <rPr>
        <b/>
        <sz val="10"/>
        <color theme="1"/>
        <rFont val="Calibri"/>
        <family val="2"/>
        <scheme val="minor"/>
      </rPr>
      <t>{Billing_Suburb}</t>
    </r>
  </si>
  <si>
    <r>
      <t>EDT_SALT_PayAus</t>
    </r>
    <r>
      <rPr>
        <b/>
        <sz val="10"/>
        <color theme="1"/>
        <rFont val="Calibri"/>
        <family val="2"/>
        <scheme val="minor"/>
      </rPr>
      <t>{Billing_City}</t>
    </r>
  </si>
  <si>
    <r>
      <t>EDT_SALT_PayAus</t>
    </r>
    <r>
      <rPr>
        <b/>
        <sz val="10"/>
        <color theme="1"/>
        <rFont val="Calibri"/>
        <family val="2"/>
        <scheme val="minor"/>
      </rPr>
      <t>{Billing_Postcode}</t>
    </r>
  </si>
  <si>
    <r>
      <t>CHK_SALT_PayNZ</t>
    </r>
    <r>
      <rPr>
        <b/>
        <sz val="10"/>
        <color theme="1"/>
        <rFont val="Calibri"/>
        <family val="2"/>
        <scheme val="minor"/>
      </rPr>
      <t>{AdditionalIDRequired}</t>
    </r>
  </si>
  <si>
    <r>
      <t>LST_SALT_Pay</t>
    </r>
    <r>
      <rPr>
        <b/>
        <sz val="10"/>
        <color theme="1"/>
        <rFont val="Calibri"/>
        <family val="2"/>
        <scheme val="minor"/>
      </rPr>
      <t>{State}</t>
    </r>
  </si>
  <si>
    <r>
      <t>EDT_SALT_ChangeID</t>
    </r>
    <r>
      <rPr>
        <b/>
        <sz val="10"/>
        <color theme="1"/>
        <rFont val="Calibri"/>
        <family val="2"/>
        <scheme val="minor"/>
      </rPr>
      <t>{NewCustName}</t>
    </r>
  </si>
  <si>
    <r>
      <t>LST_SALT_ChangeID</t>
    </r>
    <r>
      <rPr>
        <b/>
        <sz val="10"/>
        <color theme="1"/>
        <rFont val="Calibri"/>
        <family val="2"/>
        <scheme val="minor"/>
      </rPr>
      <t>{IDType}</t>
    </r>
  </si>
  <si>
    <r>
      <t>LST_SALT_ChangeID</t>
    </r>
    <r>
      <rPr>
        <b/>
        <sz val="10"/>
        <color theme="1"/>
        <rFont val="Calibri"/>
        <family val="2"/>
        <scheme val="minor"/>
      </rPr>
      <t>{Country}</t>
    </r>
  </si>
  <si>
    <r>
      <t>LST_SALT_ChangeID</t>
    </r>
    <r>
      <rPr>
        <b/>
        <sz val="10"/>
        <color theme="1"/>
        <rFont val="Calibri"/>
        <family val="2"/>
        <scheme val="minor"/>
      </rPr>
      <t>{State}</t>
    </r>
  </si>
  <si>
    <r>
      <t>EDT_SALT_ChangeID</t>
    </r>
    <r>
      <rPr>
        <b/>
        <sz val="10"/>
        <color theme="1"/>
        <rFont val="Calibri"/>
        <family val="2"/>
        <scheme val="minor"/>
      </rPr>
      <t>{IdNumber}</t>
    </r>
  </si>
  <si>
    <r>
      <t>LST_SALT_ChangeID</t>
    </r>
    <r>
      <rPr>
        <b/>
        <sz val="10"/>
        <color theme="1"/>
        <rFont val="Calibri"/>
        <family val="2"/>
        <scheme val="minor"/>
      </rPr>
      <t>{ExpiryMonth}</t>
    </r>
  </si>
  <si>
    <r>
      <t>LST_SALT_ChangeID</t>
    </r>
    <r>
      <rPr>
        <b/>
        <sz val="10"/>
        <color theme="1"/>
        <rFont val="Calibri"/>
        <family val="2"/>
        <scheme val="minor"/>
      </rPr>
      <t>{ExpiryDay}</t>
    </r>
  </si>
  <si>
    <r>
      <t>LST_SALT_ChangeID</t>
    </r>
    <r>
      <rPr>
        <b/>
        <sz val="10"/>
        <color theme="1"/>
        <rFont val="Calibri"/>
        <family val="2"/>
        <scheme val="minor"/>
      </rPr>
      <t>{ExpiryYear}</t>
    </r>
  </si>
  <si>
    <r>
      <t>LST_SALT_ChangeID</t>
    </r>
    <r>
      <rPr>
        <b/>
        <sz val="10"/>
        <color theme="1"/>
        <rFont val="Calibri"/>
        <family val="2"/>
        <scheme val="minor"/>
      </rPr>
      <t>{DOBMonth}</t>
    </r>
  </si>
  <si>
    <r>
      <t>LST_SALT_ChangeID</t>
    </r>
    <r>
      <rPr>
        <b/>
        <sz val="10"/>
        <color theme="1"/>
        <rFont val="Calibri"/>
        <family val="2"/>
        <scheme val="minor"/>
      </rPr>
      <t>{DOBDay}</t>
    </r>
  </si>
  <si>
    <r>
      <t>LST_SALT_ChangeID</t>
    </r>
    <r>
      <rPr>
        <b/>
        <sz val="10"/>
        <color theme="1"/>
        <rFont val="Calibri"/>
        <family val="2"/>
        <scheme val="minor"/>
      </rPr>
      <t>{DOBYear}</t>
    </r>
  </si>
  <si>
    <t>CaptureAdminDetails</t>
  </si>
  <si>
    <t>Positive</t>
  </si>
  <si>
    <t>Store_Pickup</t>
  </si>
  <si>
    <t>Mr</t>
  </si>
  <si>
    <t>Vikram</t>
  </si>
  <si>
    <t>Kapale</t>
  </si>
  <si>
    <t>Australia</t>
  </si>
  <si>
    <t>26</t>
  </si>
  <si>
    <t>April</t>
  </si>
  <si>
    <t>October</t>
  </si>
  <si>
    <t>B</t>
  </si>
  <si>
    <t>G</t>
  </si>
  <si>
    <t>LS Road</t>
  </si>
  <si>
    <t>Sydney</t>
  </si>
  <si>
    <t>false</t>
  </si>
  <si>
    <t>true</t>
  </si>
  <si>
    <t>Visa</t>
  </si>
  <si>
    <t>New South Wales</t>
  </si>
  <si>
    <t>Payment_Type</t>
  </si>
  <si>
    <t>Another_Currency</t>
  </si>
  <si>
    <t>November</t>
  </si>
  <si>
    <t>Arthur Road Victoria</t>
  </si>
  <si>
    <t>NA</t>
  </si>
  <si>
    <t>Copy_TC_to_TC][OrderSearchTC][CountryLoadBeforeExecution][PackOrder</t>
  </si>
  <si>
    <t>Copy_TC_to_TC][OrderSearchTC][CountryLoadBeforeExecution][PackOrder][PickUpOrder</t>
  </si>
  <si>
    <t>May</t>
  </si>
  <si>
    <t>Salt_Login][GetAdminDetails][Salt_Logout</t>
  </si>
  <si>
    <t>LST_SALT_Admin{Country}][Store_Name][Airport_Name</t>
  </si>
  <si>
    <t>New Zealand</t>
  </si>
  <si>
    <t>United States of America, Dollar</t>
  </si>
  <si>
    <t>John</t>
  </si>
  <si>
    <t>Nilesh</t>
  </si>
  <si>
    <t>1988</t>
  </si>
  <si>
    <t>January</t>
  </si>
  <si>
    <t>March</t>
  </si>
  <si>
    <t>MakeOrderPayment</t>
  </si>
  <si>
    <t>PaymentCountries</t>
  </si>
  <si>
    <t>PaymentType</t>
  </si>
  <si>
    <t>Bank Transfer</t>
  </si>
  <si>
    <t>Bill Payment</t>
  </si>
  <si>
    <t>Japan</t>
  </si>
  <si>
    <t>BPAY</t>
  </si>
  <si>
    <t>PaymentFrom</t>
  </si>
  <si>
    <t>SourceFolder</t>
  </si>
  <si>
    <t>DestinationFolder</t>
  </si>
  <si>
    <t>OrderAmt</t>
  </si>
  <si>
    <t>BPAYbillpayBankTransferPaymentFull</t>
  </si>
  <si>
    <t>BPAYbillpayBankTransferPaymentPartial</t>
  </si>
  <si>
    <t>BPAYbillpayBankTransferPaymentHigher</t>
  </si>
  <si>
    <t>Copy_TC_to_TC][MakeOrderPayment</t>
  </si>
  <si>
    <t>Vikram Kapale</t>
  </si>
  <si>
    <t>4812</t>
  </si>
  <si>
    <t>Sydney Airport (T1 International Terminal)</t>
  </si>
  <si>
    <t>testing</t>
  </si>
  <si>
    <t>Victoria</t>
  </si>
  <si>
    <t>NOD_SALT_Confirmation{Order_Number},Order_Total</t>
  </si>
  <si>
    <t>OrderNumber,OrderAmt</t>
  </si>
  <si>
    <t>UserPayment</t>
  </si>
  <si>
    <t>PaymentCountries][PaymentType][OrderNumber][PaymentFrom][SourceFolder][DestinationFolder][OrderAmt][UserPayment</t>
  </si>
  <si>
    <t>Full Payment</t>
  </si>
  <si>
    <t>Partial Payment</t>
  </si>
  <si>
    <t>Higher Payment</t>
  </si>
  <si>
    <t>queen victoria building</t>
  </si>
  <si>
    <t>Buy Cash</t>
  </si>
  <si>
    <t>0989898989</t>
  </si>
  <si>
    <t>sydney</t>
  </si>
  <si>
    <t>PayUSA</t>
  </si>
  <si>
    <t>Selected_FulfilmentOption][LST_SALT_Pay{Title}][EDT_SALT_Pay{FirstName}][EDT_SALT_Pay{MiddleName}][EDT_SALT_Pay{LastName}][LST_SALT_Pay{DOB_MM}][LST_SALT_Pay{DOB_DD}][LST_SALT_Pay{DOB_YYYY}][EDT_SALT_Pay{Mother_MaidenName}][LST_SALT_Pay{ID_Type}][LST_SALT_Pay{CountryOfIssue}][LST_SALT_Pay{StateOfIssue}][EDT_SALT_Pay{ID_Number}][EDT_SALT_Pay{Confirm_IDNumber}][LST_SALT_Pay{IDExpiry_MM}][LST_SALT_Pay{IDExpiry_DD}][LST_SALT_Pay{IDExpiry_YYYY}][SSN][EDT_SALT_Pay{Cell_Phone}][EDT_SALT_Pay{Home_Phone}][EDT_SALT_Pay{Email_Address}][EDT_SALT_Pay{Confirm_EmailAddress}][EDT_SALT_Pay{Street_Address}][EDT_SALT_Pay{Apartment_Number}][EDT_SALT_Pay{City}][Residential_State][EDT_SALT_Pay{Zip}][LST_SALT_Pay{Card_Type}][EDT_SALT_Pay{Card_Number}][EDT_SALT_Pay{Card_FirstName}][EDT_SALT_Pay{Card_LastName}][EDT_SALT_Pay{Security_Code}][LST_SALT_Pay{CardExpiry_MM}][LST_SALT_Pay{CardExpiry_YYYY}][CHK_SALT_Pay{Special_Offers}][CHK_SALT_Pay{TermsAndConditions}][Order_Total</t>
  </si>
  <si>
    <t>CyberSourceCheck</t>
  </si>
  <si>
    <t>Cybersource][MerchantName][MerUserID][MerPassword</t>
  </si>
  <si>
    <t>Cybersource</t>
  </si>
  <si>
    <t>MerchantName</t>
  </si>
  <si>
    <t>MerUserID</t>
  </si>
  <si>
    <t>MerPassword</t>
  </si>
  <si>
    <t>MobileHomePageProduct_CashStoreCredit</t>
  </si>
  <si>
    <t>MobileHomePageProduct_CashPassportStoreCredit</t>
  </si>
  <si>
    <t>MobileHomePageProduct_Reload</t>
  </si>
  <si>
    <t>MobileStorePackCashOrder</t>
  </si>
  <si>
    <t>MobilePickUpCashOrder</t>
  </si>
  <si>
    <t>MobileStorePackCashPassportOrder</t>
  </si>
  <si>
    <t>MobilePickUpCashPassportOrder</t>
  </si>
  <si>
    <t>EnterFirstOrderDetailMobile</t>
  </si>
  <si>
    <t>FulfilmentType</t>
  </si>
  <si>
    <t>Fulfillment</t>
  </si>
  <si>
    <t>ProductName</t>
  </si>
  <si>
    <t>NIP_SALTMobile_CreateOrder{Foreign_Amount}</t>
  </si>
  <si>
    <t>LST_SALTMobile_CreateOrder{Foreign_Currency}</t>
  </si>
  <si>
    <r>
      <t>NIP_SALTMobile_CreateOrder</t>
    </r>
    <r>
      <rPr>
        <b/>
        <sz val="10"/>
        <color theme="1"/>
        <rFont val="Calibri"/>
        <family val="2"/>
        <scheme val="minor"/>
      </rPr>
      <t>{Foreign_Amount}</t>
    </r>
  </si>
  <si>
    <r>
      <t>LST_SALTMobile_CreateOrder</t>
    </r>
    <r>
      <rPr>
        <b/>
        <sz val="10"/>
        <color theme="1"/>
        <rFont val="Calibri"/>
        <family val="2"/>
        <scheme val="minor"/>
      </rPr>
      <t>{Foreign_Currency}</t>
    </r>
  </si>
  <si>
    <t>ChoosePickUpBranchMobile</t>
  </si>
  <si>
    <t>PayMobileAUS</t>
  </si>
  <si>
    <t>PayMobile</t>
  </si>
  <si>
    <t>LST_SALTMobile_Pay{Title}][EDT_SALTMobile_Pay{FirstName}][EDT_SALTMobile_Pay{MiddleName}][EDT_SALTMobile_Pay{LastName}][LST_SALTMobile_Pay{DOB_MM}][LST_SALTMobile_Pay{DOB_DD}][LST_SALTMobile_Pay{DOB_YYYY}][EIP_SALTMobile_Pay{Email_Address}][EIP_SALTMobile_Pay{Confirm_EmailAddress}][PIP_SALTMobile_Pay{Phone_No}][LST_SALTMobile_Pay{ID_Type}][LST_SALTMobile_Pay{CountryOfIssue}][EDT_SALTMobile_Pay{ID_Number}][EDT_SALTMobile_Pay{Confirm_IDNumber}][LST_SALTMobile_Pay{IDExpiry_MM}][LST_SALTMobile_Pay{IDExpiry_DD}][LST_SALTMobile_Pay{IDExpiry_YYYY}][EDT_SALTMobile_Pay{SSN1}][EDT_SALTMobile_Pay{Street_Address}][EDT_SALTMobile_Pay{Apartment_Number}][EDT_SALTMobile_Pay{City}][LST_SALTMobile_Pay{State}][EDT_SALTMobile_Pay{Zip}][LST_SALTMobile_Pay{Card_Type}][EDT_SALTMobile_Pay{Card_Number}][EDT_SALTMobile_Pay{Card_FirstName}][EDT_SALTMobile_Pay{Card_LastName}][EDT_SALTMobile_Pay{Security_Code}][LST_SALTMobile_Pay{CardExpiry_MM}][LST_SALTMobile_Pay{CardExpiry_YYYY}</t>
  </si>
  <si>
    <t>PayMobileNZ</t>
  </si>
  <si>
    <t>LST_SALTMobile_Pay{Title}][EDT_SALTMobile_Pay{FirstName}][EDT_SALTMobile_Pay{MiddleName}][EDT_SALTMobile_Pay{LastName}][LST_SALTMobile_Pay{DOB_MM}][LST_SALTMobile_Pay{DOB_DD}][LST_SALTMobile_Pay{DOB_YYYY}][EIP_SALTMobile_Pay{Email_Address}][EIP_SALTMobile_Pay{Confirm_EmailAddress}][PIP_SALTMobile_Pay{Phone_No}][LST_SALTMobile_Pay{ID_Type}][LST_SALTMobile_Pay{CountryOfIssue}][EDT_SALTMobile_Pay{ID_Number}][EDT_SALTMobile_Pay{Confirm_IDNumber}][LST_SALTMobile_Pay{IDExpiry_MM}][LST_SALTMobile_Pay{IDExpiry_DD}][LST_SALTMobile_Pay{IDExpiry_YYYY}][EDT_SALTMobile_Pay{MothersMaidenName}][EDT_SALTMobile_Pay{Street_Address}][EDT_SALTMobile_Pay{Apartment_Number}][EDT_SALTMobile_Pay{City}][LST_SALTMobile_Pay{State}][EDT_SALTMobile_Pay{Zip}][LST_SALTMobile_Pay{Payment_Type}][LST_SALTMobile_Pay{Card_Type}][EDT_SALTMobile_Pay{Card_Number}][EDT_SALTMobile_Pay{Card_FirstName}][EDT_SALTMobile_Pay{Card_LastName}][EDT_SALTMobile_Pay{Security_Code}][LST_SALTMobile_Pay{CardExpiry_MM}][LST_SALTMobile_Pay{CardExpiry_YYYY}][CHK_SALTMobile_Pay{UseResidentialAddress}][EDT_SALTMobile_Pay{BillingAddress_Address1}][EDT_SALTMobile_Pay{BillingAddress_Address2}][EDT_SALTMobile_Pay{BillingAddress_City}][LST_SALTMobile_Pay{BillingAddress_StateId}][EDT_SALTMobile_Pay{BillingAddress_PostalCode}</t>
  </si>
  <si>
    <t>PayMobileFRA</t>
  </si>
  <si>
    <t>LST_SALTMobile_Pay{Title}][EDT_SALTMobile_Pay{FirstName}][EDT_SALTMobile_Pay{MiddleName}][EDT_SALTMobile_Pay{LastName}][LST_SALTMobile_Pay{DOB_MM}][LST_SALTMobile_Pay{DOB_DD}][LST_SALTMobile_Pay{DOB_YYYY}][EIP_SALTMobile_Pay{Email_Address}][EIP_SALTMobile_Pay{Confirm_EmailAddress}][PIP_SALTMobile_Pay{Phone_No}][LST_SALTMobile_Pay{ID_Type}][LST_SALTMobile_Pay{CountryOfIssue}][EDT_SALTMobile_Pay{ID_Number}][EDT_SALTMobile_Pay{Confirm_IDNumber}][LST_SALTMobile_Pay{IDExpiry_MM}][LST_SALTMobile_Pay{IDExpiry_DD}][LST_SALTMobile_Pay{IDExpiry_YYYY}][EDT_SALTMobile_Pay{MothersMaidenName}][EDT_SALTMobile_Pay{Street_Address}][EDT_SALTMobile_Pay{Apartment_Number}][EDT_SALTMobile_Pay{City}][LST_SALTMobile_Pay{State}][EDT_SALTMobile_Pay{Zip}][LST_SALTMobile_Pay{Payment_Type}][LST_SALTMobile_Pay{Card_Type}][EDT_SALTMobile_Pay{Card_Number}][EDT_SALTMobile_Pay{Card_FirstName}][EDT_SALTMobile_Pay{Card_LastName}][EDT_SALTMobile_Pay{Security_Code}][LST_SALTMobile_Pay{CardExpiry_MM}][LST_SALTMobile_Pay{CardExpiry_YYYY}</t>
  </si>
  <si>
    <t>PayMobileJPN</t>
  </si>
  <si>
    <t>EDT_SALTMobile_Pay{LastName}][EDT_SALTMobile_Pay{FirstName}][LST_SALTMobile_Pay{DOB_MM}][LST_SALTMobile_Pay{DOB_DD}][LST_SALTMobile_Pay{DOB_YYYY}][EIP_SALTMobile_Pay{Email_Address}][EIP_SALTMobile_Pay{Confirm_EmailAddress}][PIP_SALTMobile_Pay{Phone_No}][LST_SALTMobile_PayJPN{Title}][EDT_SALTMobile_PayJPN{FirstName}][EDT_SALTMobile_PayJPN{LastName}][LST_SALTMobile_Pay{ID_Type}][LST_SALTMobile_Pay{CountryOfIssue}][EDT_SALTMobile_Pay{ID_Number}][EDT_SALTMobile_Pay{Confirm_IDNumber}][LST_SALTMobile_Pay{IDExpiry_MM}][LST_SALTMobile_Pay{IDExpiry_DD}][LST_SALTMobile_Pay{IDExpiry_YYYY}][EDT_SALTMobile_Pay{MothersMaidenName}][EDT_SALTMobile_PayJPN{Zip}][LST_SALTMobile_PayJPN{State}][EDT_SALTMobile_PayJPN{City}][EDT_SALTMobile_PayJPN{Apartment_Number}][EDT_SALTMobile_PayJPN{Street_Address}][LST_SALTMobile_Pay{Payment_Type}][LST_SALTMobile_Pay{Card_Type}][EDT_SALTMobile_Pay{Card_Number}][EDT_SALTMobile_Pay{Card_FirstName}][EDT_SALTMobile_Pay{Card_LastName}][EDT_SALTMobile_Pay{Security_Code}][LST_SALTMobile_Pay{CardExpiry_MM}][LST_SALTMobile_Pay{CardExpiry_YYYY}</t>
  </si>
  <si>
    <t>Mob_OrderSummary</t>
  </si>
  <si>
    <t>LST_SALTMobile_Pay{Title}</t>
  </si>
  <si>
    <t>EDT_SALTMobile_Pay{FirstName}</t>
  </si>
  <si>
    <t>EDT_SALTMobile_Pay{MiddleName}</t>
  </si>
  <si>
    <t>EDT_SALTMobile_Pay{LastName}</t>
  </si>
  <si>
    <t>LST_SALTMobile_Pay{DOB_MM}</t>
  </si>
  <si>
    <t>LST_SALTMobile_Pay{DOB_DD}</t>
  </si>
  <si>
    <t>LST_SALTMobile_Pay{DOB_YYYY}</t>
  </si>
  <si>
    <t>EIP_SALTMobile_Pay{Email_Address}</t>
  </si>
  <si>
    <t>EIP_SALTMobile_Pay{Confirm_EmailAddress}</t>
  </si>
  <si>
    <t>PIP_SALTMobile_Pay{Phone_No}</t>
  </si>
  <si>
    <t>LST_SALTMobile_Pay{ID_Type}</t>
  </si>
  <si>
    <t>LST_SALTMobile_Pay{CountryOfIssue}</t>
  </si>
  <si>
    <t>EDT_SALTMobile_Pay{ID_Number}</t>
  </si>
  <si>
    <t>EDT_SALTMobile_Pay{Confirm_IDNumber}</t>
  </si>
  <si>
    <t>LST_SALTMobile_Pay{IDExpiry_MM}</t>
  </si>
  <si>
    <t>LST_SALTMobile_Pay{IDExpiry_DD}</t>
  </si>
  <si>
    <t>LST_SALTMobile_Pay{IDExpiry_YYYY}</t>
  </si>
  <si>
    <t>EDT_SALTMobile_Pay{SSN1}</t>
  </si>
  <si>
    <t>EDT_SALTMobile_Pay{Street_Address}</t>
  </si>
  <si>
    <t>EDT_SALTMobile_Pay{Apartment_Number}</t>
  </si>
  <si>
    <t>EDT_SALTMobile_Pay{City}</t>
  </si>
  <si>
    <t>LST_SALTMobile_Pay{State}</t>
  </si>
  <si>
    <t>EDT_SALTMobile_Pay{Zip}</t>
  </si>
  <si>
    <t>LST_SALTMobile_Pay{Card_Type}</t>
  </si>
  <si>
    <t>EDT_SALTMobile_Pay{Card_Number}</t>
  </si>
  <si>
    <t>EDT_SALTMobile_Pay{Card_FirstName}</t>
  </si>
  <si>
    <t>EDT_SALTMobile_Pay{Card_LastName}</t>
  </si>
  <si>
    <t>EDT_SALTMobile_Pay{Security_Code}</t>
  </si>
  <si>
    <t>LST_SALTMobile_Pay{CardExpiry_MM}</t>
  </si>
  <si>
    <t>LST_SALTMobile_Pay{CardExpiry_YYYY}</t>
  </si>
  <si>
    <t>EDT_SALTMobile_Pay{MothersMaidenName}</t>
  </si>
  <si>
    <t>LST_SALTMobile_Pay{Payment_Type}</t>
  </si>
  <si>
    <t>CHK_SALTMobile_Pay{UseResidentialAddress}</t>
  </si>
  <si>
    <t>EDT_SALTMobile_Pay{BillingAddress_Address1}</t>
  </si>
  <si>
    <t>EDT_SALTMobile_Pay{BillingAddress_Address2}</t>
  </si>
  <si>
    <t>EDT_SALTMobile_Pay{BillingAddress_City}</t>
  </si>
  <si>
    <t>LST_SALTMobile_Pay{BillingAddress_StateId}</t>
  </si>
  <si>
    <t>EDT_SALTMobile_Pay{BillingAddress_PostalCode}</t>
  </si>
  <si>
    <t>LST_SALTMobile_PayJPN{Title}</t>
  </si>
  <si>
    <t>EDT_SALTMobile_PayJPN{FirstName}</t>
  </si>
  <si>
    <t>EDT_SALTMobile_PayJPN{LastName}</t>
  </si>
  <si>
    <t>EDT_SALTMobile_PayJPN{Zip}</t>
  </si>
  <si>
    <t>LST_SALTMobile_PayJPN{State}</t>
  </si>
  <si>
    <t>EDT_SALTMobile_PayJPN{City}</t>
  </si>
  <si>
    <t>EDT_SALTMobile_PayJPN{Apartment_Number}</t>
  </si>
  <si>
    <t>EDT_SALTMobile_PayJPN{Street_Address}</t>
  </si>
  <si>
    <t>SearchOption][EDT_SALTMobile_StorePickUpBranch{Searchstore}</t>
  </si>
  <si>
    <t>SearchOption</t>
  </si>
  <si>
    <t>EDT_SALTMobile_StorePickUpBranch{Searchstore}</t>
  </si>
  <si>
    <r>
      <t>EDT_SALTMobile_Pay</t>
    </r>
    <r>
      <rPr>
        <b/>
        <sz val="10"/>
        <color theme="1"/>
        <rFont val="Calibri"/>
        <family val="2"/>
        <scheme val="minor"/>
      </rPr>
      <t>{FirstName}</t>
    </r>
  </si>
  <si>
    <r>
      <t>EDT_SALTMobile_Pay</t>
    </r>
    <r>
      <rPr>
        <b/>
        <sz val="10"/>
        <color theme="1"/>
        <rFont val="Calibri"/>
        <family val="2"/>
        <scheme val="minor"/>
      </rPr>
      <t>{MiddleName}</t>
    </r>
  </si>
  <si>
    <r>
      <t>EDT_SALTMobile_Pay</t>
    </r>
    <r>
      <rPr>
        <b/>
        <sz val="10"/>
        <color theme="1"/>
        <rFont val="Calibri"/>
        <family val="2"/>
        <scheme val="minor"/>
      </rPr>
      <t>{LastName}</t>
    </r>
  </si>
  <si>
    <r>
      <t>LST_SALTMobile_Pay</t>
    </r>
    <r>
      <rPr>
        <b/>
        <sz val="10"/>
        <color theme="1"/>
        <rFont val="Calibri"/>
        <family val="2"/>
        <scheme val="minor"/>
      </rPr>
      <t>{DOB_MM}</t>
    </r>
  </si>
  <si>
    <r>
      <t>LST_SALTMobile_Pay</t>
    </r>
    <r>
      <rPr>
        <b/>
        <sz val="10"/>
        <color theme="1"/>
        <rFont val="Calibri"/>
        <family val="2"/>
        <scheme val="minor"/>
      </rPr>
      <t>{DOB_DD}</t>
    </r>
  </si>
  <si>
    <r>
      <t>LST_SALTMobile_Pay</t>
    </r>
    <r>
      <rPr>
        <b/>
        <sz val="10"/>
        <color theme="1"/>
        <rFont val="Calibri"/>
        <family val="2"/>
        <scheme val="minor"/>
      </rPr>
      <t>{DOB_YYYY}</t>
    </r>
  </si>
  <si>
    <r>
      <t>EIP_SALTMobile_Pay</t>
    </r>
    <r>
      <rPr>
        <b/>
        <sz val="10"/>
        <color theme="1"/>
        <rFont val="Calibri"/>
        <family val="2"/>
        <scheme val="minor"/>
      </rPr>
      <t>{Email_Address}</t>
    </r>
  </si>
  <si>
    <r>
      <t>EIP_SALTMobile_Pay</t>
    </r>
    <r>
      <rPr>
        <b/>
        <sz val="10"/>
        <color theme="1"/>
        <rFont val="Calibri"/>
        <family val="2"/>
        <scheme val="minor"/>
      </rPr>
      <t>{Confirm_EmailAddress}</t>
    </r>
  </si>
  <si>
    <r>
      <t>PIP_SALTMobile_Pay</t>
    </r>
    <r>
      <rPr>
        <b/>
        <sz val="10"/>
        <color theme="1"/>
        <rFont val="Calibri"/>
        <family val="2"/>
        <scheme val="minor"/>
      </rPr>
      <t>{Phone_No}</t>
    </r>
  </si>
  <si>
    <r>
      <t>LST_SALTMobile_Pay</t>
    </r>
    <r>
      <rPr>
        <b/>
        <sz val="10"/>
        <color theme="1"/>
        <rFont val="Calibri"/>
        <family val="2"/>
        <scheme val="minor"/>
      </rPr>
      <t>{ID_Type}</t>
    </r>
  </si>
  <si>
    <r>
      <t>LST_SALTMobile_Pay</t>
    </r>
    <r>
      <rPr>
        <b/>
        <sz val="10"/>
        <color theme="1"/>
        <rFont val="Calibri"/>
        <family val="2"/>
        <scheme val="minor"/>
      </rPr>
      <t>{CountryOfIssue}</t>
    </r>
  </si>
  <si>
    <r>
      <t>EDT_SALTMobile_Pay</t>
    </r>
    <r>
      <rPr>
        <b/>
        <sz val="10"/>
        <color theme="1"/>
        <rFont val="Calibri"/>
        <family val="2"/>
        <scheme val="minor"/>
      </rPr>
      <t>{ID_Number}</t>
    </r>
  </si>
  <si>
    <r>
      <t>EDT_SALTMobile_Pay</t>
    </r>
    <r>
      <rPr>
        <b/>
        <sz val="10"/>
        <color theme="1"/>
        <rFont val="Calibri"/>
        <family val="2"/>
        <scheme val="minor"/>
      </rPr>
      <t>{Confirm_IDNumber}</t>
    </r>
  </si>
  <si>
    <r>
      <t>LST_SALTMobile_Pay</t>
    </r>
    <r>
      <rPr>
        <b/>
        <sz val="10"/>
        <color theme="1"/>
        <rFont val="Calibri"/>
        <family val="2"/>
        <scheme val="minor"/>
      </rPr>
      <t>{IDExpiry_MM}</t>
    </r>
  </si>
  <si>
    <r>
      <t>LST_SALTMobile_Pay</t>
    </r>
    <r>
      <rPr>
        <b/>
        <sz val="10"/>
        <color theme="1"/>
        <rFont val="Calibri"/>
        <family val="2"/>
        <scheme val="minor"/>
      </rPr>
      <t>{IDExpiry_DD}</t>
    </r>
  </si>
  <si>
    <r>
      <t>LST_SALTMobile_Pay</t>
    </r>
    <r>
      <rPr>
        <b/>
        <sz val="10"/>
        <color theme="1"/>
        <rFont val="Calibri"/>
        <family val="2"/>
        <scheme val="minor"/>
      </rPr>
      <t>{IDExpiry_YYYY}</t>
    </r>
  </si>
  <si>
    <r>
      <t>EDT_SALTMobile_Pay</t>
    </r>
    <r>
      <rPr>
        <b/>
        <sz val="10"/>
        <color theme="1"/>
        <rFont val="Calibri"/>
        <family val="2"/>
        <scheme val="minor"/>
      </rPr>
      <t>{SSN1}</t>
    </r>
  </si>
  <si>
    <r>
      <t>EDT_SALTMobile_Pay</t>
    </r>
    <r>
      <rPr>
        <b/>
        <sz val="10"/>
        <color theme="1"/>
        <rFont val="Calibri"/>
        <family val="2"/>
        <scheme val="minor"/>
      </rPr>
      <t>{Street_Address}</t>
    </r>
  </si>
  <si>
    <r>
      <t>EDT_SALTMobile_Pay</t>
    </r>
    <r>
      <rPr>
        <b/>
        <sz val="10"/>
        <color theme="1"/>
        <rFont val="Calibri"/>
        <family val="2"/>
        <scheme val="minor"/>
      </rPr>
      <t>{Apartment_Number}</t>
    </r>
  </si>
  <si>
    <r>
      <t>EDT_SALTMobile_Pay</t>
    </r>
    <r>
      <rPr>
        <b/>
        <sz val="10"/>
        <color theme="1"/>
        <rFont val="Calibri"/>
        <family val="2"/>
        <scheme val="minor"/>
      </rPr>
      <t>{City}</t>
    </r>
  </si>
  <si>
    <r>
      <t>LST_SALTMobile_Pay</t>
    </r>
    <r>
      <rPr>
        <b/>
        <sz val="10"/>
        <color theme="1"/>
        <rFont val="Calibri"/>
        <family val="2"/>
        <scheme val="minor"/>
      </rPr>
      <t>{State}</t>
    </r>
  </si>
  <si>
    <r>
      <t>EDT_SALTMobile_Pay</t>
    </r>
    <r>
      <rPr>
        <b/>
        <sz val="10"/>
        <color theme="1"/>
        <rFont val="Calibri"/>
        <family val="2"/>
        <scheme val="minor"/>
      </rPr>
      <t>{Zip}</t>
    </r>
  </si>
  <si>
    <r>
      <t>LST_SALTMobile_Pay</t>
    </r>
    <r>
      <rPr>
        <b/>
        <sz val="10"/>
        <color theme="1"/>
        <rFont val="Calibri"/>
        <family val="2"/>
        <scheme val="minor"/>
      </rPr>
      <t>{Card_Type}</t>
    </r>
  </si>
  <si>
    <r>
      <t>EDT_SALTMobile_Pay</t>
    </r>
    <r>
      <rPr>
        <b/>
        <sz val="10"/>
        <color theme="1"/>
        <rFont val="Calibri"/>
        <family val="2"/>
        <scheme val="minor"/>
      </rPr>
      <t>{Card_Number}</t>
    </r>
  </si>
  <si>
    <r>
      <t>EDT_SALTMobile_Pay</t>
    </r>
    <r>
      <rPr>
        <b/>
        <sz val="10"/>
        <color theme="1"/>
        <rFont val="Calibri"/>
        <family val="2"/>
        <scheme val="minor"/>
      </rPr>
      <t>{Card_FirstName}</t>
    </r>
  </si>
  <si>
    <r>
      <t>EDT_SALTMobile_Pay</t>
    </r>
    <r>
      <rPr>
        <b/>
        <sz val="10"/>
        <color theme="1"/>
        <rFont val="Calibri"/>
        <family val="2"/>
        <scheme val="minor"/>
      </rPr>
      <t>{Card_LastName}</t>
    </r>
  </si>
  <si>
    <r>
      <t>EDT_SALTMobile_Pay</t>
    </r>
    <r>
      <rPr>
        <b/>
        <sz val="10"/>
        <color theme="1"/>
        <rFont val="Calibri"/>
        <family val="2"/>
        <scheme val="minor"/>
      </rPr>
      <t>{Security_Code}</t>
    </r>
  </si>
  <si>
    <r>
      <t>LST_SALTMobile_Pay</t>
    </r>
    <r>
      <rPr>
        <b/>
        <sz val="10"/>
        <color theme="1"/>
        <rFont val="Calibri"/>
        <family val="2"/>
        <scheme val="minor"/>
      </rPr>
      <t>{CardExpiry_MM}</t>
    </r>
  </si>
  <si>
    <r>
      <t>LST_SALTMobile_Pay</t>
    </r>
    <r>
      <rPr>
        <b/>
        <sz val="10"/>
        <color theme="1"/>
        <rFont val="Calibri"/>
        <family val="2"/>
        <scheme val="minor"/>
      </rPr>
      <t>{CardExpiry_YYYY}</t>
    </r>
  </si>
  <si>
    <r>
      <t>EDT_SALTMobile_Pay</t>
    </r>
    <r>
      <rPr>
        <b/>
        <sz val="10"/>
        <color theme="1"/>
        <rFont val="Calibri"/>
        <family val="2"/>
        <scheme val="minor"/>
      </rPr>
      <t>{MothersMaidenName}</t>
    </r>
  </si>
  <si>
    <r>
      <t>LST_SALTMobile_Pay</t>
    </r>
    <r>
      <rPr>
        <b/>
        <sz val="10"/>
        <color theme="1"/>
        <rFont val="Calibri"/>
        <family val="2"/>
        <scheme val="minor"/>
      </rPr>
      <t>{Payment_Type}</t>
    </r>
  </si>
  <si>
    <r>
      <t>CHK_SALTMobile_Pay</t>
    </r>
    <r>
      <rPr>
        <b/>
        <sz val="10"/>
        <color theme="1"/>
        <rFont val="Calibri"/>
        <family val="2"/>
        <scheme val="minor"/>
      </rPr>
      <t>{UseResidentialAddress}</t>
    </r>
  </si>
  <si>
    <r>
      <t>EDT_SALTMobile_Pay</t>
    </r>
    <r>
      <rPr>
        <b/>
        <sz val="10"/>
        <color theme="1"/>
        <rFont val="Calibri"/>
        <family val="2"/>
        <scheme val="minor"/>
      </rPr>
      <t>{BillingAddress_Address1}</t>
    </r>
  </si>
  <si>
    <r>
      <t>EDT_SALTMobile_Pay</t>
    </r>
    <r>
      <rPr>
        <b/>
        <sz val="10"/>
        <color theme="1"/>
        <rFont val="Calibri"/>
        <family val="2"/>
        <scheme val="minor"/>
      </rPr>
      <t>{BillingAddress_Address2}</t>
    </r>
  </si>
  <si>
    <r>
      <t>EDT_SALTMobile_Pay</t>
    </r>
    <r>
      <rPr>
        <b/>
        <sz val="10"/>
        <color theme="1"/>
        <rFont val="Calibri"/>
        <family val="2"/>
        <scheme val="minor"/>
      </rPr>
      <t>{BillingAddress_City}</t>
    </r>
  </si>
  <si>
    <r>
      <t>LST_SALTMobile_Pay</t>
    </r>
    <r>
      <rPr>
        <b/>
        <sz val="10"/>
        <color theme="1"/>
        <rFont val="Calibri"/>
        <family val="2"/>
        <scheme val="minor"/>
      </rPr>
      <t>{BillingAddress_StateId}</t>
    </r>
  </si>
  <si>
    <r>
      <t>EDT_SALTMobile_Pay</t>
    </r>
    <r>
      <rPr>
        <b/>
        <sz val="10"/>
        <color theme="1"/>
        <rFont val="Calibri"/>
        <family val="2"/>
        <scheme val="minor"/>
      </rPr>
      <t>{BillingAddress_PostalCode}</t>
    </r>
  </si>
  <si>
    <r>
      <t>EDT_SALTMobile_PayJPN</t>
    </r>
    <r>
      <rPr>
        <b/>
        <sz val="10"/>
        <color theme="1"/>
        <rFont val="Calibri"/>
        <family val="2"/>
        <scheme val="minor"/>
      </rPr>
      <t>{FirstName}</t>
    </r>
  </si>
  <si>
    <r>
      <t>EDT_SALTMobile_PayJPN</t>
    </r>
    <r>
      <rPr>
        <b/>
        <sz val="10"/>
        <color theme="1"/>
        <rFont val="Calibri"/>
        <family val="2"/>
        <scheme val="minor"/>
      </rPr>
      <t>{LastName}</t>
    </r>
  </si>
  <si>
    <r>
      <t>EDT_SALTMobile_PayJPN</t>
    </r>
    <r>
      <rPr>
        <b/>
        <sz val="10"/>
        <color theme="1"/>
        <rFont val="Calibri"/>
        <family val="2"/>
        <scheme val="minor"/>
      </rPr>
      <t>{Zip}</t>
    </r>
  </si>
  <si>
    <r>
      <t>LST_SALTMobile_PayJPN</t>
    </r>
    <r>
      <rPr>
        <b/>
        <sz val="10"/>
        <color theme="1"/>
        <rFont val="Calibri"/>
        <family val="2"/>
        <scheme val="minor"/>
      </rPr>
      <t>{State}</t>
    </r>
  </si>
  <si>
    <r>
      <t>EDT_SALTMobile_PayJPN</t>
    </r>
    <r>
      <rPr>
        <b/>
        <sz val="10"/>
        <color theme="1"/>
        <rFont val="Calibri"/>
        <family val="2"/>
        <scheme val="minor"/>
      </rPr>
      <t>{City}</t>
    </r>
  </si>
  <si>
    <r>
      <t>EDT_SALTMobile_PayJPN</t>
    </r>
    <r>
      <rPr>
        <b/>
        <sz val="10"/>
        <color theme="1"/>
        <rFont val="Calibri"/>
        <family val="2"/>
        <scheme val="minor"/>
      </rPr>
      <t>{Apartment_Number}</t>
    </r>
  </si>
  <si>
    <r>
      <t>EDT_SALTMobile_PayJPN</t>
    </r>
    <r>
      <rPr>
        <b/>
        <sz val="10"/>
        <color theme="1"/>
        <rFont val="Calibri"/>
        <family val="2"/>
        <scheme val="minor"/>
      </rPr>
      <t>{Street_Address}</t>
    </r>
  </si>
  <si>
    <r>
      <t>EDT_SALTMobile_StorePickUpBranch</t>
    </r>
    <r>
      <rPr>
        <b/>
        <sz val="10"/>
        <color theme="1"/>
        <rFont val="Calibri"/>
        <family val="2"/>
        <scheme val="minor"/>
      </rPr>
      <t>{Searchstore}</t>
    </r>
  </si>
  <si>
    <t>Mob_OrderConfirmationPage</t>
  </si>
  <si>
    <t>Welcome444</t>
  </si>
  <si>
    <t>DeliveryDateMobile</t>
  </si>
  <si>
    <r>
      <t>LST_SALTMobile_Pay</t>
    </r>
    <r>
      <rPr>
        <b/>
        <sz val="10"/>
        <color theme="1"/>
        <rFont val="Calibri"/>
        <family val="2"/>
        <scheme val="minor"/>
      </rPr>
      <t>{Title}</t>
    </r>
  </si>
  <si>
    <t>0:00:09:13</t>
  </si>
  <si>
    <t>ConnectDatabaseForAdmin</t>
  </si>
  <si>
    <t>AirportName</t>
  </si>
  <si>
    <t>RateProfile</t>
  </si>
  <si>
    <t>Country</t>
  </si>
  <si>
    <t>ForeignCurrencyCode</t>
  </si>
  <si>
    <t>StoreName][AirportName][RateProfile][Country][ForeignCurrencyCode</t>
  </si>
  <si>
    <t>AvailablefulfillmentOptions</t>
  </si>
  <si>
    <t>Fulfillment][AvailablefulfillmentOptions</t>
  </si>
  <si>
    <t>Mob_ContactUs</t>
  </si>
  <si>
    <t>Mob_GrtProductNServices</t>
  </si>
  <si>
    <t>Mob_StoreLocator</t>
  </si>
  <si>
    <r>
      <t>LST_SALTMobile_PayJPN</t>
    </r>
    <r>
      <rPr>
        <b/>
        <sz val="10"/>
        <color theme="1"/>
        <rFont val="Calibri"/>
        <family val="2"/>
        <scheme val="minor"/>
      </rPr>
      <t>{Title}</t>
    </r>
  </si>
  <si>
    <t>Credit_Card</t>
  </si>
  <si>
    <t>LST_SALT_PayAus{Billing_State}</t>
  </si>
  <si>
    <r>
      <t>LST_SALT_PayAus</t>
    </r>
    <r>
      <rPr>
        <b/>
        <sz val="10"/>
        <color theme="1"/>
        <rFont val="Calibri"/>
        <family val="2"/>
        <scheme val="minor"/>
      </rPr>
      <t>{Billing_State}</t>
    </r>
  </si>
  <si>
    <t>KillIE</t>
  </si>
  <si>
    <t>LST_SALTMobile_Pay{Title}][EDT_SALTMobile_Pay{FirstName}][EDT_SALTMobile_Pay{MiddleName}][EDT_SALTMobile_Pay{LastName}][LST_SALTMobile_Pay{DOB_MM}][LST_SALTMobile_Pay{DOB_DD}][LST_SALTMobile_Pay{DOB_YYYY}][EIP_SALTMobile_Pay{Email_Address}][EIP_SALTMobile_Pay{Confirm_EmailAddress}][PIP_SALTMobile_Pay{Phone_No}][LST_SALTMobile_Pay{ID_Type}][LST_SALTMobile_Pay{CountryOfIssue}][EDT_SALTMobile_Pay{ID_Number}][EDT_SALTMobile_Pay{Confirm_IDNumber}][LST_SALTMobile_Pay{IDExpiry_MM}][LST_SALTMobile_Pay{IDExpiry_DD}][LST_SALTMobile_Pay{IDExpiry_YYYY}][EDT_SALTMobile_Pay{MothersMaidenName}][EDT_SALTMobile_Pay{Street_Address}][EDT_SALTMobile_Pay{Apartment_Number}][EDT_SALTMobile_Pay{City}][LST_SALTMobile_Pay{State}][EDT_SALTMobile_Pay{Zip}][LST_SALTMobile_Pay{Payment_Type}][LST_SALTMobile_Pay{Card_Type}][EDT_SALTMobile_Pay{Card_Number}][EDT_SALTMobile_Pay{Card_FirstName}][EDT_SALTMobile_Pay{Card_LastName}][EDT_SALTMobile_Pay{Security_Code}][LST_SALTMobile_Pay{CardExpiry_MM}][LST_SALTMobile_Pay{CardExpiry_YYYY}][CHK_SALTMobile_Pay{UseResidentialAddress}][EDT_SALT_PayAus{Billing_StreetAddress}][EDT_SALT_PayAus{Billing_Suburb}][LST_SALT_PayAus{Billing_State}][EDT_SALT_PayAus{Billing_Postcode}][EDT_SALT_PayAus{Billing_City}</t>
  </si>
  <si>
    <t>Salt_Login][Mob_ContactUs</t>
  </si>
  <si>
    <t>ConnectDatabaseForAdmin][Salt_Login][EnterFirstOrderDetailMobile][FulfilmentType][ChoosePickUpBranchMobile][DeliveryDateMobile][PayMobileAUS][Mob_OrderSummary][Mob_OrderConfirmationPage][Salt_Logout</t>
  </si>
  <si>
    <t>0147000000</t>
  </si>
  <si>
    <t>MobileReview</t>
  </si>
  <si>
    <t>ConnectDatabaseForAdmin][Salt_Login][EnterFirstOrderDetailMobile][MobileReview][PayMobileAUS][Mob_OrderSummary][Mob_OrderConfirmationPage][Salt_Logout</t>
  </si>
  <si>
    <t>CardNumber</t>
  </si>
  <si>
    <t>ProductName][NIP_SALTMobile_CreateOrder{Foreign_Amount}][LST_SALTMobile_CreateOrder{Foreign_Currency}][Local_CurrencyCode][EDT_SALT_Home{Foreign_Amount}][LBL_SALT_Home{Foreign_CurrencyCode}][EDT_SALT_Home{Local_Amount}][CardNumber</t>
  </si>
  <si>
    <t>DatasheetToRecordSet</t>
  </si>
  <si>
    <t>http://admin.rgt.salt.travelex.com/Login.aspx</t>
  </si>
  <si>
    <t>AirportTerminal_Name</t>
  </si>
  <si>
    <t>DeliveryDate_dd/mm/yyyy][Selected_FulfilmentOption][Selected_DeliveryCost][Selected_DeliveryDate</t>
  </si>
  <si>
    <t>DeliveryDate_dd/mm/yyyy</t>
  </si>
  <si>
    <t>LST_SALT_PayAus{CardBilling_State}</t>
  </si>
  <si>
    <t>LST_SALT_Pay{Title}][EDT_SALT_Pay{FirstName}][EDT_SALT_Pay{MiddleName}][EDT_SALT_Pay{LastName}][LST_SALT_PayAus{DOB_Day}][LST_SALT_PayAus{DOB_Month}][LST_SALT_PayAus{DOB_Year}][LST_SALT_Pay{ID_Type}][LST_SALT_Pay{CountryOfIssue}][CHK_SALT_PayNZ{AdditionalIDRequired}][EDT_SALT_Pay{ID_Number}][EDT_SALT_Pay{Confirm_IDNumber}][LST_SALT_PayAus{IDExpiry_Day}][LST_SALT_PayAus{IDExpiry_Month}][LST_SALT_PayAus{IDExpiry_Year}][EDT_SALT_Pay{Mother_MaidenName}][EDT_SALT_Pay{Cell_Phone}][EDT_SALT_Pay{Home_Phone}][EDT_SALT_Pay{Email_Address}][EDT_SALT_Pay{Confirm_EmailAddress}][EDT_SALT_Pay{Street_Address}][EDT_SALT_PayAus{Suburb}][EDT_SALT_Pay{City}][EDT_SALT_Pay{Zip}][Payment_Type][LST_SALT_Pay{Card_Type}][EDT_SALT_Pay{Card_Number}][EDT_SALT_Pay{Card_FirstName}][EDT_SALT_Pay{Card_LastName}][EDT_SALT_Pay{Security_Code}][LST_SALT_PayAus{CardExpiry_Month}][LST_SALT_PayAus{CardExpiry_Year}][CHK_SALT_PayAus{Use_Residential}][EDT_SALT_PayAus{Billing_StreetAddress}][EDT_SALT_PayAus{Billing_Suburb}][EDT_SALT_PayAus{Billing_City}][LST_SALT_PayAus{CardBilling_State}][EDT_SALT_PayAus{Billing_Postcode}][CHK_SALT_Pay{Special_Offers}][CHK_SALT_Pay{TermsAndConditions}][Order_Total</t>
  </si>
  <si>
    <r>
      <t>LST_SALT_PayAus</t>
    </r>
    <r>
      <rPr>
        <b/>
        <sz val="10"/>
        <color theme="1"/>
        <rFont val="Calibri"/>
        <family val="2"/>
        <scheme val="minor"/>
      </rPr>
      <t>{CardBilling_State}</t>
    </r>
  </si>
  <si>
    <t>Buy Multi-Currency Cash Passport</t>
  </si>
  <si>
    <t>Product Type</t>
  </si>
  <si>
    <t>WEA_SALT_ChangeID{Reason}</t>
  </si>
  <si>
    <t>OrderNumber][EDT_SALT_ChangeID{NewCustName}][LST_SALT_ChangeID{IDType}][LST_SALT_ChangeID{Country}][LST_SALT_ChangeID{State}][EDT_SALT_ChangeID{IdNumber}][LST_SALT_ChangeID{ExpiryMonth}][LST_SALT_ChangeID{ExpiryDay}][LST_SALT_ChangeID{ExpiryYear}][LST_SALT_ChangeID{DOBMonth}][LST_SALT_ChangeID{DOBDay}][LST_SALT_ChangeID{DOBYear}][WEA_SALT_ChangeID{Reason}</t>
  </si>
  <si>
    <t>WEA_SALT_ChangePickUpDate{Reason}</t>
  </si>
  <si>
    <t>OrderNumber][WEA_SALT_ChangePickUpDate{Reason}</t>
  </si>
  <si>
    <r>
      <t>WEA_SALT_ChangeID</t>
    </r>
    <r>
      <rPr>
        <b/>
        <sz val="10"/>
        <color theme="1"/>
        <rFont val="Calibri"/>
        <family val="2"/>
        <scheme val="minor"/>
      </rPr>
      <t>{Reason}</t>
    </r>
  </si>
  <si>
    <r>
      <t>WEA_SALT_ChangePickUpDate</t>
    </r>
    <r>
      <rPr>
        <b/>
        <sz val="10"/>
        <color theme="1"/>
        <rFont val="Calibri"/>
        <family val="2"/>
        <scheme val="minor"/>
      </rPr>
      <t>{Reason}</t>
    </r>
  </si>
  <si>
    <t>Datasheet needs to be manually updated for this TC on every execution</t>
  </si>
  <si>
    <t>Secondary Card Number to be inputted in Datasheet</t>
  </si>
  <si>
    <t>Ignore Payment</t>
  </si>
  <si>
    <t>DatecheckOnOnlineRateScreen</t>
  </si>
  <si>
    <t>Salt_Login][Select_Country][SiteTreeSelectionAsPerCountry][Admin_OnlineRate_Check</t>
  </si>
  <si>
    <t>DatecheckOnCurrencyWidgetScreen</t>
  </si>
  <si>
    <t>SiteTreeSelectionAsPerCountry][Admin_Currency_Widget</t>
  </si>
  <si>
    <t>Admin_CurrencyConverter_Check</t>
  </si>
  <si>
    <t>CheckForOnlineStorePickup</t>
  </si>
  <si>
    <t>SiteTreeSelectionAsPerCountry][StoreSetupForOnlineStoreCheck][Admin_Store_Locator_Online_Check</t>
  </si>
  <si>
    <t>CheckForNonOnlineStorePickup</t>
  </si>
  <si>
    <t>CheckForOnlineAirportPickup</t>
  </si>
  <si>
    <t>SiteTreeSelectionAsPerCountry][StoreSetupForOnlineStoreCheck][Admin_Store_Locator_AirportOnline_Check</t>
  </si>
  <si>
    <t>SiteTreeSelectionAsPerCountry</t>
  </si>
  <si>
    <t>Local Currency</t>
  </si>
  <si>
    <t>AdminLocalCurrencyValidatorMajor</t>
  </si>
  <si>
    <t>Admin_Store_Locator_AirportOnline_Check</t>
  </si>
  <si>
    <t>AdminDate][Local Currency</t>
  </si>
  <si>
    <t>EDT_SALT_Admin{CCLocalCurrencyAmt}][LST_SALT_Admin{CCForeignCurrency}][EDT_SALT_Admin{CCForeignCurrencyAmt}][LST_SALT_Admin{CCLocalCurrency}][Local Currency][AdminDate</t>
  </si>
  <si>
    <t>CountryRetailScreen</t>
  </si>
  <si>
    <t>Admin_OnlineRate_Check</t>
  </si>
  <si>
    <t>AdminDate</t>
  </si>
  <si>
    <t>Admin_Currency_Widget</t>
  </si>
  <si>
    <t>StoreSetupForOnlineStoreCheck</t>
  </si>
  <si>
    <t>EDT_SALT_Admin{StoreSearchName}][EDT_SALT_ShippingOption{SLLocation}][Local Currency][AdminDate</t>
  </si>
  <si>
    <t>Admin_Store_Locator_Online_Check</t>
  </si>
  <si>
    <t>EDT_SALT_Admin{CCLocalCurrencyAmt}</t>
  </si>
  <si>
    <t>LST_SALT_Admin{CCForeignCurrency}</t>
  </si>
  <si>
    <t>EDT_SALT_Admin{CCForeignCurrencyAmt}</t>
  </si>
  <si>
    <t>LST_SALT_Admin{CCLocalCurrency}</t>
  </si>
  <si>
    <t>EDT_SALT_Admin{StoreSearchName}</t>
  </si>
  <si>
    <t>EDT_SALT_ShippingOption{SLLocation}</t>
  </si>
  <si>
    <r>
      <t>EDT_SALT_Admin</t>
    </r>
    <r>
      <rPr>
        <b/>
        <sz val="10"/>
        <color theme="1"/>
        <rFont val="Calibri"/>
        <family val="2"/>
        <scheme val="minor"/>
      </rPr>
      <t>{CCLocalCurrencyAmt}</t>
    </r>
  </si>
  <si>
    <r>
      <t>LST_SALT_Admin</t>
    </r>
    <r>
      <rPr>
        <b/>
        <sz val="10"/>
        <color theme="1"/>
        <rFont val="Calibri"/>
        <family val="2"/>
        <scheme val="minor"/>
      </rPr>
      <t>{CCForeignCurrency}</t>
    </r>
  </si>
  <si>
    <r>
      <t>EDT_SALT_Admin</t>
    </r>
    <r>
      <rPr>
        <b/>
        <sz val="10"/>
        <color theme="1"/>
        <rFont val="Calibri"/>
        <family val="2"/>
        <scheme val="minor"/>
      </rPr>
      <t>{CCForeignCurrencyAmt}</t>
    </r>
  </si>
  <si>
    <r>
      <t>LST_SALT_Admin</t>
    </r>
    <r>
      <rPr>
        <b/>
        <sz val="10"/>
        <color theme="1"/>
        <rFont val="Calibri"/>
        <family val="2"/>
        <scheme val="minor"/>
      </rPr>
      <t>{CCLocalCurrency}</t>
    </r>
  </si>
  <si>
    <r>
      <t>EDT_SALT_Admin</t>
    </r>
    <r>
      <rPr>
        <b/>
        <sz val="10"/>
        <color theme="1"/>
        <rFont val="Calibri"/>
        <family val="2"/>
        <scheme val="minor"/>
      </rPr>
      <t>{StoreSearchName}</t>
    </r>
  </si>
  <si>
    <r>
      <t>EDT_SALT_ShippingOption</t>
    </r>
    <r>
      <rPr>
        <b/>
        <sz val="10"/>
        <color theme="1"/>
        <rFont val="Calibri"/>
        <family val="2"/>
        <scheme val="minor"/>
      </rPr>
      <t>{SLLocation}</t>
    </r>
  </si>
  <si>
    <t>Monday, 16 Dec 2013 10:30:38 AEDT</t>
  </si>
  <si>
    <t>Friday, 4 Apr 2014</t>
  </si>
  <si>
    <t>0:00:04:23</t>
  </si>
  <si>
    <t>0:00:01:41</t>
  </si>
  <si>
    <t>Auto_StorePickup</t>
  </si>
  <si>
    <t xml:space="preserve">Queen Street </t>
  </si>
  <si>
    <t>Brisbane, Queensland,4000</t>
  </si>
  <si>
    <t>Salt_Login][PF_EnterFirstOrderDetail][EnterFirstOrderDetail][VerifyFirstOrder][ValidateOrderSummary][EnterShippingLocation][EnterShippingLocation][EnterShippingLocation][EnterShippingLocation][EnterShippingLocation][PF_ShippingOptions][SelectFulfilmentOption][DeliveryDate][PF_Pay_Validation][PayAus][Validate_ConfirmationPage][Confirmation][Salt_Logout</t>
  </si>
  <si>
    <t>EXECUTE</t>
  </si>
  <si>
    <t>0:00:00:25</t>
  </si>
  <si>
    <t>0:00:00:53</t>
  </si>
  <si>
    <t>0:00:03:27</t>
  </si>
  <si>
    <t>0:00:02:58</t>
  </si>
  <si>
    <t>HappyPath_AUS_AU_HP001</t>
  </si>
  <si>
    <t>HappyPath_AUS_AU_HP002</t>
  </si>
  <si>
    <t>HappyPath_AUS_AU_HP003</t>
  </si>
  <si>
    <t>HappyPath_AUS_AU_HP005</t>
  </si>
  <si>
    <t>HappyPath_AUS_AU_HP006</t>
  </si>
  <si>
    <t>United States of America</t>
  </si>
  <si>
    <t>Buy_Product][LST_SALT_Home{Foreign_Currency}][Local_CurrencyCode][EDT_SALT_Home{Foreign_Amount}][LBL_SALT_Home{Foreign_CurrencyCode}][EDT_SALT_Home{Local_Amount}][Country</t>
  </si>
  <si>
    <t>Bondi Junction</t>
  </si>
  <si>
    <t>TempLocalCurrencyCode</t>
  </si>
  <si>
    <t>Shipping_Type][Store_Name][Airport_Name][AirportTerminal_Name][TempLocalCurrencyCode</t>
  </si>
  <si>
    <t>Salt_Login][Select_Country][SiteTreeSelectionAsPerCountry][Admin_CurrencyConverter_Check</t>
  </si>
  <si>
    <t>Testing</t>
  </si>
  <si>
    <t>Town Hall</t>
  </si>
  <si>
    <t>Canberra Airport</t>
  </si>
  <si>
    <t>Canberra Airport (Int'l Terminal)</t>
  </si>
  <si>
    <t>Salt_AdminLogin</t>
  </si>
  <si>
    <t>Salt_LoginTest</t>
  </si>
  <si>
    <t>test</t>
  </si>
  <si>
    <t>Spot Rate</t>
  </si>
  <si>
    <t>Original Rate</t>
  </si>
  <si>
    <t>Custom rate</t>
  </si>
  <si>
    <t>Cancellation Fee</t>
  </si>
  <si>
    <t>PF_LayoutValidation</t>
  </si>
  <si>
    <t>ValidateSummary</t>
  </si>
  <si>
    <t>Buy_Product][LST_SALT_Home{Foreign_Currency}][Local_CurrencyCode][EDT_SALT_Home{Foreign_Amount}][LBL_SALT_Home{Foreign_CurrencyCode}][EDT_SALT_Home{Local_Amount}</t>
  </si>
  <si>
    <t>PF_VerifyFirstOrder</t>
  </si>
  <si>
    <t>AddOrder_HP</t>
  </si>
  <si>
    <t>EnterFirstOrderDetail_HP</t>
  </si>
  <si>
    <t>VerifyFirstOrder_HP</t>
  </si>
  <si>
    <t>HappyPath_AUS_AU_HP004</t>
  </si>
  <si>
    <t>EDT_SALT_Pay{Confirm_IDNumber}</t>
  </si>
  <si>
    <r>
      <t>EDT_SALT_Pay</t>
    </r>
    <r>
      <rPr>
        <b/>
        <sz val="10"/>
        <color theme="1"/>
        <rFont val="Calibri"/>
        <family val="2"/>
        <scheme val="minor"/>
      </rPr>
      <t>{Confirm_IDNumber}</t>
    </r>
  </si>
  <si>
    <t>ValidateOrderSummary_HP</t>
  </si>
  <si>
    <t>DeliveryDate_HP</t>
  </si>
  <si>
    <t>EnterShippingLocation_HP</t>
  </si>
  <si>
    <t>SelectFulfilmentOption_HP</t>
  </si>
  <si>
    <t>Salt_Login][EnterFirstOrderDetail_HP][VerifyFirstOrder_HP][AddOrder_HP][ValidateOrderSummary_HP][EnterShippingLocation_HP][Copy_TC_to_TC][SelectFulfilmentOption_HP][DeliveryDate_HP][PayAus][Confirmation][Salt_Logout</t>
  </si>
  <si>
    <t>Salt_Login][EnterFirstOrderDetail_HP][VerifyFirstOrder_HP][EnterShippingLocation_HP][Copy_TC_to_TC][SelectFulfilmentOption_HP][DeliveryDate_HP][PayAus][Confirmation][Salt_Logout</t>
  </si>
  <si>
    <t>Salt_Login][EnterFirstOrderDetail_HP][VerifyFirstOrder_HP][AddOrder_HP][AddOrder_HP][AddOrder_HP][ValidateOrderSummary_HP][EnterShippingLocation_HP][Copy_TC_to_TC][SelectFulfilmentOption_HP][DeliveryDate_HP][PayAus][Confirmation][Salt_Logout</t>
  </si>
  <si>
    <t>Purchase_Funnel</t>
  </si>
  <si>
    <t>PurchaseFunnel_Change_CreateOrder</t>
  </si>
  <si>
    <t>PurchaseFunnel_Change_ShippingOptions</t>
  </si>
  <si>
    <t>PurchaseFunnel_Change_DeliveryDate</t>
  </si>
  <si>
    <t>PurchaseFunnel_PF006</t>
  </si>
  <si>
    <t>Salt_Login][PF_EnterFirstOrderDetail][EnterFirstOrderDetail][VerifyFirstOrder][AddOrder][PF_Validations][ValidateOrderSummary][EnterShippingLocation][EnterShippingLocation][EnterShippingLocation][EnterShippingLocation][EnterShippingLocation][PF_ShippingOptions][ValidateSummary][SelectFulfilmentOption][PF_DeliveryDate][ValidateSummary][DeliveryDate][ValidateSummary][PF_Pay_Validation][PayAus][Validate_ConfirmationPage][Confirmation][Salt_Logout</t>
  </si>
  <si>
    <t>Salt_Login][EnterFirstOrderDetailForAdmin][EnterShippingLocationForAdmin][SelectFulfilmentOptionForAdmin][DeliveryDateForAdmin][Change_OrderDetail][KillIE</t>
  </si>
  <si>
    <t>Salt_Login][EnterFirstOrderDetailForAdmin][EnterShippingLocationForAdmin][SelectFulfilmentOptionForAdmin][DeliveryDateForAdmin][Change_ShippingOptions][KillIE</t>
  </si>
  <si>
    <t>Salt_Login][EnterFirstOrderDetailForAdmin][EnterShippingLocationForAdmin][SelectFulfilmentOptionForAdmin][DeliveryDateForAdmin][Change_DeliveryDate][KillIE</t>
  </si>
  <si>
    <t>Salt_Login][EnterFirstOrderDetail][VerifyFirstOrder][AddOrder][ValidateOrderSummary][Validate_MultiProducts</t>
  </si>
  <si>
    <t>GetDataForDayEndOrdersPackedInSafe</t>
  </si>
  <si>
    <t>OrderNumber][CustomerName][PickupDate][CashPassportPAN][ProductTotal][OrderTotal][Country</t>
  </si>
  <si>
    <t>GetDataForDayEndOrdersCompleted</t>
  </si>
  <si>
    <t>OrderNumber][PickupDate][ProductType][Currency][ForeignAmt][DomesticAmt][Country][CashPassportPAN</t>
  </si>
  <si>
    <t>PF_Validations</t>
  </si>
  <si>
    <t>EnterFirstOrderDetailForAdmin</t>
  </si>
  <si>
    <t>EnterShippingLocationForAdmin</t>
  </si>
  <si>
    <t>SelectFulfilmentOptionForAdmin</t>
  </si>
  <si>
    <t>Shipping_Type][Store_Name][Airport_Name][AirportTerminal_Name</t>
  </si>
  <si>
    <t>DeliveryDateForAdmin</t>
  </si>
  <si>
    <t>PayForAdmin</t>
  </si>
  <si>
    <t>LST_SALT_Pay{Title}][EDT_SALT_Pay{FirstName}][EDT_SALT_Pay{MiddleName}][EDT_SALT_Pay{LastName}][LST_SALT_PayAus{DOB_Day}][LST_SALT_PayAus{DOB_Month}][LST_SALT_PayAus{DOB_Year}][LST_SALT_Pay{ID_Type}][LST_SALT_Pay{CountryOfIssue}][CHK_SALT_PayNZ{AdditionalIDRequired}][EDT_SALT_Pay{ID_Number}][EDT_SALT_Pay{Confirm_IDNumber}][LST_SALT_PayAus{IDExpiry_Day}][LST_SALT_PayAus{IDExpiry_Month}][LST_SALT_PayAus{IDExpiry_Year}][EDT_SALT_Pay{Mother_MaidenName}][EDT_SALT_Pay{Cell_Phone}][EDT_SALT_Pay{Home_Phone}][EDT_SALT_Pay{Email_Address}][EDT_SALT_Pay{Confirm_EmailAddress}][EDT_SALT_Pay{Street_Address}][EDT_SALT_PayAus{Suburb}][EDT_SALT_Pay{City}][EDT_SALT_Pay{Zip}][Payment_Type][LST_SALT_Pay{Card_Type}][EDT_SALT_Pay{Card_Number}][EDT_SALT_Pay{Card_FirstName}][EDT_SALT_Pay{Card_LastName}][EDT_SALT_Pay{Security_Code}][LST_SALT_PayAus{CardExpiry_Month}][LST_SALT_PayAus{CardExpiry_Year}][CHK_SALT_PayAus{Use_Residential}][LST_SALT_PayAus{CardBilling_State}][EDT_SALT_PayAus{Billing_StreetAddress}][EDT_SALT_PayAus{Billing_Suburb}][EDT_SALT_PayAus{Billing_City}][EDT_SALT_PayAus{Billing_Postcode}][CHK_SALT_Pay{Special_Offers}][CHK_SALT_Pay{TermsAndConditions}][Order_Total</t>
  </si>
  <si>
    <t>ConfirmationForAdmin</t>
  </si>
  <si>
    <t>Validate_MultiProducts</t>
  </si>
  <si>
    <t>ForeignAmt</t>
  </si>
  <si>
    <t>DomesticAmt</t>
  </si>
  <si>
    <t>None][Product Type][Availability_Message</t>
  </si>
  <si>
    <t>ConfigurationBuyBackCountryLevel</t>
  </si>
  <si>
    <t>ConfigurationBuyBackRetailPartnerLevel</t>
  </si>
  <si>
    <t>BuyBackConfigurationCheckOnFullSite</t>
  </si>
  <si>
    <t>GetBuyBackNumber</t>
  </si>
  <si>
    <t>Salt_Login][EnterFirstOrderDetailForAdmin][HandleSecurityAlert][BuyBackConfigurationCheckOnFullSite][EnterShippingLocationForAdmin][SelectFulfilmentOptionForAdmin][DeliveryDateForAdmin][PayFRA][ConfirmationForAdmin][Salt_Logout][Salt_LoginAnotherInstance</t>
  </si>
  <si>
    <t>MakeBuybackActiveForPartner</t>
  </si>
  <si>
    <t>BybackNumber</t>
  </si>
  <si>
    <t>MakeBuybackActiveForCountry</t>
  </si>
  <si>
    <t>Salt_LoginAnotherInstance</t>
  </si>
  <si>
    <t>App_Name1][App_Env1][UserType1</t>
  </si>
  <si>
    <t>Fees</t>
  </si>
  <si>
    <t>Buyback Ref</t>
  </si>
  <si>
    <t>BuyBack Text</t>
  </si>
  <si>
    <t>BuyBack Name</t>
  </si>
  <si>
    <t>App_Name1</t>
  </si>
  <si>
    <t>App_Env1</t>
  </si>
  <si>
    <t>UserType1</t>
  </si>
  <si>
    <t>5,00</t>
  </si>
  <si>
    <t>FR40040982</t>
  </si>
  <si>
    <t>Jack Smee</t>
  </si>
  <si>
    <t>BuyBackConfigurationCheckOnFullSiteMultiProd</t>
  </si>
  <si>
    <t>No fees on your return, save by adding our $0 Fee Buy Back
Don't lose out. Take out our $0 Fee Buy Back and we'll buy back your unused foreign currency, commission free, when you return.</t>
  </si>
  <si>
    <t>Travelex Rate Advantage</t>
  </si>
  <si>
    <t>Salt_AdminLoginAnotherInstance</t>
  </si>
  <si>
    <t>URL][UserID][Password</t>
  </si>
  <si>
    <t>0:00:01:21</t>
  </si>
  <si>
    <t>Salt_Login][EnterFirstOrderDetailForAdmin][HandleSecurityAlert][BuyBackConfigurationCheckOnFullSite][EnterShippingLocationForAdmin][SelectFulfilmentOptionForAdmin][DeliveryDateForAdmin][PayForAdmin][ConfirmationForAdmin][Salt_Logout][Salt_AdminLoginAnotherInstance][Select_Country][BybackNumber][Salt_Logout</t>
  </si>
  <si>
    <t>AUD:-:1][AUD:-:2][AUD:-:3][AUD:-:4][AUD:-:5][AUD:-:6][AUD:-:7][AUD:-:8</t>
  </si>
  <si>
    <t>USD:-:1][USD:-:2][USD:-:3][USD:-:4][USD:-:5][USD:-:6][USD:-:7][USD:-:8</t>
  </si>
  <si>
    <t>691.09:-:1][691.09:-:2][691.09:-:3][691.09:-:4][691.09:-:5][691.09:-:6][691.09:-:7][691.09:-:8</t>
  </si>
  <si>
    <t>AU40041139</t>
  </si>
  <si>
    <t>JRHW-CL3N</t>
  </si>
  <si>
    <t>0:00:07:50</t>
  </si>
  <si>
    <t>BuyBackConfigurationTwoCashStorePick</t>
  </si>
  <si>
    <t>MakeBuyBackActiveForCountryAndPartner</t>
  </si>
  <si>
    <t>CancelledBankTransferPandingBpay</t>
  </si>
  <si>
    <t>CancelBankTransBpay</t>
  </si>
  <si>
    <t>Need only store name</t>
  </si>
  <si>
    <t>ValidateBuyBackOnConfirmationPage</t>
  </si>
  <si>
    <t>Euro - EUR</t>
  </si>
  <si>
    <t>ExpiryDays</t>
  </si>
  <si>
    <t>ExpiryDays][Fees][LST_SALT_Admin{Country}</t>
  </si>
  <si>
    <t>600:-:1][600.00:-:2][600:-:3][:-:4][:-:5][600.00:-:6][600.00:-:7][600.00:-:8][600.00:-:9][600.00:-:10</t>
  </si>
  <si>
    <t>EUR:-:1][EUR:-:2][EUR:-:3][EUR:-:4][EUR:-:5][EUR:-:6][EUR:-:7][EUR:-:8</t>
  </si>
  <si>
    <t>959.23:-:1][959.23:-:2][959.23:-:3][959.23:-:4][959.23:-:5][959.23:-:6][1041.18:-:7][1041.18:-:8</t>
  </si>
  <si>
    <t>TC 32</t>
  </si>
  <si>
    <t>TC 33</t>
  </si>
  <si>
    <t>BuyBackConfigurationSingleCashStorePick</t>
  </si>
  <si>
    <t>TC 34,TC35</t>
  </si>
  <si>
    <t>Orders</t>
  </si>
  <si>
    <t>NOD_SALT_Confirmation{Order_Number}][Buyback Ref][Orders</t>
  </si>
  <si>
    <t>GetBuyBackNumberForMultiple</t>
  </si>
  <si>
    <t>Multiple</t>
  </si>
  <si>
    <t>BPAYbillpayBankTransferPaymentIgnore</t>
  </si>
  <si>
    <t>0:00:00:05</t>
  </si>
  <si>
    <t>CancelBPAYBankTransferPending</t>
  </si>
  <si>
    <t>CancellBPayBankTransferPending</t>
  </si>
  <si>
    <t>PrintUnpackOrder</t>
  </si>
  <si>
    <t>ChangeOrderIDCompletedCallCentre</t>
  </si>
  <si>
    <t>ChangeIDDetails</t>
  </si>
  <si>
    <t>Test</t>
  </si>
  <si>
    <t>Feb</t>
  </si>
  <si>
    <t>Automation Testing</t>
  </si>
  <si>
    <t>ChangePickUpLocationPackedOrder</t>
  </si>
  <si>
    <t>ChangePickupLocation</t>
  </si>
  <si>
    <t>New Store Name</t>
  </si>
  <si>
    <t>Reason</t>
  </si>
  <si>
    <t>OrderNumber][StoreName][Reason][New Store Name</t>
  </si>
  <si>
    <t>Country][Selected_DeliveryCost][NOD_SALT_Confirmation{Order_Number}][EDT_SALT_Pay{Street_Address}][EDT_SALT_Pay{Apartment_Number}][EDT_SALT_Pay{City}][EDT_SALT_Pay{Zip}][Order_Total</t>
  </si>
  <si>
    <t>SearchOrderThroughCallCentre</t>
  </si>
  <si>
    <t>citibank Global</t>
  </si>
  <si>
    <t>PartnerName][OrderNumber][EDT_SALT_ChangeID{NewCustName}][LST_SALT_ChangeID{IDType}][LST_SALT_ChangeID{Country}][LST_SALT_ChangeID{State}][EDT_SALT_ChangeID{IdNumber}][LST_SALT_ChangeID{ExpiryMonth}][LST_SALT_ChangeID{ExpiryDay}][LST_SALT_ChangeID{ExpiryYear}][LST_SALT_ChangeID{DOBMonth}][LST_SALT_ChangeID{DOBDay}][LST_SALT_ChangeID{DOBYear}][WEA_SALT_ChangeID{Reason}</t>
  </si>
  <si>
    <t>Austria</t>
  </si>
  <si>
    <t>Mar</t>
  </si>
  <si>
    <t>FromDate</t>
  </si>
  <si>
    <t>ToDate</t>
  </si>
  <si>
    <t>OrderNumber][FromDate][ToDate</t>
  </si>
  <si>
    <t>Salt_Login][Select_Country][Copy_TC_to_TC][SelectStore][GetDataForDayEndOrdersPackedInSafe][SelectStore][DayEndOrdersPackedInSafe</t>
  </si>
  <si>
    <t>OrderNumber,StoreName</t>
  </si>
  <si>
    <t>OrderNumber][ProductTotal][PickupDate][ProductType][Currency][ForeignAmt][DomesticAmt][Country][CashPassportPAN][CustomerName][OrderTotal</t>
  </si>
  <si>
    <r>
      <t>EDT_SALT_Pay</t>
    </r>
    <r>
      <rPr>
        <b/>
        <sz val="10"/>
        <color theme="1"/>
        <rFont val="Calibri"/>
        <family val="2"/>
        <scheme val="minor"/>
      </rPr>
      <t>{MiddleName}</t>
    </r>
  </si>
  <si>
    <t>Last Name</t>
  </si>
  <si>
    <t>ID Number</t>
  </si>
  <si>
    <t>Last Name][ID Number][OrderNumber</t>
  </si>
  <si>
    <t>Rate</t>
  </si>
  <si>
    <t>SecondRate</t>
  </si>
  <si>
    <t>BuyBack Text][BuyBack Name][LST_SALT_Admin{Country}][Rate][SecondRate][Fees</t>
  </si>
  <si>
    <t>Salt_Login][Select_Country][Copy_TC_to_TC][GetDataForDayEndOrdersCompleted][SelectStore][DayEndOrdersCompleted</t>
  </si>
  <si>
    <t>StoreLeadTimeValidation</t>
  </si>
  <si>
    <t>EditStoreLeadTime</t>
  </si>
  <si>
    <t>AddStoreValidateEditStoreLeadTime</t>
  </si>
  <si>
    <t>ValidatePaymentTypes</t>
  </si>
  <si>
    <t>ValidateLeadTimePaymentPage</t>
  </si>
  <si>
    <t>ValidatePaymentLeadTime</t>
  </si>
  <si>
    <t>CallCentreCancelledUnpackOrder</t>
  </si>
  <si>
    <t>ChangePickupLocForUnpack</t>
  </si>
  <si>
    <t>ValidateLeadTime</t>
  </si>
  <si>
    <t>AddStoreInAdmin</t>
  </si>
  <si>
    <t>CancelOrderCallCentre</t>
  </si>
  <si>
    <t>CancelPendingAdminUnpckingStore</t>
  </si>
  <si>
    <t>StoreName][OrderNumber][StoreName][Reason][New Store Name</t>
  </si>
  <si>
    <t>StoreType</t>
  </si>
  <si>
    <t>BTN_AddStore</t>
  </si>
  <si>
    <t>EDT_AddStore_{SiteID}</t>
  </si>
  <si>
    <t>EDT_AddStore_{StorePREL}</t>
  </si>
  <si>
    <t>EDT_AddStore_{StoreFidelity}</t>
  </si>
  <si>
    <t>LST_AddStore_{StoreOwnPart}</t>
  </si>
  <si>
    <t>LST_AddStore_{StoreArea}</t>
  </si>
  <si>
    <t>EDT_AddStore_{StoreAdd1}</t>
  </si>
  <si>
    <t>EDT_AddStore_{StoreAdd2}</t>
  </si>
  <si>
    <t>EDT_AddStore_{StoreCity}</t>
  </si>
  <si>
    <t>LST_AddStore_{StoreState}</t>
  </si>
  <si>
    <t>EDT_AddStore_{StoreZip}</t>
  </si>
  <si>
    <t>EDT_AddStore_{StoreLatitude}</t>
  </si>
  <si>
    <t>EDT_AddStore_{StoreLongitude}</t>
  </si>
  <si>
    <t>LST_AddStore_{StoreTime}</t>
  </si>
  <si>
    <t>CHK_AddStore_{StoreLocator}</t>
  </si>
  <si>
    <t>LST_AddStore_{StoreType}</t>
  </si>
  <si>
    <t>CHK_AddStore_{StoreATM}</t>
  </si>
  <si>
    <t>EDT_AddStore_{StoreEmailID}</t>
  </si>
  <si>
    <t>EDT_AddStore_{StorePhoneID}</t>
  </si>
  <si>
    <t>EDT_AddStore_{StoreFax}</t>
  </si>
  <si>
    <t>CHK_AddStore_{StorePhNo}</t>
  </si>
  <si>
    <t>CHK_AddStore_{StoreStatusIsActive}</t>
  </si>
  <si>
    <t>CHK_AddStore_{StoreOnlineStatus}</t>
  </si>
  <si>
    <t>LST_AddStore_{StoreHolidayProfile}</t>
  </si>
  <si>
    <t>CHK_AddStore_{EmailIDDisplay}</t>
  </si>
  <si>
    <t>LST_SALT_AddStore{AirportName}</t>
  </si>
  <si>
    <t>LST_SALT_AddStore{AirportLocation}</t>
  </si>
  <si>
    <r>
      <t>EDT_AddStore_</t>
    </r>
    <r>
      <rPr>
        <b/>
        <sz val="10"/>
        <color theme="1"/>
        <rFont val="Calibri"/>
        <family val="2"/>
        <scheme val="minor"/>
      </rPr>
      <t>{SiteID}</t>
    </r>
  </si>
  <si>
    <r>
      <t>EDT_AddStore_</t>
    </r>
    <r>
      <rPr>
        <b/>
        <sz val="10"/>
        <color theme="1"/>
        <rFont val="Calibri"/>
        <family val="2"/>
        <scheme val="minor"/>
      </rPr>
      <t>{StorePREL}</t>
    </r>
  </si>
  <si>
    <r>
      <t>EDT_AddStore_</t>
    </r>
    <r>
      <rPr>
        <b/>
        <sz val="10"/>
        <color theme="1"/>
        <rFont val="Calibri"/>
        <family val="2"/>
        <scheme val="minor"/>
      </rPr>
      <t>{StoreFidelity}</t>
    </r>
  </si>
  <si>
    <r>
      <t>LST_AddStore_</t>
    </r>
    <r>
      <rPr>
        <b/>
        <sz val="10"/>
        <color theme="1"/>
        <rFont val="Calibri"/>
        <family val="2"/>
        <scheme val="minor"/>
      </rPr>
      <t>{StoreOwnPart}</t>
    </r>
  </si>
  <si>
    <r>
      <t>LST_AddStore_</t>
    </r>
    <r>
      <rPr>
        <b/>
        <sz val="10"/>
        <color theme="1"/>
        <rFont val="Calibri"/>
        <family val="2"/>
        <scheme val="minor"/>
      </rPr>
      <t>{StoreArea}</t>
    </r>
  </si>
  <si>
    <r>
      <t>EDT_AddStore_</t>
    </r>
    <r>
      <rPr>
        <b/>
        <sz val="10"/>
        <color theme="1"/>
        <rFont val="Calibri"/>
        <family val="2"/>
        <scheme val="minor"/>
      </rPr>
      <t>{StoreAdd1}</t>
    </r>
  </si>
  <si>
    <r>
      <t>EDT_AddStore_</t>
    </r>
    <r>
      <rPr>
        <b/>
        <sz val="10"/>
        <color theme="1"/>
        <rFont val="Calibri"/>
        <family val="2"/>
        <scheme val="minor"/>
      </rPr>
      <t>{StoreAdd2}</t>
    </r>
  </si>
  <si>
    <r>
      <t>EDT_AddStore_</t>
    </r>
    <r>
      <rPr>
        <b/>
        <sz val="10"/>
        <color theme="1"/>
        <rFont val="Calibri"/>
        <family val="2"/>
        <scheme val="minor"/>
      </rPr>
      <t>{StoreCity}</t>
    </r>
  </si>
  <si>
    <r>
      <t>LST_AddStore_</t>
    </r>
    <r>
      <rPr>
        <b/>
        <sz val="10"/>
        <color theme="1"/>
        <rFont val="Calibri"/>
        <family val="2"/>
        <scheme val="minor"/>
      </rPr>
      <t>{StoreState}</t>
    </r>
  </si>
  <si>
    <r>
      <t>EDT_AddStore_</t>
    </r>
    <r>
      <rPr>
        <b/>
        <sz val="10"/>
        <color theme="1"/>
        <rFont val="Calibri"/>
        <family val="2"/>
        <scheme val="minor"/>
      </rPr>
      <t>{StoreZip}</t>
    </r>
  </si>
  <si>
    <r>
      <t>EDT_AddStore_</t>
    </r>
    <r>
      <rPr>
        <b/>
        <sz val="10"/>
        <color theme="1"/>
        <rFont val="Calibri"/>
        <family val="2"/>
        <scheme val="minor"/>
      </rPr>
      <t>{StoreLatitude}</t>
    </r>
  </si>
  <si>
    <r>
      <t>EDT_AddStore_</t>
    </r>
    <r>
      <rPr>
        <b/>
        <sz val="10"/>
        <color theme="1"/>
        <rFont val="Calibri"/>
        <family val="2"/>
        <scheme val="minor"/>
      </rPr>
      <t>{StoreLongitude}</t>
    </r>
  </si>
  <si>
    <r>
      <t>LST_AddStore_</t>
    </r>
    <r>
      <rPr>
        <b/>
        <sz val="10"/>
        <color theme="1"/>
        <rFont val="Calibri"/>
        <family val="2"/>
        <scheme val="minor"/>
      </rPr>
      <t>{StoreTime}</t>
    </r>
  </si>
  <si>
    <r>
      <t>CHK_AddStore_</t>
    </r>
    <r>
      <rPr>
        <b/>
        <sz val="10"/>
        <color theme="1"/>
        <rFont val="Calibri"/>
        <family val="2"/>
        <scheme val="minor"/>
      </rPr>
      <t>{StoreLocator}</t>
    </r>
  </si>
  <si>
    <r>
      <t>LST_AddStore_</t>
    </r>
    <r>
      <rPr>
        <b/>
        <sz val="10"/>
        <color theme="1"/>
        <rFont val="Calibri"/>
        <family val="2"/>
        <scheme val="minor"/>
      </rPr>
      <t>{StoreType}</t>
    </r>
  </si>
  <si>
    <r>
      <t>CHK_AddStore_</t>
    </r>
    <r>
      <rPr>
        <b/>
        <sz val="10"/>
        <color theme="1"/>
        <rFont val="Calibri"/>
        <family val="2"/>
        <scheme val="minor"/>
      </rPr>
      <t>{StoreATM}</t>
    </r>
  </si>
  <si>
    <r>
      <t>EDT_AddStore_</t>
    </r>
    <r>
      <rPr>
        <b/>
        <sz val="10"/>
        <color theme="1"/>
        <rFont val="Calibri"/>
        <family val="2"/>
        <scheme val="minor"/>
      </rPr>
      <t>{StoreEmailID}</t>
    </r>
  </si>
  <si>
    <r>
      <t>EDT_AddStore_</t>
    </r>
    <r>
      <rPr>
        <b/>
        <sz val="10"/>
        <color theme="1"/>
        <rFont val="Calibri"/>
        <family val="2"/>
        <scheme val="minor"/>
      </rPr>
      <t>{StorePhoneID}</t>
    </r>
  </si>
  <si>
    <r>
      <t>EDT_AddStore_</t>
    </r>
    <r>
      <rPr>
        <b/>
        <sz val="10"/>
        <color theme="1"/>
        <rFont val="Calibri"/>
        <family val="2"/>
        <scheme val="minor"/>
      </rPr>
      <t>{StoreFax}</t>
    </r>
  </si>
  <si>
    <r>
      <t>CHK_AddStore_</t>
    </r>
    <r>
      <rPr>
        <b/>
        <sz val="10"/>
        <color theme="1"/>
        <rFont val="Calibri"/>
        <family val="2"/>
        <scheme val="minor"/>
      </rPr>
      <t>{StorePhNo}</t>
    </r>
  </si>
  <si>
    <r>
      <t>CHK_AddStore_</t>
    </r>
    <r>
      <rPr>
        <b/>
        <sz val="10"/>
        <color theme="1"/>
        <rFont val="Calibri"/>
        <family val="2"/>
        <scheme val="minor"/>
      </rPr>
      <t>{StoreStatusIsActive}</t>
    </r>
  </si>
  <si>
    <r>
      <t>CHK_AddStore_</t>
    </r>
    <r>
      <rPr>
        <b/>
        <sz val="10"/>
        <color theme="1"/>
        <rFont val="Calibri"/>
        <family val="2"/>
        <scheme val="minor"/>
      </rPr>
      <t>{StoreOnlineStatus}</t>
    </r>
  </si>
  <si>
    <r>
      <t>LST_AddStore_</t>
    </r>
    <r>
      <rPr>
        <b/>
        <sz val="10"/>
        <color theme="1"/>
        <rFont val="Calibri"/>
        <family val="2"/>
        <scheme val="minor"/>
      </rPr>
      <t>{StoreHolidayProfile}</t>
    </r>
  </si>
  <si>
    <r>
      <t>CHK_AddStore_</t>
    </r>
    <r>
      <rPr>
        <b/>
        <sz val="10"/>
        <color theme="1"/>
        <rFont val="Calibri"/>
        <family val="2"/>
        <scheme val="minor"/>
      </rPr>
      <t>{EmailIDDisplay}</t>
    </r>
  </si>
  <si>
    <r>
      <t>LST_SALT_AddStore</t>
    </r>
    <r>
      <rPr>
        <b/>
        <sz val="10"/>
        <color theme="1"/>
        <rFont val="Calibri"/>
        <family val="2"/>
        <scheme val="minor"/>
      </rPr>
      <t>{AirportName}</t>
    </r>
  </si>
  <si>
    <r>
      <t>LST_SALT_AddStore</t>
    </r>
    <r>
      <rPr>
        <b/>
        <sz val="10"/>
        <color theme="1"/>
        <rFont val="Calibri"/>
        <family val="2"/>
        <scheme val="minor"/>
      </rPr>
      <t>{AirportLocation}</t>
    </r>
  </si>
  <si>
    <t>Retail store</t>
  </si>
  <si>
    <t>Airport store</t>
  </si>
  <si>
    <t>Implant store</t>
  </si>
  <si>
    <t>Partner store</t>
  </si>
  <si>
    <t>City</t>
  </si>
  <si>
    <t>Airport</t>
  </si>
  <si>
    <t>Airside</t>
  </si>
  <si>
    <t>Implant</t>
  </si>
  <si>
    <t>Partner</t>
  </si>
  <si>
    <t>HomePage_URL</t>
  </si>
  <si>
    <t>EDT_Purchase_ForeignCurr</t>
  </si>
  <si>
    <t>EDT_Purchase_LocalAmount</t>
  </si>
  <si>
    <t>EDT_Purchase_ForeignAmount</t>
  </si>
  <si>
    <t>LBL_Purchase_CashCheckpoint</t>
  </si>
  <si>
    <t>LBL_Purchase_CashPassCheckpoint</t>
  </si>
  <si>
    <t>LST_HappyPath_Pay_Title</t>
  </si>
  <si>
    <t>EDT_HappyPath_Pay_Fname</t>
  </si>
  <si>
    <t>EDT_HappyPath_Pay_Lname</t>
  </si>
  <si>
    <t>EDT_HappyPath_Pay_PhoneNo</t>
  </si>
  <si>
    <t>EDT_HappyPath_Pay_Email</t>
  </si>
  <si>
    <t>EDT_HappyPath_Pay_ConfirmEmail</t>
  </si>
  <si>
    <t>EDT_HappyPath_Pay_AddressFinder</t>
  </si>
  <si>
    <t>EDT_HappyPath_Pay_AddPostCode</t>
  </si>
  <si>
    <t>LST_HappyPath_Pay_CardType</t>
  </si>
  <si>
    <t>EDT_HappyPath_Pay_CardNo</t>
  </si>
  <si>
    <t>LST_HappyPath_Pay_CardMonth</t>
  </si>
  <si>
    <t>LST_HappyPath_Pay_CardYear</t>
  </si>
  <si>
    <t>EDT_HappyPath_Pay_CardSec</t>
  </si>
  <si>
    <t>EDT_HappyPath_Pay_DOBDate</t>
  </si>
  <si>
    <t>LST_HappyPath_Pay_DOBMonth</t>
  </si>
  <si>
    <t>EDT_HappyPath_Pay_DOBYear</t>
  </si>
  <si>
    <t>EDT_SALT_SearchStoreName</t>
  </si>
  <si>
    <t>LST_AddPromo_LoyalCard</t>
  </si>
  <si>
    <t>EDT_HappyPath_Vcode</t>
  </si>
  <si>
    <t>0:00:00:04</t>
  </si>
  <si>
    <t>No fees on your return, save by adding our $0 Fee Buy BackDon't lose out. Take out our $0 Fee Buy Back and we'll buy back your unused foreign currency, commission free, when you return</t>
  </si>
  <si>
    <t>5.00</t>
  </si>
  <si>
    <t>0:00:01:00</t>
  </si>
  <si>
    <t>FullPaymentBankTransfer</t>
  </si>
  <si>
    <t>PartialPaymentBankTransfer</t>
  </si>
  <si>
    <t>HigherPaymentBankTransfer</t>
  </si>
  <si>
    <t>IgnorePaymentBankTransfer</t>
  </si>
  <si>
    <t>18</t>
  </si>
  <si>
    <t>CancelBPayPaidFull</t>
  </si>
  <si>
    <t>CancelBPayPaidPart</t>
  </si>
  <si>
    <t>CancelAndRefundBapyFullPay</t>
  </si>
  <si>
    <t>EUR:-:1][EUR:-:2][EUR:-:3][EUR:-:4][EUR:-:5][EUR:-:6</t>
  </si>
  <si>
    <t>0140000000</t>
  </si>
  <si>
    <t>Mr.</t>
  </si>
  <si>
    <t>yy</t>
  </si>
  <si>
    <t>OrderNumber][PickupDate][ProductType][Currency][ForeignAmt][DomesticAmt][PANs</t>
  </si>
  <si>
    <t>Salt_Login][EnterFirstOrderDetailForAdmin][HandleSecurityAlert][AddOrder][BuyBackConfigurationCheckOnFullSite][EnterShippingLocationForAdmin][SelectFulfilmentOptionForAdmin][DeliveryDateForAdmin][PayForAdmin][ConfirmationForAdmin][ValidateBuyBackOnConfirmationPage][Salt_Logout</t>
  </si>
  <si>
    <t>CloseAdminCallCentre</t>
  </si>
  <si>
    <t>OrdersToUnPackAdmin</t>
  </si>
  <si>
    <t>PreReqUnpack</t>
  </si>
  <si>
    <t>HappyPath_Page1</t>
  </si>
  <si>
    <t>HomePage_URL][EDT_Purchase_ForeignCurr][EDT_Purchase_LocalAmount][EDT_Purchase_ForeignAmount][LBL_Purchase_CashCheckpoint][LBL_Purchase_CashPassCheckpoint</t>
  </si>
  <si>
    <t>HappyPath_Page2</t>
  </si>
  <si>
    <t>HappyPath_PaymentPage</t>
  </si>
  <si>
    <t>HappyPath_ConfirmPg</t>
  </si>
  <si>
    <t>HappyPath_LastPage</t>
  </si>
  <si>
    <t>Commnets</t>
  </si>
  <si>
    <t>DeliveryType</t>
  </si>
  <si>
    <t>SelectPaymentType</t>
  </si>
  <si>
    <t>CREDIT CARD</t>
  </si>
  <si>
    <t>IE</t>
  </si>
  <si>
    <t>EDT_HappyPath_Pay_Street</t>
  </si>
  <si>
    <t>EDT_HappyPath_Pay_Suburb</t>
  </si>
  <si>
    <t>EDT_HappyPath_Pay_City</t>
  </si>
  <si>
    <t>EDT_HappyPath_Pay_PostCode</t>
  </si>
  <si>
    <t>LBL_HappyPath_UseResAdd</t>
  </si>
  <si>
    <t>LST_HappyPath_Pay{IDType}</t>
  </si>
  <si>
    <t>LST_HappyPath_Pay{COI}</t>
  </si>
  <si>
    <t>EDT_HappyPath_Pay_IDNum</t>
  </si>
  <si>
    <t>EDT_HappyPath_Pay_ConIDNum</t>
  </si>
  <si>
    <t>EDT_HappyPath_Pay_CardExpDate</t>
  </si>
  <si>
    <t>LST_HappyPath_Pay_CardExpMon</t>
  </si>
  <si>
    <t>EDT_HappyPath_Pay_CardExpYear</t>
  </si>
  <si>
    <t>EDT_HappyPath_Pay_MMN</t>
  </si>
  <si>
    <r>
      <t>LST_HappyPath_Pay</t>
    </r>
    <r>
      <rPr>
        <b/>
        <sz val="10"/>
        <color theme="1"/>
        <rFont val="Calibri"/>
        <family val="2"/>
        <scheme val="minor"/>
      </rPr>
      <t>{IDType}</t>
    </r>
  </si>
  <si>
    <r>
      <t>LST_HappyPath_Pay</t>
    </r>
    <r>
      <rPr>
        <b/>
        <sz val="10"/>
        <color theme="1"/>
        <rFont val="Calibri"/>
        <family val="2"/>
        <scheme val="minor"/>
      </rPr>
      <t>{COI}</t>
    </r>
  </si>
  <si>
    <t>EDT_HappyPath_Pay_PhNo</t>
  </si>
  <si>
    <t>MMN</t>
  </si>
  <si>
    <t>Salt_LoginNewUI</t>
  </si>
  <si>
    <t>United king</t>
  </si>
  <si>
    <t>LST_HappyPath_Pay_State</t>
  </si>
  <si>
    <t>BANK TRANSFER</t>
  </si>
  <si>
    <t>NOD_SALT_Confirmation{Order_Number}][Order_Total</t>
  </si>
  <si>
    <t>0:00:00:02</t>
  </si>
  <si>
    <t>EDT_HappyPath_Pay_BillingStreet</t>
  </si>
  <si>
    <t>EDT_HappyPath_Pay_BillingSuburb</t>
  </si>
  <si>
    <t>EDT_HappyPath_Pay_BillingCity</t>
  </si>
  <si>
    <t>LST_HappyPath_Pay_BillingState</t>
  </si>
  <si>
    <t>EDT_HappyPath_Pay_BillingPostCode</t>
  </si>
  <si>
    <t>0:00:01:27</t>
  </si>
  <si>
    <t>0:00:01:23</t>
  </si>
  <si>
    <t>0:00:00:42</t>
  </si>
  <si>
    <t>0:00:03:07</t>
  </si>
  <si>
    <t>0:00:05:53</t>
  </si>
  <si>
    <t>0:00:00:57</t>
  </si>
  <si>
    <t>0:00:00:56</t>
  </si>
  <si>
    <t>0:00:01:20</t>
  </si>
  <si>
    <t>0:00:01:09</t>
  </si>
  <si>
    <t>EDT_SALT_AddStore{VaultFulID}</t>
  </si>
  <si>
    <t>LST_SALT_AddStore{FulMethod}</t>
  </si>
  <si>
    <t>LST_SALT_AddStore{SupMethod}</t>
  </si>
  <si>
    <r>
      <t>EDT_SALT_AddStore</t>
    </r>
    <r>
      <rPr>
        <b/>
        <sz val="10"/>
        <color theme="1"/>
        <rFont val="Calibri"/>
        <family val="2"/>
        <scheme val="minor"/>
      </rPr>
      <t>{VaultFulID}</t>
    </r>
  </si>
  <si>
    <r>
      <t>LST_SALT_AddStore</t>
    </r>
    <r>
      <rPr>
        <b/>
        <sz val="10"/>
        <color theme="1"/>
        <rFont val="Calibri"/>
        <family val="2"/>
        <scheme val="minor"/>
      </rPr>
      <t>{FulMethod}</t>
    </r>
  </si>
  <si>
    <r>
      <t>LST_SALT_AddStore</t>
    </r>
    <r>
      <rPr>
        <b/>
        <sz val="10"/>
        <color theme="1"/>
        <rFont val="Calibri"/>
        <family val="2"/>
        <scheme val="minor"/>
      </rPr>
      <t>{SupMethod}</t>
    </r>
  </si>
  <si>
    <t>Salt</t>
  </si>
  <si>
    <t>EDT_SALT_SearchStoreName][LST_AddPromo_LoyalCard][EDT_HappyPath_Vcode][DeliveryType][LST_SALT_Admin{Country}</t>
  </si>
  <si>
    <t>Travelex123</t>
  </si>
  <si>
    <t>Salt_Login][Select_Country][Copy_TC_to_TC][ChangePickupLocForUnpack</t>
  </si>
  <si>
    <t>Pass</t>
  </si>
  <si>
    <t>Salt_Login][Select_Country][Copy_TC_to_TC][CheckFraudOrderInReview</t>
  </si>
  <si>
    <t>Salt_Login][Select_Country][Copy_TC_to_TC][FraudReviewAcceptReject</t>
  </si>
  <si>
    <t>Salt_Login][Select_Country][Copy_TC_to_TC][OrderSearchTC][SelectStore][OrdersToPack</t>
  </si>
  <si>
    <t>Salt_login_fast</t>
  </si>
  <si>
    <t>HappyPath_PaymentPage_New</t>
  </si>
  <si>
    <t>LST_HappyPath_Pay_FullAddress</t>
  </si>
  <si>
    <t>Chris</t>
  </si>
  <si>
    <t>Underwood</t>
  </si>
  <si>
    <t>0:00:05:04</t>
  </si>
  <si>
    <t>C:\BPAY</t>
  </si>
  <si>
    <t>Fail</t>
  </si>
  <si>
    <t>0:00:01:06</t>
  </si>
  <si>
    <t>0:00:06:01</t>
  </si>
  <si>
    <t>P</t>
  </si>
  <si>
    <t>0:00:01:10</t>
  </si>
  <si>
    <t>Y</t>
  </si>
  <si>
    <t>StoreType][BTN_AddStore][EDT_AddStore_{SiteID}][StoreName][EDT_AddStore_{StorePREL}][EDT_AddStore_{StoreFidelity}][LST_AddStore_{StoreOwnPart}][LST_AddStore_{StoreArea}][EDT_AddStore_{StoreAdd1}][EDT_AddStore_{StoreAdd2}][EDT_AddStore_{StoreCity}][LST_AddStore_{StoreState}][EDT_AddStore_{StoreZip}][EDT_AddStore_{StoreLatitude}][EDT_AddStore_{StoreLongitude}][LST_AddStore_{StoreTime}][CHK_AddStore_{StoreLocator}][LST_AddStore_{StoreType}][CHK_AddStore_{StoreATM}][EDT_AddStore_{StoreEmailID}][CHK_AddStore_{StoreATM}][EDT_AddStore_{StorePhoneID}][EDT_AddStore_{StoreFax}][CHK_AddStore_{StorePhNo}][CHK_AddStore_{StoreStatusIsActive}][CHK_AddStore_{StoreOnlineStatus}][LST_AddStore_{StoreHolidayProfile}][CHK_AddStore_{EmailIDDisplay}][LST_SALT_AddStore{AirportName}][LST_SALT_AddStore{AirportLocation}][EDT_SALT_AddStore{VaultFulID}][LST_SALT_AddStore{FulMethod}][LST_SALT_AddStore{SupMethod}][LST_SALT_Admin{Country}</t>
  </si>
  <si>
    <t>UKCountry</t>
  </si>
  <si>
    <t>http://www.travelex.co.uk.rgt.salt/gb/Purchase</t>
  </si>
  <si>
    <t>BankTransferTestingPaymentFull</t>
  </si>
  <si>
    <r>
      <t>LST_SALT_PayFRA</t>
    </r>
    <r>
      <rPr>
        <b/>
        <sz val="10"/>
        <color theme="1"/>
        <rFont val="Calibri"/>
        <family val="2"/>
        <scheme val="minor"/>
      </rPr>
      <t>{DOB_Day}</t>
    </r>
  </si>
  <si>
    <r>
      <t>LST_SALT_PayFRA</t>
    </r>
    <r>
      <rPr>
        <b/>
        <sz val="10"/>
        <color theme="1"/>
        <rFont val="Calibri"/>
        <family val="2"/>
        <scheme val="minor"/>
      </rPr>
      <t>{DOB_Month}</t>
    </r>
  </si>
  <si>
    <r>
      <t>LST_SALT_PayFRA</t>
    </r>
    <r>
      <rPr>
        <b/>
        <sz val="10"/>
        <color theme="1"/>
        <rFont val="Calibri"/>
        <family val="2"/>
        <scheme val="minor"/>
      </rPr>
      <t>{DOB_Year}</t>
    </r>
  </si>
  <si>
    <r>
      <t>LST_SALT_PayFRA</t>
    </r>
    <r>
      <rPr>
        <b/>
        <sz val="10"/>
        <color theme="1"/>
        <rFont val="Calibri"/>
        <family val="2"/>
        <scheme val="minor"/>
      </rPr>
      <t>{IDExp_Day}</t>
    </r>
  </si>
  <si>
    <r>
      <t>LST_SALT_PayFRA</t>
    </r>
    <r>
      <rPr>
        <b/>
        <sz val="10"/>
        <color theme="1"/>
        <rFont val="Calibri"/>
        <family val="2"/>
        <scheme val="minor"/>
      </rPr>
      <t>{IDExp_Month}</t>
    </r>
  </si>
  <si>
    <r>
      <t>LST_SALT_PayFRA</t>
    </r>
    <r>
      <rPr>
        <b/>
        <sz val="10"/>
        <color theme="1"/>
        <rFont val="Calibri"/>
        <family val="2"/>
        <scheme val="minor"/>
      </rPr>
      <t>{IDExp_Year}</t>
    </r>
  </si>
  <si>
    <r>
      <t>EDT_SALT_PayFRA</t>
    </r>
    <r>
      <rPr>
        <b/>
        <sz val="10"/>
        <color theme="1"/>
        <rFont val="Calibri"/>
        <family val="2"/>
        <scheme val="minor"/>
      </rPr>
      <t>{H_Number}</t>
    </r>
  </si>
  <si>
    <r>
      <t>EDT_SALT_PayFRA</t>
    </r>
    <r>
      <rPr>
        <b/>
        <sz val="10"/>
        <color theme="1"/>
        <rFont val="Calibri"/>
        <family val="2"/>
        <scheme val="minor"/>
      </rPr>
      <t>{Resi_Street}</t>
    </r>
  </si>
  <si>
    <r>
      <t>EDT_SALT_PayFRA</t>
    </r>
    <r>
      <rPr>
        <b/>
        <sz val="10"/>
        <color theme="1"/>
        <rFont val="Calibri"/>
        <family val="2"/>
        <scheme val="minor"/>
      </rPr>
      <t>{Aprt_Number}</t>
    </r>
  </si>
  <si>
    <r>
      <t>EDT_SALT_PayFRA</t>
    </r>
    <r>
      <rPr>
        <b/>
        <sz val="10"/>
        <color theme="1"/>
        <rFont val="Calibri"/>
        <family val="2"/>
        <scheme val="minor"/>
      </rPr>
      <t>{Zip}</t>
    </r>
  </si>
  <si>
    <r>
      <t>EDT_SALT_PayFRA</t>
    </r>
    <r>
      <rPr>
        <b/>
        <sz val="10"/>
        <color theme="1"/>
        <rFont val="Calibri"/>
        <family val="2"/>
        <scheme val="minor"/>
      </rPr>
      <t>{City}</t>
    </r>
  </si>
  <si>
    <r>
      <t>LST_SALT_PayFRA</t>
    </r>
    <r>
      <rPr>
        <b/>
        <sz val="10"/>
        <color theme="1"/>
        <rFont val="Calibri"/>
        <family val="2"/>
        <scheme val="minor"/>
      </rPr>
      <t>{CardExp_Month}</t>
    </r>
  </si>
  <si>
    <r>
      <t>LST_SALT_PayFRA</t>
    </r>
    <r>
      <rPr>
        <b/>
        <sz val="10"/>
        <color theme="1"/>
        <rFont val="Calibri"/>
        <family val="2"/>
        <scheme val="minor"/>
      </rPr>
      <t>{CardExp_Year}</t>
    </r>
  </si>
  <si>
    <t>DESC</t>
  </si>
  <si>
    <t>0:00:02:19</t>
  </si>
  <si>
    <t>0:00:02:12</t>
  </si>
  <si>
    <t>2.490400</t>
  </si>
  <si>
    <t>1.591000</t>
  </si>
  <si>
    <t>30 Jun 2015</t>
  </si>
  <si>
    <t>01 Dec 2015</t>
  </si>
  <si>
    <t>1471 - Lower Hutt</t>
  </si>
  <si>
    <t>NZ41041674</t>
  </si>
  <si>
    <t>0:00:02:56</t>
  </si>
  <si>
    <t>0:00:04:38</t>
  </si>
  <si>
    <t>5386430000023202</t>
  </si>
  <si>
    <t>5386430000023210</t>
  </si>
  <si>
    <t>NZ41041690</t>
  </si>
  <si>
    <t>0:00:04:31</t>
  </si>
  <si>
    <t>5386350000030678</t>
  </si>
  <si>
    <t>5386350000030686</t>
  </si>
  <si>
    <t>C:\SVN\SALT ADMIN 525\Projects\SALT\Snapshots\PickUpCashPassportOrder_IN-MU-LT-J27201\201578\202427\Iterator_1\</t>
  </si>
  <si>
    <t>John Doc</t>
  </si>
  <si>
    <t>France</t>
  </si>
  <si>
    <t>0:00:08:46</t>
  </si>
  <si>
    <t>ravindra.redekar@travelex.com</t>
  </si>
  <si>
    <t>FR40041618</t>
  </si>
  <si>
    <t>Travelex New Zealand</t>
  </si>
  <si>
    <t>welin</t>
  </si>
  <si>
    <t>Tauranga</t>
  </si>
  <si>
    <t>Vikay</t>
  </si>
  <si>
    <t>Raj</t>
  </si>
  <si>
    <t>Undefined</t>
  </si>
  <si>
    <t>0:00:08:01</t>
  </si>
  <si>
    <t>1770 - Hamilton Mall</t>
  </si>
  <si>
    <t>NZ40052466</t>
  </si>
  <si>
    <t>NZ41041740</t>
  </si>
  <si>
    <t>0:00:00:52</t>
  </si>
  <si>
    <t>NZ41041757</t>
  </si>
  <si>
    <t>NZ41041765</t>
  </si>
  <si>
    <t>NZ41041773</t>
  </si>
  <si>
    <t>NZ41041823</t>
  </si>
  <si>
    <t>NZ41041732</t>
  </si>
  <si>
    <t>ChangePickUpLocationPacked</t>
  </si>
  <si>
    <t>0:00:02:21</t>
  </si>
  <si>
    <t>We</t>
  </si>
  <si>
    <t>NZ41041856</t>
  </si>
  <si>
    <t>0:00:00:40</t>
  </si>
  <si>
    <t>RFDC-15NQ</t>
  </si>
  <si>
    <t>United States</t>
  </si>
  <si>
    <t>NZ40067555</t>
  </si>
  <si>
    <t>629Y-A0NM|6HPW-AN5P</t>
  </si>
  <si>
    <t>0.5833 EUR</t>
  </si>
  <si>
    <t>NZ40067589</t>
  </si>
  <si>
    <t>NZ41041799</t>
  </si>
  <si>
    <t>AU40049306</t>
  </si>
  <si>
    <t>Bill_Payment</t>
  </si>
  <si>
    <t>NZ41041880</t>
  </si>
  <si>
    <t>0:00:02:28</t>
  </si>
  <si>
    <t>Rivoli</t>
  </si>
  <si>
    <t>NZ41041807</t>
  </si>
  <si>
    <t>1372 - Dunedin</t>
  </si>
  <si>
    <t>Lambton Quay</t>
  </si>
  <si>
    <t>Auckland Test Domestic Airport</t>
  </si>
  <si>
    <t>Mt Maunganui</t>
  </si>
  <si>
    <t>0:00:01:22</t>
  </si>
  <si>
    <t>0:00:01:19</t>
  </si>
  <si>
    <t>Lower North, Oswin, Kim</t>
  </si>
  <si>
    <t>Alberta 1, Gwen Ison</t>
  </si>
  <si>
    <t>(UTC-09:00) Alaska</t>
  </si>
  <si>
    <t>SALT-Alerts-Test@travelex.com</t>
  </si>
  <si>
    <t>Auckland Holidays</t>
  </si>
  <si>
    <t>NZ Vault</t>
  </si>
  <si>
    <t>Bank of Automation</t>
  </si>
  <si>
    <t>0:00:09:35</t>
  </si>
  <si>
    <t>Auckland International Airport</t>
  </si>
  <si>
    <t>Calgary Airport - Automation</t>
  </si>
  <si>
    <t>Halifax Airport Automation</t>
  </si>
  <si>
    <t>0:00:04:29</t>
  </si>
  <si>
    <t>Test Airport Automation</t>
  </si>
  <si>
    <t>February</t>
  </si>
  <si>
    <t>Northern Territory</t>
  </si>
  <si>
    <t>mai</t>
  </si>
  <si>
    <t>janvier</t>
  </si>
  <si>
    <t>Paris</t>
  </si>
  <si>
    <t>Need Assistance?
If you need assistance with your order or if the currency you require is not available, please call our Customer Service Centre on 1800 440 039 (within Australia).
Currency Restrictions:
Some countries impose restrictions on the import/export of local and foreign currencies. You should seek advice from an official government website for the country you may be visiting before placing your order.</t>
  </si>
  <si>
    <t>0:00:06:21</t>
  </si>
  <si>
    <t>3204</t>
  </si>
  <si>
    <t>Review</t>
  </si>
  <si>
    <t>chris.Und@travelex.com</t>
  </si>
  <si>
    <t>43 Werrington Park Avenue</t>
  </si>
  <si>
    <t>Werrington</t>
  </si>
  <si>
    <t>PETERBOROUGH</t>
  </si>
  <si>
    <t>43 Werrington Park Avenue ,252</t>
  </si>
  <si>
    <t>Autotest</t>
  </si>
  <si>
    <t>Payment Fraud and Review -Cash Order</t>
  </si>
  <si>
    <t>http://www.travelex.co.uk.rgt.salt/gb/purchase</t>
  </si>
  <si>
    <t>Visa ( Debit ) - FREE</t>
  </si>
  <si>
    <t>Sai Niwas Kalyan</t>
  </si>
  <si>
    <t>September</t>
  </si>
  <si>
    <t>juin</t>
  </si>
  <si>
    <t>Canada</t>
  </si>
  <si>
    <t>Singapore, Dollar</t>
  </si>
  <si>
    <t>0:00:07:01</t>
  </si>
  <si>
    <t>harshit.wadaskar@travelex.com</t>
  </si>
  <si>
    <t>Cash Order</t>
  </si>
  <si>
    <t>Rahul</t>
  </si>
  <si>
    <t>septembre</t>
  </si>
  <si>
    <t>0:00:06:07</t>
  </si>
  <si>
    <t>Doc</t>
  </si>
  <si>
    <t>1956</t>
  </si>
  <si>
    <t>0:00:06:11</t>
  </si>
  <si>
    <t>1985</t>
  </si>
  <si>
    <t>Cash Pass order</t>
  </si>
  <si>
    <t>December</t>
  </si>
  <si>
    <t>0:00:06:04</t>
  </si>
  <si>
    <t>Krishna</t>
  </si>
  <si>
    <t>1977</t>
  </si>
  <si>
    <t>Singapore</t>
  </si>
  <si>
    <t>Nachi</t>
  </si>
  <si>
    <t>1970</t>
  </si>
  <si>
    <t>0:00:06:06</t>
  </si>
  <si>
    <t>0:00:06:09</t>
  </si>
  <si>
    <t>Milind</t>
  </si>
  <si>
    <t>0:00:06:41</t>
  </si>
  <si>
    <t>BILL PAYMENT</t>
  </si>
  <si>
    <t>0:00:06:16</t>
  </si>
  <si>
    <t>0:00:01:55</t>
  </si>
  <si>
    <t>0:00:06:14</t>
  </si>
  <si>
    <t>Bank_Transfer</t>
  </si>
  <si>
    <t>NZ41041781</t>
  </si>
  <si>
    <t>0:00:06:26</t>
  </si>
  <si>
    <t>NZ41041815</t>
  </si>
  <si>
    <t>NZ41041831</t>
  </si>
  <si>
    <t>0:00:02:01</t>
  </si>
  <si>
    <t>NZ41041849</t>
  </si>
  <si>
    <t>NZ41041872</t>
  </si>
  <si>
    <t>\\gb-pb-gec-vt5\Batch\Swift\NZ\Import</t>
  </si>
  <si>
    <t>0:00:00:03</t>
  </si>
  <si>
    <t>Credit Card</t>
  </si>
  <si>
    <t>\\gb-pb-gec-vt5\Batch\Swift\NZ\Unprocessed</t>
  </si>
  <si>
    <t>BankTransferAutoPaymentPartial</t>
  </si>
  <si>
    <t>NZ41036799</t>
  </si>
  <si>
    <t>BankAutoTransferPaymentHigher</t>
  </si>
  <si>
    <t>NZ41036807</t>
  </si>
  <si>
    <t>BankAutoTransferPaymentIgnore</t>
  </si>
  <si>
    <t>NZ41037334</t>
  </si>
  <si>
    <t>La Garantie Buy Back</t>
  </si>
  <si>
    <t>500,00 €</t>
  </si>
  <si>
    <t>0:00:06:44</t>
  </si>
  <si>
    <t>NZD:-:1][NZD:-:2][NZD:-:3][NZD:-:4][NZD:-:5][NZD:-:6</t>
  </si>
  <si>
    <t>CAD:-:1][CAD:-:2][CAD:-:3][CAD:-:4][CAD:-:5][CAD:-:6</t>
  </si>
  <si>
    <t>471.75:-:1][471.75:-:2][471.75:-:3][471.75:-:4][471.75:-:5][471.75:-:6</t>
  </si>
  <si>
    <t>685.75:-:1][685.75:-:2][685.75:-:3][685.75:-:4][685.75:-:5][685.75:-:6</t>
  </si>
  <si>
    <t>400:-:1][400.00:-:2][400.00:-:3][400.00:-:4][400.00:-:5][400.00:-:6</t>
  </si>
  <si>
    <t>No fees on your return, save by adding our $0 Fee Buy BackDon't lose out. Take out our $0 Fee Buy Back and we'll buy back your unused foreign currency, commission free, when you return.</t>
  </si>
  <si>
    <t>0.8479 CAD</t>
  </si>
  <si>
    <t>Dune</t>
  </si>
  <si>
    <t>Dunedin</t>
  </si>
  <si>
    <t>FR40042095</t>
  </si>
  <si>
    <t>Monsieur</t>
  </si>
  <si>
    <t>Passeport</t>
  </si>
  <si>
    <t>NZD:-:1][NZD:-:2][NZD:-:3][NZD:-:4][NZD:-:5][NZD:-:6][NZD:-:7][NZD:-:8][NZD:-:9][NZD:-:10][NZD:-:1][NZD:-:2][NZD:-:3][NZD:-:4][NZD:-:5][NZD:-:6][NZD:-:7</t>
  </si>
  <si>
    <t>EUR:-:1][EUR:-:2][EUR:-:3][EUR:-:4][EUR:-:5][EUR:-:6][EUR:-:7][EUR:-:8][EUR:-:9][EUR:-:10][EUR:-:1][EUR:-:2][EUR:-:3][EUR:-:4][EUR:-:5][EUR:-:6][EUR:-:7</t>
  </si>
  <si>
    <t>1028.63:-:1][1,028.63:-:2][1,028.63:-:3][1,028.63:-:4][1,028.63:-:5][1,028.63:-:6][1,028.63:-:7][1,028.63:-:8][1,028.63:-:9][1,028.63:-:10][1,028.63:-:1][1,028.63:-:2][1,028.63:-:3][1,028.63:-:4][1,028.63:-:5][1,028.63:-:6][1,028.63:-:7</t>
  </si>
  <si>
    <t>0:00:00:58</t>
  </si>
  <si>
    <t>0:00:00:50</t>
  </si>
  <si>
    <t>ChangeOrderIDPendingPackingStore</t>
  </si>
  <si>
    <t>0:00:00:28</t>
  </si>
  <si>
    <t>0:00:00:32</t>
  </si>
  <si>
    <t>0:00:00:54</t>
  </si>
  <si>
    <t>NZ41041898</t>
  </si>
  <si>
    <t>0:00:00:46</t>
  </si>
  <si>
    <t>DESC][App_Name][App_Env][UserType</t>
  </si>
  <si>
    <t>Salt_Login][Select_Country][Copy_TC_to_TC][RefundDashBoard</t>
  </si>
  <si>
    <t>Salt_Login][Select_Country][Copy_TC_to_TC][RefundDashboardCancellation</t>
  </si>
  <si>
    <t>Salt_Login][Select_Country][Copy_TC_to_TC][VaultDashBoardView</t>
  </si>
  <si>
    <t>Salt_Login][Select_Country][Copy_TC_to_TC][VaultDashBoardOrdersToPack</t>
  </si>
  <si>
    <t>Salt_AdminLogin][Select_Country][Copy_TC_to_TC][OrderSearchTC][SelectStore][OrdersToPickUp</t>
  </si>
  <si>
    <t>Salt_AdminLogin][Select_Country][Copy_TC_to_TC][OrderSearchTC][PackOrder][SelectStore][PreReqUnpack][SelectStore][OrdersToUnPackAdmin</t>
  </si>
  <si>
    <t>Salt_AdminLogin][Select_Country][Copy_TC_to_TC][OrderSearchTC][CountryLoadBeforeExecution][PackOrder</t>
  </si>
  <si>
    <t>Salt_AdminLogin][Select_Country][Copy_TC_to_TC][OrderSearchTC][PackOrder</t>
  </si>
  <si>
    <t>Salt_AdminLogin][Select_Country][Copy_TC_to_TC][OrderSearchTC][PackOrder][PickUpOrder</t>
  </si>
  <si>
    <t>Salt_AdminLogin][Select_Country][Copy_TC_to_TC][OrderSearchTC][CountryLoadBeforeExecution][AdminCancelPendingUnpckingStore</t>
  </si>
  <si>
    <t>Salt_AdminLogin][Select_Country][Copy_TC_to_TC][CountryLoadBeforeExecution][CancelPendingPackingStoreAndHome</t>
  </si>
  <si>
    <t>Salt_Login][Select_Country][CheckCallCenterOptions][VerifySubmitNewOrderOption][CloseAdminCallCentre][HandleSecurityAlert][EnterShippingLocationForAdmin][SelectFulfilmentOptionForAdmin][DeliveryDateForAdmin][PayForAdmin][ConfirmationForAdmin</t>
  </si>
  <si>
    <t>Salt_AdminLogin][Select_Country][Copy_TC_to_TC][ChangePickUpDate</t>
  </si>
  <si>
    <t>Salt_Login][Select_Country][Copy_TC_to_TC][BPAY_Payments</t>
  </si>
  <si>
    <t>Salt_AdminLogin][Select_Country][Copy_TC_to_TC][CountryLoadBeforeExecution][BPAY_Payments</t>
  </si>
  <si>
    <t>OrderNumber][Country</t>
  </si>
  <si>
    <t>OrderNumber][Spot Rate][Original Rate][Custom rate][Cancellation Fee][Country][Payment_Type</t>
  </si>
  <si>
    <t>Salt_AdminLogin][Select_Country][ConfigurationBuyBackCountryLevel</t>
  </si>
  <si>
    <t>Salt_AdminLogin][Select_Country][ConfigurationBuyBackRetailPartnerLevel</t>
  </si>
  <si>
    <t>Salt_AdminLogin][Select_Country][Copy_TC_to_TC][BybackNumber</t>
  </si>
  <si>
    <t>Salt_Login][ValidateBuyBackOnConfirmationPage</t>
  </si>
  <si>
    <t>Salt_AdminLogin][Select_Country][MakeBuybackActiveForCountry][MakeBuybackActiveForPartner</t>
  </si>
  <si>
    <t>Salt_AdminLogin][Select_Country][Copy_TC_to_TC][CountryLoadBeforeExecution][CancelBankTransBpay</t>
  </si>
  <si>
    <t>Salt_Login][EnterFirstOrderDetailForAdmin][HandleSecurityAlert][BuyBackConfigurationCheckOnFullSite][EnterShippingLocationForAdmin][SelectFulfilmentOptionForAdmin][DeliveryDateForAdmin][PayForAdmin][ConfirmationForAdmin][ValidateBuyBackOnConfirmationPage</t>
  </si>
  <si>
    <t>Salt_AdminLogin][Select_Country][Copy_TC_to_TC][CountryLoadBeforeExecution][CancelBPAYBankTransferPending</t>
  </si>
  <si>
    <t>Salt_AdminLogin][Select_Country][SelectStore][PrintUnpackOrder</t>
  </si>
  <si>
    <t>Salt_AdminLogin][Select_Country][Copy_TC_to_TC][ValidateOrderStatusCompletedForCallCentre][ChangeOrderID][ChangeIDDetails</t>
  </si>
  <si>
    <t>Salt_AdminLogin][Select_Country][Copy_TC_to_TC][OrderSearchTC][SelectStore][ChangePickupLocation</t>
  </si>
  <si>
    <t>Salt_AdminLogin][Select_Country][Copy_TC_to_TC][SearchOrderThroughCallCentre</t>
  </si>
  <si>
    <t>Salt_AdminLogin][Select_Country][Copy_TC_to_TC][BPAY_Payments</t>
  </si>
  <si>
    <t>Salt_AdminLogin][Select_Country][Copy_TC_to_TC][OrderSearchTC][CountryLoadBeforeExecution][CancelPendingPackingStoreAndHome</t>
  </si>
  <si>
    <t>Salt_AdminLogin][Select_Country][Copy_TC_to_TC][Select_Country][RefundDashBoard][RefundDashboardCancellation</t>
  </si>
  <si>
    <t>ChangeOrderIDPendingPackingStore1</t>
  </si>
  <si>
    <t>Salt_AdminLogin][Select_Country][Copy_TC_to_TC][OrderSearchTC][SelectStore][ChangeOrderID</t>
  </si>
  <si>
    <t>Salt_AdminLogin][Select_Country][Copy_TC_to_TC][OrderSearchTC][SelectStore][PackOrderFirst][SelectStore][ChangePickupLocation</t>
  </si>
  <si>
    <t>Salt_AdminLogin][Select_Country][ValidateLeadTime</t>
  </si>
  <si>
    <t>Salt_AdminLogin][Select_Country][EditStoreLeadTime</t>
  </si>
  <si>
    <t>Salt_AdminLogin][Select_Country][AddStoreInAdmin][ValidateLeadTime][EditStoreLeadTime</t>
  </si>
  <si>
    <t>Salt_AdminLogin][Select_Country][ValidatePaymentTypes</t>
  </si>
  <si>
    <t>Salt_AdminLogin][Select_Country][ValidateLeadTimePaymentPage</t>
  </si>
  <si>
    <t>Salt_AdminLogin][Select_Country][ValidatePaymentLeadTime</t>
  </si>
  <si>
    <t>TestAutomation</t>
  </si>
  <si>
    <t>Salt_AdminLogin][Select_Country][Copy_TC_to_TC][OrderSearchTC][PackOrder][CancelOrderCallCentre][AdminCancelPendingUnpckingStore</t>
  </si>
  <si>
    <t>Salt_AdminLogin][Select_Country][Copy_TC_to_TC][OrderSearchTC][PackOrder][CancelOrderCallCentre][CancelPendingAdminUnpckingStore</t>
  </si>
  <si>
    <t>Salt_Login_Fast][HappyPath_Page1][SelectPaymentType][HappyPath_Page2][HappyPath_PaymentPage][HappyPath_ConfirmPg][HappyPath_LastPage</t>
  </si>
  <si>
    <t>BuyBack Name][Fees][Country</t>
  </si>
  <si>
    <t>PayFRA</t>
  </si>
  <si>
    <t>Country][LST_SALT_Pay{Title}][EDT_SALT_Pay{FirstName}][EDT_SALT_Pay{MiddleName}][EDT_SALT_Pay{LastName}][LST_SALT_PayFRA{DOB_Day}][LST_SALT_PayFRA{DOB_Month}][LST_SALT_PayFRA{DOB_Year}][LST_SALT_Pay{ID_Type}][LST_SALT_Pay{CountryOfIssue}][EDT_SALT_Pay{ID_Number}][EDT_SALT_Pay{Confirm_IDNumber}][LST_SALT_PayFRA{IDExp_Day}][LST_SALT_PayFRA{IDExp_Month}][LST_SALT_PayFRA{IDExp_Year}][EDT_SALT_Pay{Mother_MaidenName}][EDT_SALT_Pay{Cell_Phone}][EDT_SALT_Pay{Home_Phone}][EDT_SALT_Pay{Email_Address}][EDT_SALT_Pay{Confirm_EmailAddress}][EDT_SALT_PayFRA{H_Number}][EDT_SALT_PayFRA{Resi_Street}][EDT_SALT_PayFRA{Aprt_Number}][EDT_SALT_PayFRA{Zip}][EDT_SALT_PayFRA{City}][Payment_Type][LST_SALT_Pay{Card_Type}][EDT_SALT_Pay{Card_Number}][EDT_SALT_Pay{Card_FirstName}][EDT_SALT_Pay{Card_LastName}][EDT_SALT_Pay{Security_Code}][LST_SALT_PayFRA{CardExp_Month}][LST_SALT_PayFRA{CardExp_Year}][CHK_SALT_Pay{Special_Offers}][CHK_SALT_Pay{TermsAndConditions}][Order_Total][Country</t>
  </si>
  <si>
    <t>ValidateOrderStatusCompletedForCallCentre</t>
  </si>
  <si>
    <t>StoreName][StoreType][EDT_AddStore_{SiteID}</t>
  </si>
  <si>
    <t>StoreType][StoreName][EDT_AddStore_{SiteID}</t>
  </si>
  <si>
    <t>LST_HappyPath_Pay_Title][EDT_HappyPath_Pay_Fname][EDT_HappyPath_Pay_Lname][EDT_HappyPath_Pay_PhNo][EDT_HappyPath_Pay_PhoneNo][EDT_HappyPath_Pay_Email][EDT_HappyPath_Pay_ConfirmEmail][EDT_HappyPath_Pay_Street][EDT_HappyPath_Pay_Suburb][EDT_HappyPath_Pay_City][LST_HappyPath_Pay_State][EDT_HappyPath_Pay_PostCode][EDT_HappyPath_Pay_AddressFinder][EDT_HappyPath_Pay_AddPostCode][LST_HappyPath_Pay_CardType][EDT_HappyPath_Pay_CardNo][LST_HappyPath_Pay_CardMonth][LST_HappyPath_Pay_CardYear][EDT_HappyPath_Pay_CardSec][EDT_HappyPath_Pay_DOBDate][LST_HappyPath_Pay_DOBMonth][EDT_HappyPath_Pay_DOBYear][LBL_HappyPath_UseResAdd][LST_HappyPath_Pay{IDType}][LST_HappyPath_Pay{COI}][EDT_HappyPath_Pay_IDNum][EDT_HappyPath_Pay_ConIDNum][EDT_HappyPath_Pay_CardExpDate][LST_HappyPath_Pay_CardExpMon][EDT_HappyPath_Pay_CardExpYear][EDT_HappyPath_Pay_MMN][EDT_HappyPath_Pay_BillingStreet][EDT_HappyPath_Pay_BillingSuburb][EDT_HappyPath_Pay_BillingCity][LST_HappyPath_Pay_BillingState][EDT_HappyPath_Pay_BillingPostCode][Payment_Type</t>
  </si>
  <si>
    <t>NewUISelectStore</t>
  </si>
  <si>
    <t>LST_SALT_PayFRA{DOB_Day}</t>
  </si>
  <si>
    <t>LST_SALT_PayFRA{DOB_Month}</t>
  </si>
  <si>
    <t>LST_SALT_PayFRA{DOB_Year}</t>
  </si>
  <si>
    <t>LST_SALT_PayFRA{IDExp_Day}</t>
  </si>
  <si>
    <t>LST_SALT_PayFRA{IDExp_Month}</t>
  </si>
  <si>
    <t>LST_SALT_PayFRA{IDExp_Year}</t>
  </si>
  <si>
    <t>EDT_SALT_PayFRA{H_Number}</t>
  </si>
  <si>
    <t>EDT_SALT_PayFRA{Resi_Street}</t>
  </si>
  <si>
    <t>EDT_SALT_PayFRA{Aprt_Number}</t>
  </si>
  <si>
    <t>EDT_SALT_PayFRA{Zip}</t>
  </si>
  <si>
    <t>EDT_SALT_PayFRA{City}</t>
  </si>
  <si>
    <t>LST_SALT_PayFRA{CardExp_Month}</t>
  </si>
  <si>
    <t>LST_SALT_PayFRA{CardExp_Year}</t>
  </si>
  <si>
    <t>p</t>
  </si>
  <si>
    <t>11-15-25</t>
  </si>
  <si>
    <t>12-16</t>
  </si>
  <si>
    <t>13-17</t>
  </si>
  <si>
    <t>14-18</t>
  </si>
  <si>
    <t>fail order status has not been displayed  - Which is not in the fraud revies</t>
  </si>
  <si>
    <t>OldUITestCase</t>
  </si>
  <si>
    <t>CancellBPayPaidFull</t>
  </si>
  <si>
    <t>CancellBPayPaidPart</t>
  </si>
  <si>
    <t xml:space="preserve">First Run Happy Path 25 then 4th itreation of BPAYbillpayBankTransferPaymentFull </t>
  </si>
  <si>
    <t>PE27AD</t>
  </si>
  <si>
    <t>Salt_Login_Fast][HappyPath_Page1][SelectPaymentType][HappyPath_Page2][HappyPath_PaymentPage_New][HappyPath_ConfirmPg][HappyPath_LastPage</t>
  </si>
  <si>
    <t xml:space="preserve"> </t>
  </si>
  <si>
    <t>United Kingdom</t>
  </si>
  <si>
    <t>Total:
£ 1323.05</t>
  </si>
  <si>
    <t>Total:
£ 1104.21</t>
  </si>
  <si>
    <t>0:00:02:15</t>
  </si>
  <si>
    <t>Total:
£ 1334.50</t>
  </si>
  <si>
    <t>Total:
£ 673.48</t>
  </si>
  <si>
    <t>0:00:02:18</t>
  </si>
  <si>
    <t>0:00:02:17</t>
  </si>
  <si>
    <t>0:00:02:09</t>
  </si>
  <si>
    <t>PaymentType][LST_HappyPath_Pay_Title][EDT_HappyPath_Pay_Fname][EDT_HappyPath_Pay_Lname][EDT_HappyPath_Pay_PhNo][EDT_HappyPath_Pay_PhoneNo][EDT_HappyPath_Pay_Email][EDT_HappyPath_Pay_ConfirmEmail][EDT_HappyPath_Pay_Street][EDT_HappyPath_Pay_Suburb][EDT_HappyPath_Pay_City][LST_HappyPath_Pay_State][EDT_HappyPath_Pay_BillingStreet][EDT_HappyPath_Pay_BillingSuburb][EDT_HappyPath_Pay_BillingCity][LST_HappyPath_Pay_BillingState][EDT_HappyPath_Pay_BillingPostCode][LST_HappyPath_Pay_FullAddress][EDT_HappyPath_Pay_PostCode][EDT_HappyPath_Pay_AddressFinder][EDT_HappyPath_Pay_AddPostCode][LST_HappyPath_Pay_CardType][EDT_HappyPath_Pay_CardNo][LST_HappyPath_Pay_CardMonth][LST_HappyPath_Pay_CardYear][EDT_HappyPath_Pay_CardSec][EDT_HappyPath_Pay_DOBDate][LST_HappyPath_Pay_DOBMonth][EDT_HappyPath_Pay_DOBYear][LBL_HappyPath_UseResAdd][LST_HappyPath_Pay{IDType}][LST_HappyPath_Pay{COI}][EDT_HappyPath_Pay_IDNum][EDT_HappyPath_Pay_ConIDNum][EDT_HappyPath_Pay_CardExpDate][LST_HappyPath_Pay_CardExpMon][App_Env][EDT_HappyPath_Pay_CardExpYear][EDT_HappyPath_Pay_MMN</t>
  </si>
  <si>
    <t>Total
£ 632.00</t>
  </si>
  <si>
    <t>Store Collection</t>
  </si>
  <si>
    <t>Westfield Stratford City</t>
  </si>
  <si>
    <t>Total
£ 670.48</t>
  </si>
  <si>
    <t>GB41042821</t>
  </si>
  <si>
    <t>0:00:14:28</t>
  </si>
  <si>
    <t>Total
£ 1331.50</t>
  </si>
  <si>
    <t>0:00:02:59</t>
  </si>
  <si>
    <t>GB41042870</t>
  </si>
  <si>
    <t>0:00:02:50</t>
  </si>
  <si>
    <t>Total
£ 1101.21</t>
  </si>
  <si>
    <t>GB41042904</t>
  </si>
  <si>
    <t>Total
£ 1320.05</t>
  </si>
  <si>
    <t>0:00:03:10</t>
  </si>
  <si>
    <t>GB41042912</t>
  </si>
  <si>
    <t>GB41042920</t>
  </si>
  <si>
    <t>Total:
£ 1320.05</t>
  </si>
  <si>
    <t>0:00:02:52</t>
  </si>
  <si>
    <t>Total:
£ 1101.21</t>
  </si>
  <si>
    <t>0:00:02:42</t>
  </si>
  <si>
    <t>Total:
£ 670.48</t>
  </si>
  <si>
    <t>0:00:02:54</t>
  </si>
  <si>
    <t>C:\SVN\SALT ADMIN 525\Projects\SALT\Snapshots\HappyPath_SingleProduct_AUS_IN-MU-LT-J27423\2015723\161747\Iterator_14\</t>
  </si>
  <si>
    <t>C:\SVN\SALT ADMIN 525\Projects\SALT\Snapshots\HappyPath_SingleProduct_AUS_IN-MU-LT-J27423\2015723\163413\Iterator_11\</t>
  </si>
  <si>
    <t>GB41042946</t>
  </si>
  <si>
    <t>0:00:08:41</t>
  </si>
  <si>
    <t>GB41042953</t>
  </si>
  <si>
    <t>HappyPath_SingleProduct_UK</t>
  </si>
  <si>
    <t>0:00:17:25</t>
  </si>
  <si>
    <t>1056 - Westfield - Stratford</t>
  </si>
  <si>
    <t>GB41043399</t>
  </si>
  <si>
    <t>0:00:02:57</t>
  </si>
  <si>
    <t>0:00:02:07</t>
  </si>
  <si>
    <t>GB41043514</t>
  </si>
  <si>
    <t>0:00:03:52</t>
  </si>
  <si>
    <t>0:00:04:35</t>
  </si>
  <si>
    <t>GB41043605</t>
  </si>
  <si>
    <t>0:00:04:52</t>
  </si>
  <si>
    <t>0:00:11:04</t>
  </si>
  <si>
    <t>0:00:05:02</t>
  </si>
  <si>
    <t>0:00:01:47</t>
  </si>
  <si>
    <t>0:00:05:38</t>
  </si>
  <si>
    <t>0:00:03:41</t>
  </si>
  <si>
    <t>4007 - London – Tower of London Store (Tower Hill)</t>
  </si>
  <si>
    <t>GB41043779</t>
  </si>
  <si>
    <t>0:00:05:47</t>
  </si>
  <si>
    <t>EUR 1,000.00</t>
  </si>
  <si>
    <t>Total
£ 664.89</t>
  </si>
  <si>
    <t>Completed</t>
  </si>
  <si>
    <t>GB41044850</t>
  </si>
  <si>
    <t>0:00:10:59</t>
  </si>
  <si>
    <t>1,331.50</t>
  </si>
  <si>
    <t>0:00:02:38</t>
  </si>
  <si>
    <t>0:00:01:40</t>
  </si>
  <si>
    <t>0:00:04:12</t>
  </si>
  <si>
    <t>GB41045147</t>
  </si>
  <si>
    <t>0:00:03:00</t>
  </si>
  <si>
    <t>GB41045154</t>
  </si>
  <si>
    <t>0:00:01:32</t>
  </si>
  <si>
    <t>Salt_Login][Select_Country][Test_Admin</t>
  </si>
  <si>
    <t>Start_Test</t>
  </si>
  <si>
    <t>C:\SVN_ENHANCE\SALT ADMIN 525\Projects\SALT\Snapshots\TEST_IN-MU-LT-J27423\20151215\122645\Iterator_1\</t>
  </si>
  <si>
    <t>TEST_Admin</t>
  </si>
  <si>
    <t>Saltsuperadmin1</t>
  </si>
  <si>
    <t>0:00:00:41</t>
  </si>
  <si>
    <t>Test_Admin</t>
  </si>
  <si>
    <t>Trail_CheckOrdersToPack</t>
  </si>
  <si>
    <t>OrderNUmberSearch</t>
  </si>
  <si>
    <t>Pending_Packing_Store</t>
  </si>
  <si>
    <t>GB41018979</t>
  </si>
  <si>
    <t>10 Dec 2015</t>
  </si>
  <si>
    <t>15 Dec 2015</t>
  </si>
  <si>
    <t>Search_Order</t>
  </si>
  <si>
    <t>Store_Name][From_Date][To_Date</t>
  </si>
  <si>
    <t>Copy_OrderNumber_TO_DataSheet</t>
  </si>
  <si>
    <t>From_Date</t>
  </si>
  <si>
    <t>To_Date</t>
  </si>
  <si>
    <t>Temp_Order_Status</t>
  </si>
  <si>
    <t>Temp_OrderNumber</t>
  </si>
  <si>
    <t>Salt_Login][Select_Country][Copy_OrderNumber_TO_DataSheet</t>
  </si>
  <si>
    <t>Temp_ORDNUM</t>
  </si>
  <si>
    <t>Temp_Order_Status][Store_Name][From_Date][To_Date][Temp_ORDNUM</t>
  </si>
  <si>
    <t>C:\SVN_ENHANCE\SALT ADMIN 525\Projects\SALT\Snapshots\Trail_CheckOrdersToPack_IN-MU-LT-J27423\20151217\154030\Iterator_1\</t>
  </si>
  <si>
    <t>Avatar_Reloaded</t>
  </si>
  <si>
    <t>Salt_Login][Select_Country][Travelex_Reloaded</t>
  </si>
  <si>
    <t>Travelex_Reloaded</t>
  </si>
  <si>
    <t>31 Dec 2015</t>
  </si>
  <si>
    <t>0:00:00:44</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</si>
</sst>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quot;£&quot;#,##0.00;[Red]\-&quot;£&quot;#,##0.00"/>
    <numFmt numFmtId="165" formatCode="_(&quot;$&quot;* #,##0.00_);_(&quot;$&quot;* \(#,##0.00\);_(&quot;$&quot;* &quot;-&quot;??_);_(@_)"/>
    <numFmt numFmtId="166" formatCode="#,##0.000000"/>
  </numFmts>
  <fonts count="19">
    <font>
      <sz val="11"/>
      <color theme="1"/>
      <name val="Calibri"/>
      <family val="2"/>
      <scheme val="minor"/>
    </font>
    <font>
      <sz val="11"/>
      <color theme="1"/>
      <name val="Calibri"/>
      <family val="2"/>
      <scheme val="minor"/>
    </font>
    <font>
      <sz val="10"/>
      <color theme="1"/>
      <name val="Arial"/>
      <family val="2"/>
    </font>
    <font>
      <b/>
      <sz val="10"/>
      <color theme="1"/>
      <name val="Calibri"/>
      <family val="2"/>
      <scheme val="minor"/>
    </font>
    <font>
      <sz val="10"/>
      <name val="Mic Shell Dlg"/>
      <charset val="1"/>
    </font>
    <font>
      <sz val="10"/>
      <name val="Arial"/>
      <family val="2"/>
    </font>
    <font>
      <b/>
      <sz val="10"/>
      <color theme="3"/>
      <name val="Calibri"/>
      <family val="2"/>
      <scheme val="minor"/>
    </font>
    <font>
      <b/>
      <sz val="10"/>
      <name val="Calibri"/>
      <family val="2"/>
      <scheme val="minor"/>
    </font>
    <font>
      <sz val="10"/>
      <color theme="1"/>
      <name val="Calibri"/>
      <family val="2"/>
      <scheme val="minor"/>
    </font>
    <font>
      <b/>
      <sz val="11"/>
      <color theme="1"/>
      <name val="Calibri"/>
      <family val="2"/>
      <scheme val="minor"/>
    </font>
    <font>
      <u/>
      <sz val="11"/>
      <color theme="10"/>
      <name val="Calibri"/>
      <family val="2"/>
      <scheme val="minor"/>
    </font>
    <font>
      <b/>
      <sz val="1"/>
      <color rgb="FFD9D9D9"/>
      <name val="Calibri"/>
      <family val="2"/>
      <scheme val="minor"/>
    </font>
    <font>
      <sz val="9"/>
      <color indexed="81"/>
      <name val="Tahoma"/>
      <family val="2"/>
    </font>
    <font>
      <b/>
      <sz val="9"/>
      <color indexed="81"/>
      <name val="Tahoma"/>
      <family val="2"/>
    </font>
    <font>
      <sz val="10"/>
      <color rgb="FFFF0000"/>
      <name val="Calibri"/>
      <family val="2"/>
      <scheme val="minor"/>
    </font>
    <font>
      <sz val="9"/>
      <color theme="1"/>
      <name val="Bookman Old Style"/>
      <family val="1"/>
    </font>
    <font>
      <sz val="11"/>
      <name val="Calibri"/>
      <family val="2"/>
      <scheme val="minor"/>
    </font>
    <font>
      <sz val="9"/>
      <color rgb="FF222222"/>
      <name val="Consolas"/>
      <family val="3"/>
    </font>
    <font>
      <b/>
      <sz val="48"/>
      <color theme="1"/>
      <name val="Calibri"/>
      <family val="2"/>
      <scheme val="minor"/>
    </font>
  </fonts>
  <fills count="17">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theme="0" tint="-0.14996795556505021"/>
        <bgColor indexed="64"/>
      </patternFill>
    </fill>
    <fill>
      <patternFill patternType="solid">
        <fgColor rgb="FFFFFFFF"/>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0000"/>
        <bgColor indexed="64"/>
      </patternFill>
    </fill>
    <fill>
      <patternFill patternType="solid">
        <fgColor theme="3" tint="0.79998168889431442"/>
        <bgColor indexed="64"/>
      </patternFill>
    </fill>
    <fill>
      <patternFill patternType="solid">
        <fgColor theme="5"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style="medium">
        <color indexed="64"/>
      </left>
      <right style="thin">
        <color indexed="64"/>
      </right>
      <top style="thin">
        <color indexed="64"/>
      </top>
      <bottom style="medium">
        <color indexed="64"/>
      </bottom>
      <diagonal/>
    </border>
  </borders>
  <cellStyleXfs count="17">
    <xf numFmtId="0" fontId="0" fillId="0" borderId="0"/>
    <xf numFmtId="0" fontId="1" fillId="0" borderId="0"/>
    <xf numFmtId="0" fontId="2" fillId="0" borderId="0"/>
    <xf numFmtId="0" fontId="2" fillId="0" borderId="0"/>
    <xf numFmtId="0" fontId="4" fillId="0" borderId="0"/>
    <xf numFmtId="0" fontId="5" fillId="0" borderId="0"/>
    <xf numFmtId="0" fontId="1" fillId="0" borderId="0"/>
    <xf numFmtId="0" fontId="2" fillId="0" borderId="0"/>
    <xf numFmtId="0" fontId="2" fillId="0" borderId="0"/>
    <xf numFmtId="0" fontId="1" fillId="0" borderId="0"/>
    <xf numFmtId="0" fontId="2" fillId="0" borderId="0"/>
    <xf numFmtId="0" fontId="2" fillId="0" borderId="0"/>
    <xf numFmtId="0" fontId="2" fillId="0" borderId="0"/>
    <xf numFmtId="0" fontId="4" fillId="0" borderId="0"/>
    <xf numFmtId="0" fontId="5" fillId="0" borderId="0"/>
    <xf numFmtId="165" fontId="2" fillId="0" borderId="0" applyFont="0" applyFill="0" applyBorder="0" applyAlignment="0" applyProtection="0"/>
    <xf numFmtId="0" fontId="10" fillId="0" borderId="0" applyNumberFormat="0" applyFill="0" applyBorder="0" applyAlignment="0" applyProtection="0"/>
  </cellStyleXfs>
  <cellXfs count="235">
    <xf numFmtId="0" fontId="0" fillId="0" borderId="0" xfId="0"/>
    <xf numFmtId="0" fontId="0" fillId="0" borderId="1" xfId="0" applyBorder="1"/>
    <xf numFmtId="0" fontId="0" fillId="0" borderId="2" xfId="0" applyBorder="1"/>
    <xf numFmtId="0" fontId="0" fillId="0" borderId="0" xfId="0" applyBorder="1"/>
    <xf numFmtId="0" fontId="1" fillId="3" borderId="0" xfId="1" applyFill="1"/>
    <xf numFmtId="0" fontId="0" fillId="0" borderId="1" xfId="0" quotePrefix="1" applyBorder="1"/>
    <xf numFmtId="14" fontId="0" fillId="0" borderId="1" xfId="0" applyNumberFormat="1" applyBorder="1"/>
    <xf numFmtId="0" fontId="9" fillId="0" borderId="1" xfId="0" applyFont="1" applyBorder="1"/>
    <xf numFmtId="0" fontId="0" fillId="0" borderId="1" xfId="0" applyBorder="1" applyAlignment="1">
      <alignment wrapText="1"/>
    </xf>
    <xf numFmtId="0" fontId="0" fillId="0" borderId="2" xfId="0" applyBorder="1" applyAlignment="1">
      <alignment wrapText="1"/>
    </xf>
    <xf numFmtId="0" fontId="0" fillId="7" borderId="0" xfId="0" applyFill="1"/>
    <xf numFmtId="0" fontId="0" fillId="8" borderId="0" xfId="0" applyFill="1"/>
    <xf numFmtId="0" fontId="0" fillId="0" borderId="2" xfId="0" quotePrefix="1" applyBorder="1" applyAlignment="1">
      <alignment wrapText="1"/>
    </xf>
    <xf numFmtId="0" fontId="0" fillId="0" borderId="0" xfId="0"/>
    <xf numFmtId="0" fontId="0" fillId="0" borderId="0" xfId="0" applyFill="1"/>
    <xf numFmtId="0" fontId="10" fillId="0" borderId="0" xfId="16" applyAlignment="1">
      <alignment horizontal="left" vertical="top" wrapText="1" shrinkToFit="1"/>
    </xf>
    <xf numFmtId="22" fontId="0" fillId="0" borderId="0" xfId="0" applyNumberFormat="1" applyAlignment="1">
      <alignment horizontal="left" vertical="top" wrapText="1"/>
    </xf>
    <xf numFmtId="0" fontId="14" fillId="0" borderId="1" xfId="0" quotePrefix="1" applyFont="1" applyFill="1" applyBorder="1" applyAlignment="1">
      <alignment wrapText="1"/>
    </xf>
    <xf numFmtId="0" fontId="0" fillId="0" borderId="0" xfId="0" applyAlignment="1">
      <alignment vertical="top"/>
    </xf>
    <xf numFmtId="0" fontId="0" fillId="2" borderId="0" xfId="0" applyFill="1" applyAlignment="1">
      <alignment horizontal="left" vertical="top"/>
    </xf>
    <xf numFmtId="0" fontId="0" fillId="0" borderId="0" xfId="0" applyAlignment="1">
      <alignment horizontal="right" vertical="top" wrapText="1"/>
    </xf>
    <xf numFmtId="0" fontId="0" fillId="0" borderId="0" xfId="0" applyAlignment="1">
      <alignment vertical="top" wrapText="1"/>
    </xf>
    <xf numFmtId="0" fontId="0" fillId="0" borderId="0" xfId="0" applyAlignment="1">
      <alignment horizontal="left" vertical="top" wrapText="1" shrinkToFit="1"/>
    </xf>
    <xf numFmtId="0" fontId="0" fillId="0" borderId="0" xfId="0" quotePrefix="1" applyAlignment="1">
      <alignment vertical="top" wrapText="1"/>
    </xf>
    <xf numFmtId="0" fontId="10" fillId="0" borderId="0" xfId="16" quotePrefix="1" applyAlignment="1">
      <alignment horizontal="left" vertical="top" wrapText="1"/>
    </xf>
    <xf numFmtId="0" fontId="0" fillId="0" borderId="0" xfId="0" applyBorder="1" applyAlignment="1">
      <alignment vertical="top" wrapText="1" shrinkToFit="1"/>
    </xf>
    <xf numFmtId="0" fontId="0" fillId="0" borderId="0" xfId="0" applyFill="1" applyAlignment="1">
      <alignment vertical="top"/>
    </xf>
    <xf numFmtId="4" fontId="0" fillId="0" borderId="0" xfId="0" applyNumberFormat="1" applyAlignment="1">
      <alignment horizontal="left" vertical="top" wrapText="1"/>
    </xf>
    <xf numFmtId="0" fontId="0" fillId="0" borderId="0" xfId="0" applyBorder="1" applyAlignment="1">
      <alignment horizontal="left" vertical="top" wrapText="1" shrinkToFit="1"/>
    </xf>
    <xf numFmtId="0" fontId="10" fillId="0" borderId="0" xfId="16" quotePrefix="1" applyAlignment="1">
      <alignment horizontal="left" vertical="top" wrapText="1" shrinkToFit="1"/>
    </xf>
    <xf numFmtId="0" fontId="10" fillId="0" borderId="0" xfId="16" applyAlignment="1">
      <alignment horizontal="left" vertical="top" wrapText="1"/>
    </xf>
    <xf numFmtId="0" fontId="0" fillId="0" borderId="0" xfId="0" applyBorder="1" applyAlignment="1">
      <alignment horizontal="right" vertical="top" wrapText="1" shrinkToFit="1"/>
    </xf>
    <xf numFmtId="0" fontId="8" fillId="0" borderId="1" xfId="0" quotePrefix="1" applyFont="1" applyFill="1" applyBorder="1" applyAlignment="1">
      <alignment vertical="top"/>
    </xf>
    <xf numFmtId="0" fontId="0" fillId="9" borderId="0" xfId="0" applyFill="1" applyAlignment="1">
      <alignment horizontal="left" vertical="top"/>
    </xf>
    <xf numFmtId="0" fontId="0" fillId="0" borderId="0" xfId="0" quotePrefix="1" applyFill="1" applyBorder="1" applyAlignment="1">
      <alignment vertical="top" wrapText="1"/>
    </xf>
    <xf numFmtId="0" fontId="0" fillId="0" borderId="0" xfId="0" applyAlignment="1">
      <alignment horizontal="left" vertical="top"/>
    </xf>
    <xf numFmtId="0" fontId="0" fillId="0" borderId="0" xfId="0" applyAlignment="1">
      <alignment horizontal="left" vertical="top" shrinkToFit="1"/>
    </xf>
    <xf numFmtId="0" fontId="0" fillId="0" borderId="0" xfId="0" applyAlignment="1">
      <alignment horizontal="right" vertical="top"/>
    </xf>
    <xf numFmtId="0" fontId="6" fillId="5" borderId="1" xfId="0" applyFont="1" applyFill="1" applyBorder="1" applyAlignment="1">
      <alignment horizontal="right" vertical="top"/>
    </xf>
    <xf numFmtId="0" fontId="6" fillId="5" borderId="1" xfId="0" applyFont="1" applyFill="1" applyBorder="1" applyAlignment="1">
      <alignment horizontal="right" vertical="top" shrinkToFit="1"/>
    </xf>
    <xf numFmtId="0" fontId="3" fillId="4" borderId="3" xfId="0" applyFont="1" applyFill="1" applyBorder="1" applyAlignment="1">
      <alignment horizontal="right" vertical="top"/>
    </xf>
    <xf numFmtId="0" fontId="3" fillId="4" borderId="2" xfId="0" applyFont="1" applyFill="1" applyBorder="1" applyAlignment="1">
      <alignment horizontal="right" vertical="top"/>
    </xf>
    <xf numFmtId="0" fontId="11" fillId="4" borderId="2" xfId="0" applyFont="1" applyFill="1" applyBorder="1" applyAlignment="1">
      <alignment horizontal="right" vertical="top"/>
    </xf>
    <xf numFmtId="0" fontId="11" fillId="4" borderId="1" xfId="0" applyFont="1" applyFill="1" applyBorder="1" applyAlignment="1">
      <alignment horizontal="right" vertical="top"/>
    </xf>
    <xf numFmtId="0" fontId="11" fillId="4" borderId="3" xfId="0" applyFont="1" applyFill="1" applyBorder="1" applyAlignment="1">
      <alignment horizontal="right" vertical="top"/>
    </xf>
    <xf numFmtId="0" fontId="3" fillId="4" borderId="1" xfId="0" applyFont="1" applyFill="1" applyBorder="1" applyAlignment="1">
      <alignment horizontal="right" vertical="top"/>
    </xf>
    <xf numFmtId="0" fontId="3" fillId="4" borderId="4" xfId="0" applyFont="1" applyFill="1" applyBorder="1" applyAlignment="1">
      <alignment horizontal="right" vertical="top"/>
    </xf>
    <xf numFmtId="0" fontId="0" fillId="0" borderId="0" xfId="0" applyFill="1" applyBorder="1" applyAlignment="1">
      <alignment horizontal="right" vertical="top" wrapText="1" shrinkToFit="1"/>
    </xf>
    <xf numFmtId="0" fontId="0" fillId="0" borderId="0" xfId="0" applyFill="1" applyBorder="1" applyAlignment="1">
      <alignment vertical="top" wrapText="1" shrinkToFit="1"/>
    </xf>
    <xf numFmtId="0" fontId="0" fillId="0" borderId="0" xfId="0" quotePrefix="1" applyFill="1" applyAlignment="1">
      <alignment horizontal="left" vertical="top" wrapText="1"/>
    </xf>
    <xf numFmtId="0" fontId="10" fillId="0" borderId="0" xfId="16" quotePrefix="1" applyFill="1" applyAlignment="1">
      <alignment horizontal="left" vertical="top" wrapText="1" shrinkToFit="1"/>
    </xf>
    <xf numFmtId="0" fontId="10" fillId="0" borderId="0" xfId="16" applyFill="1" applyAlignment="1">
      <alignment horizontal="left" vertical="top" wrapText="1" shrinkToFit="1"/>
    </xf>
    <xf numFmtId="0" fontId="2" fillId="0" borderId="0" xfId="0" applyFont="1" applyFill="1" applyAlignment="1">
      <alignment vertical="top"/>
    </xf>
    <xf numFmtId="22" fontId="0" fillId="0" borderId="0" xfId="0" applyNumberFormat="1" applyFill="1" applyAlignment="1">
      <alignment horizontal="left" vertical="top" wrapText="1"/>
    </xf>
    <xf numFmtId="0" fontId="0" fillId="0" borderId="0" xfId="0" quotePrefix="1" applyAlignment="1">
      <alignment horizontal="left" vertical="top"/>
    </xf>
    <xf numFmtId="15" fontId="0" fillId="0" borderId="0" xfId="0" quotePrefix="1" applyNumberFormat="1" applyAlignment="1">
      <alignment horizontal="left" vertical="top" wrapText="1"/>
    </xf>
    <xf numFmtId="14" fontId="0" fillId="0" borderId="0" xfId="0" applyNumberFormat="1" applyAlignment="1">
      <alignment horizontal="left" vertical="top" wrapText="1"/>
    </xf>
    <xf numFmtId="0" fontId="14" fillId="0" borderId="1" xfId="0" quotePrefix="1" applyFont="1" applyFill="1" applyBorder="1" applyAlignment="1">
      <alignment vertical="top" wrapText="1"/>
    </xf>
    <xf numFmtId="0" fontId="3" fillId="4" borderId="2" xfId="0" applyFont="1" applyFill="1" applyBorder="1" applyAlignment="1">
      <alignment horizontal="right" vertical="top" wrapText="1"/>
    </xf>
    <xf numFmtId="0" fontId="0" fillId="0" borderId="0" xfId="0" applyFill="1" applyBorder="1"/>
    <xf numFmtId="0" fontId="0" fillId="0" borderId="0" xfId="0" applyFill="1" applyBorder="1" applyAlignment="1">
      <alignment vertical="top"/>
    </xf>
    <xf numFmtId="0" fontId="0" fillId="0" borderId="0" xfId="0" quotePrefix="1" applyFill="1" applyBorder="1" applyAlignment="1">
      <alignment vertical="top"/>
    </xf>
    <xf numFmtId="0" fontId="0" fillId="0" borderId="0" xfId="0" quotePrefix="1" applyFill="1" applyAlignment="1">
      <alignment vertical="top" wrapText="1"/>
    </xf>
    <xf numFmtId="0" fontId="0" fillId="0" borderId="0" xfId="0" quotePrefix="1" applyFill="1" applyAlignment="1">
      <alignment vertical="top"/>
    </xf>
    <xf numFmtId="0" fontId="0" fillId="0" borderId="0" xfId="0" applyFill="1" applyAlignment="1">
      <alignment vertical="top" wrapText="1"/>
    </xf>
    <xf numFmtId="0" fontId="0" fillId="0" borderId="0" xfId="0" applyBorder="1" applyAlignment="1">
      <alignment vertical="top"/>
    </xf>
    <xf numFmtId="0" fontId="0" fillId="0" borderId="0" xfId="0" applyAlignment="1">
      <alignment horizontal="center" vertical="top" wrapText="1"/>
    </xf>
    <xf numFmtId="0" fontId="0" fillId="7" borderId="0" xfId="0" applyFill="1" applyAlignment="1">
      <alignment horizontal="center"/>
    </xf>
    <xf numFmtId="0" fontId="0" fillId="7" borderId="0" xfId="0" applyFill="1" applyAlignment="1">
      <alignment vertical="top"/>
    </xf>
    <xf numFmtId="0" fontId="0" fillId="0" borderId="0" xfId="0"/>
    <xf numFmtId="0" fontId="0" fillId="0" borderId="0" xfId="0" applyAlignment="1">
      <alignment horizontal="left" vertical="top" wrapText="1"/>
    </xf>
    <xf numFmtId="0" fontId="0" fillId="0" borderId="0" xfId="0" quotePrefix="1" applyAlignment="1">
      <alignment horizontal="left" vertical="top" wrapText="1"/>
    </xf>
    <xf numFmtId="0" fontId="0" fillId="0" borderId="0" xfId="0" applyAlignment="1">
      <alignment horizontal="left" wrapText="1"/>
    </xf>
    <xf numFmtId="0" fontId="0" fillId="0" borderId="0" xfId="0" quotePrefix="1" applyAlignment="1">
      <alignment horizontal="left" wrapText="1"/>
    </xf>
    <xf numFmtId="0" fontId="0" fillId="0" borderId="0" xfId="0" quotePrefix="1" applyNumberFormat="1" applyAlignment="1">
      <alignment horizontal="left" wrapText="1"/>
    </xf>
    <xf numFmtId="0" fontId="0" fillId="0" borderId="6" xfId="0" applyFill="1" applyBorder="1" applyAlignment="1">
      <alignment horizontal="center" vertical="center"/>
    </xf>
    <xf numFmtId="0" fontId="8" fillId="13" borderId="1" xfId="0" quotePrefix="1" applyFont="1" applyFill="1" applyBorder="1" applyAlignment="1">
      <alignment vertical="top"/>
    </xf>
    <xf numFmtId="0" fontId="0" fillId="13" borderId="6" xfId="0" applyFill="1" applyBorder="1" applyAlignment="1">
      <alignment horizontal="center" vertical="center"/>
    </xf>
    <xf numFmtId="0" fontId="8" fillId="0" borderId="1" xfId="0" quotePrefix="1" applyFont="1" applyFill="1" applyBorder="1" applyAlignment="1">
      <alignment vertical="top" wrapText="1"/>
    </xf>
    <xf numFmtId="0" fontId="0" fillId="0" borderId="0" xfId="0" applyFill="1" applyAlignment="1">
      <alignment horizontal="left" vertical="top" wrapText="1"/>
    </xf>
    <xf numFmtId="0" fontId="0" fillId="0" borderId="0" xfId="0" quotePrefix="1" applyFill="1" applyAlignment="1">
      <alignment horizontal="left" vertical="top"/>
    </xf>
    <xf numFmtId="0" fontId="0" fillId="0" borderId="0" xfId="0" quotePrefix="1" applyAlignment="1">
      <alignment vertical="top"/>
    </xf>
    <xf numFmtId="0" fontId="0" fillId="0" borderId="0" xfId="0" applyFill="1" applyAlignment="1">
      <alignment horizontal="center" vertical="center"/>
    </xf>
    <xf numFmtId="0" fontId="9" fillId="0" borderId="0" xfId="0" applyFont="1" applyAlignment="1">
      <alignment horizontal="left" vertical="top" wrapText="1"/>
    </xf>
    <xf numFmtId="4" fontId="0" fillId="0" borderId="0" xfId="0" quotePrefix="1" applyNumberFormat="1" applyAlignment="1">
      <alignment horizontal="left" vertical="top" wrapText="1"/>
    </xf>
    <xf numFmtId="0" fontId="0" fillId="14" borderId="0" xfId="0" applyFill="1" applyAlignment="1">
      <alignment horizontal="left" vertical="top" wrapText="1"/>
    </xf>
    <xf numFmtId="0" fontId="8" fillId="15" borderId="1" xfId="0" quotePrefix="1" applyFont="1" applyFill="1" applyBorder="1" applyAlignment="1">
      <alignment vertical="top"/>
    </xf>
    <xf numFmtId="0" fontId="8" fillId="15" borderId="1" xfId="0" quotePrefix="1" applyFont="1" applyFill="1" applyBorder="1" applyAlignment="1">
      <alignment vertical="top" wrapText="1"/>
    </xf>
    <xf numFmtId="0" fontId="0" fillId="16" borderId="1" xfId="0" applyFill="1" applyBorder="1" applyAlignment="1">
      <alignment vertical="top"/>
    </xf>
    <xf numFmtId="0" fontId="0" fillId="12" borderId="0" xfId="0" applyFill="1" applyAlignment="1">
      <alignment horizontal="left" vertical="top"/>
    </xf>
    <xf numFmtId="0" fontId="0" fillId="12" borderId="0" xfId="0" applyFill="1" applyAlignment="1">
      <alignment horizontal="left" vertical="top" wrapText="1"/>
    </xf>
    <xf numFmtId="0" fontId="0" fillId="12" borderId="0" xfId="0" quotePrefix="1" applyFill="1" applyAlignment="1">
      <alignment horizontal="left" vertical="top" wrapText="1"/>
    </xf>
    <xf numFmtId="0" fontId="0" fillId="14" borderId="0" xfId="0" applyFill="1" applyAlignment="1">
      <alignment horizontal="left" vertical="top"/>
    </xf>
    <xf numFmtId="0" fontId="0" fillId="14" borderId="0" xfId="0" quotePrefix="1" applyFill="1" applyAlignment="1">
      <alignment horizontal="left" vertical="top" wrapText="1"/>
    </xf>
    <xf numFmtId="0" fontId="8" fillId="14" borderId="1" xfId="0" quotePrefix="1" applyFont="1" applyFill="1" applyBorder="1" applyAlignment="1">
      <alignment vertical="top"/>
    </xf>
    <xf numFmtId="0" fontId="6" fillId="5" borderId="1" xfId="0" applyFont="1" applyFill="1" applyBorder="1" applyAlignment="1">
      <alignment horizontal="right" vertical="top" wrapText="1"/>
    </xf>
    <xf numFmtId="0" fontId="16" fillId="0" borderId="0" xfId="0" quotePrefix="1" applyFont="1" applyFill="1" applyAlignment="1">
      <alignment horizontal="center"/>
    </xf>
    <xf numFmtId="0" fontId="16" fillId="7" borderId="0" xfId="0" quotePrefix="1" applyFont="1" applyFill="1" applyBorder="1" applyAlignment="1">
      <alignment horizontal="center"/>
    </xf>
    <xf numFmtId="0" fontId="8" fillId="7" borderId="1" xfId="0" quotePrefix="1" applyFont="1" applyFill="1" applyBorder="1" applyAlignment="1">
      <alignment vertical="top"/>
    </xf>
    <xf numFmtId="0" fontId="0" fillId="0" borderId="1" xfId="0" applyFill="1" applyBorder="1"/>
    <xf numFmtId="0" fontId="15" fillId="0" borderId="1" xfId="0" quotePrefix="1" applyFont="1" applyFill="1" applyBorder="1" applyAlignment="1">
      <alignment wrapText="1"/>
    </xf>
    <xf numFmtId="0" fontId="0" fillId="0" borderId="1" xfId="0" quotePrefix="1" applyBorder="1" applyAlignment="1">
      <alignment wrapText="1"/>
    </xf>
    <xf numFmtId="0" fontId="16" fillId="0" borderId="0" xfId="0" applyFont="1" applyFill="1" applyAlignment="1">
      <alignment horizontal="left"/>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49" fontId="3" fillId="6" borderId="8" xfId="0" applyNumberFormat="1" applyFont="1" applyFill="1" applyBorder="1" applyAlignment="1">
      <alignment horizontal="center" vertical="center"/>
    </xf>
    <xf numFmtId="0" fontId="3" fillId="6" borderId="8" xfId="0" applyFont="1" applyFill="1" applyBorder="1" applyAlignment="1">
      <alignment horizontal="center" vertical="center" wrapText="1"/>
    </xf>
    <xf numFmtId="0" fontId="3" fillId="6" borderId="9" xfId="0" applyFont="1" applyFill="1" applyBorder="1" applyAlignment="1">
      <alignment horizontal="center" vertical="center"/>
    </xf>
    <xf numFmtId="0" fontId="0" fillId="7" borderId="10" xfId="0" applyFill="1" applyBorder="1"/>
    <xf numFmtId="0" fontId="0" fillId="7" borderId="11" xfId="0" applyFill="1" applyBorder="1"/>
    <xf numFmtId="0" fontId="10" fillId="7" borderId="11" xfId="16" applyFill="1" applyBorder="1"/>
    <xf numFmtId="0" fontId="0" fillId="7" borderId="12" xfId="0" applyFill="1" applyBorder="1"/>
    <xf numFmtId="0" fontId="10" fillId="7" borderId="12" xfId="16" applyFill="1" applyBorder="1"/>
    <xf numFmtId="0" fontId="0" fillId="7" borderId="13" xfId="0" applyFill="1" applyBorder="1"/>
    <xf numFmtId="0" fontId="0" fillId="7" borderId="14" xfId="0" applyFill="1" applyBorder="1"/>
    <xf numFmtId="0" fontId="0" fillId="7" borderId="1" xfId="0" applyFill="1" applyBorder="1"/>
    <xf numFmtId="0" fontId="0" fillId="7" borderId="6" xfId="0" applyFill="1" applyBorder="1"/>
    <xf numFmtId="0" fontId="3" fillId="4" borderId="2" xfId="0" quotePrefix="1" applyFont="1" applyFill="1" applyBorder="1" applyAlignment="1">
      <alignment horizontal="right" vertical="top"/>
    </xf>
    <xf numFmtId="0" fontId="11" fillId="4" borderId="2" xfId="0" quotePrefix="1" applyFont="1" applyFill="1" applyBorder="1" applyAlignment="1">
      <alignment horizontal="right" vertical="top"/>
    </xf>
    <xf numFmtId="0" fontId="11" fillId="4" borderId="4" xfId="0" applyFont="1" applyFill="1" applyBorder="1" applyAlignment="1">
      <alignment horizontal="right" vertical="top"/>
    </xf>
    <xf numFmtId="49" fontId="0" fillId="0" borderId="0" xfId="0" quotePrefix="1" applyNumberFormat="1" applyAlignment="1">
      <alignment vertical="top" wrapText="1"/>
    </xf>
    <xf numFmtId="49" fontId="0" fillId="0" borderId="0" xfId="0" quotePrefix="1" applyNumberFormat="1" applyAlignment="1">
      <alignment vertical="center" wrapText="1"/>
    </xf>
    <xf numFmtId="0" fontId="0" fillId="2" borderId="0" xfId="0" applyFill="1" applyAlignment="1">
      <alignment horizontal="left" vertical="center"/>
    </xf>
    <xf numFmtId="0" fontId="0" fillId="0" borderId="0" xfId="0" applyAlignment="1">
      <alignment horizontal="right" vertical="center" wrapText="1"/>
    </xf>
    <xf numFmtId="0" fontId="0" fillId="0" borderId="0" xfId="0" applyAlignment="1">
      <alignment horizontal="left" vertical="center" wrapText="1"/>
    </xf>
    <xf numFmtId="22" fontId="0" fillId="0" borderId="0" xfId="0" applyNumberFormat="1" applyAlignment="1">
      <alignment horizontal="left" vertical="center" wrapText="1"/>
    </xf>
    <xf numFmtId="0" fontId="0" fillId="0" borderId="0" xfId="0" quotePrefix="1" applyAlignment="1">
      <alignment horizontal="left" vertical="center" wrapText="1"/>
    </xf>
    <xf numFmtId="0" fontId="0" fillId="0" borderId="0" xfId="0" applyAlignment="1">
      <alignment vertical="center"/>
    </xf>
    <xf numFmtId="0" fontId="0" fillId="0" borderId="0" xfId="0" applyFill="1" applyAlignment="1">
      <alignment horizontal="left" vertical="center" wrapText="1"/>
    </xf>
    <xf numFmtId="0" fontId="0" fillId="0" borderId="0" xfId="0" quotePrefix="1" applyFill="1" applyAlignment="1">
      <alignment horizontal="left" vertical="center"/>
    </xf>
    <xf numFmtId="0" fontId="10" fillId="0" borderId="0" xfId="16" applyAlignment="1">
      <alignment horizontal="left" vertical="center" wrapText="1" shrinkToFit="1"/>
    </xf>
    <xf numFmtId="0" fontId="0" fillId="2" borderId="0" xfId="0" applyFill="1" applyAlignment="1">
      <alignment horizontal="left"/>
    </xf>
    <xf numFmtId="0" fontId="0" fillId="0" borderId="0" xfId="0" applyAlignment="1">
      <alignment horizontal="right" wrapText="1"/>
    </xf>
    <xf numFmtId="0" fontId="0" fillId="0" borderId="0" xfId="0" applyBorder="1" applyAlignment="1">
      <alignment wrapText="1" shrinkToFit="1"/>
    </xf>
    <xf numFmtId="0" fontId="10" fillId="0" borderId="0" xfId="16" applyAlignment="1">
      <alignment horizontal="left" wrapText="1"/>
    </xf>
    <xf numFmtId="22" fontId="0" fillId="0" borderId="0" xfId="0" applyNumberFormat="1" applyAlignment="1">
      <alignment horizontal="left" wrapText="1"/>
    </xf>
    <xf numFmtId="0" fontId="0" fillId="0" borderId="0" xfId="0" quotePrefix="1" applyAlignment="1">
      <alignment wrapText="1"/>
    </xf>
    <xf numFmtId="0" fontId="8" fillId="0" borderId="0" xfId="0" quotePrefix="1" applyFont="1" applyAlignment="1">
      <alignment wrapText="1"/>
    </xf>
    <xf numFmtId="14" fontId="0" fillId="0" borderId="0" xfId="0" quotePrefix="1" applyNumberFormat="1" applyAlignment="1">
      <alignment horizontal="left" wrapText="1"/>
    </xf>
    <xf numFmtId="4" fontId="0" fillId="0" borderId="0" xfId="0" applyNumberFormat="1" applyAlignment="1">
      <alignment horizontal="left" wrapText="1"/>
    </xf>
    <xf numFmtId="0" fontId="0" fillId="0" borderId="0" xfId="0" quotePrefix="1" applyFill="1" applyAlignment="1">
      <alignment horizontal="left" wrapText="1"/>
    </xf>
    <xf numFmtId="0" fontId="10" fillId="7" borderId="0" xfId="16" applyFill="1" applyAlignment="1">
      <alignment horizontal="left" vertical="top" wrapText="1"/>
    </xf>
    <xf numFmtId="0" fontId="17" fillId="0" borderId="0" xfId="0" applyFont="1"/>
    <xf numFmtId="0" fontId="10" fillId="0" borderId="0" xfId="16" quotePrefix="1" applyAlignment="1">
      <alignment horizontal="left" wrapText="1" shrinkToFit="1"/>
    </xf>
    <xf numFmtId="0" fontId="10" fillId="0" borderId="0" xfId="16" applyAlignment="1">
      <alignment horizontal="left" wrapText="1" shrinkToFit="1"/>
    </xf>
    <xf numFmtId="0" fontId="10" fillId="0" borderId="0" xfId="16" quotePrefix="1" applyAlignment="1">
      <alignment horizontal="left" wrapText="1"/>
    </xf>
    <xf numFmtId="0" fontId="0" fillId="0" borderId="0" xfId="0" applyFill="1" applyAlignment="1">
      <alignment horizontal="left" wrapText="1"/>
    </xf>
    <xf numFmtId="0" fontId="0" fillId="12" borderId="0" xfId="0" applyFill="1" applyAlignment="1">
      <alignment horizontal="right" wrapText="1"/>
    </xf>
    <xf numFmtId="0" fontId="0" fillId="12" borderId="0" xfId="0" applyFill="1" applyAlignment="1">
      <alignment horizontal="left" wrapText="1"/>
    </xf>
    <xf numFmtId="14" fontId="0" fillId="0" borderId="0" xfId="0" quotePrefix="1" applyNumberFormat="1" applyFill="1" applyAlignment="1">
      <alignment horizontal="left" wrapText="1"/>
    </xf>
    <xf numFmtId="164" fontId="0" fillId="0" borderId="0" xfId="0" applyNumberFormat="1" applyFill="1" applyAlignment="1">
      <alignment horizontal="left" wrapText="1"/>
    </xf>
    <xf numFmtId="4" fontId="0" fillId="0" borderId="0" xfId="0" applyNumberFormat="1" applyFill="1" applyAlignment="1">
      <alignment horizontal="left" wrapText="1"/>
    </xf>
    <xf numFmtId="4" fontId="0" fillId="12" borderId="0" xfId="0" applyNumberFormat="1" applyFill="1" applyAlignment="1">
      <alignment horizontal="left" wrapText="1"/>
    </xf>
    <xf numFmtId="0" fontId="0" fillId="0" borderId="0" xfId="0" quotePrefix="1" applyNumberFormat="1" applyFill="1" applyAlignment="1">
      <alignment horizontal="left" wrapText="1"/>
    </xf>
    <xf numFmtId="0" fontId="17" fillId="12" borderId="0" xfId="0" applyFont="1" applyFill="1"/>
    <xf numFmtId="0" fontId="0" fillId="12" borderId="0" xfId="0" quotePrefix="1" applyFill="1" applyAlignment="1">
      <alignment horizontal="left" wrapText="1"/>
    </xf>
    <xf numFmtId="0" fontId="10" fillId="12" borderId="0" xfId="16" applyFill="1" applyAlignment="1">
      <alignment horizontal="left" wrapText="1" shrinkToFit="1"/>
    </xf>
    <xf numFmtId="0" fontId="10" fillId="12" borderId="0" xfId="16" applyFill="1" applyAlignment="1">
      <alignment horizontal="left" wrapText="1"/>
    </xf>
    <xf numFmtId="0" fontId="0" fillId="14" borderId="0" xfId="0" applyFill="1" applyAlignment="1">
      <alignment horizontal="right" wrapText="1"/>
    </xf>
    <xf numFmtId="0" fontId="0" fillId="14" borderId="0" xfId="0" applyFill="1" applyAlignment="1">
      <alignment horizontal="left" wrapText="1"/>
    </xf>
    <xf numFmtId="0" fontId="17" fillId="14" borderId="0" xfId="0" applyFont="1" applyFill="1"/>
    <xf numFmtId="4" fontId="0" fillId="14" borderId="0" xfId="0" applyNumberFormat="1" applyFill="1" applyAlignment="1">
      <alignment horizontal="left" wrapText="1"/>
    </xf>
    <xf numFmtId="0" fontId="10" fillId="14" borderId="0" xfId="16" applyFill="1" applyAlignment="1">
      <alignment horizontal="left" wrapText="1" shrinkToFit="1"/>
    </xf>
    <xf numFmtId="22" fontId="0" fillId="0" borderId="0" xfId="0" applyNumberFormat="1" applyFill="1" applyAlignment="1">
      <alignment horizontal="left" wrapText="1"/>
    </xf>
    <xf numFmtId="49" fontId="0" fillId="0" borderId="0" xfId="0" quotePrefix="1" applyNumberFormat="1" applyFill="1" applyAlignment="1">
      <alignment vertical="center" wrapText="1"/>
    </xf>
    <xf numFmtId="0" fontId="8" fillId="0" borderId="0" xfId="0" quotePrefix="1" applyFont="1" applyFill="1" applyAlignment="1">
      <alignment wrapText="1"/>
    </xf>
    <xf numFmtId="0" fontId="0" fillId="14" borderId="0" xfId="0" quotePrefix="1" applyFill="1" applyAlignment="1">
      <alignment horizontal="left" wrapText="1"/>
    </xf>
    <xf numFmtId="0" fontId="0" fillId="11" borderId="0" xfId="0" applyFill="1" applyAlignment="1">
      <alignment horizontal="left" wrapText="1"/>
    </xf>
    <xf numFmtId="22" fontId="0" fillId="11" borderId="0" xfId="0" applyNumberFormat="1" applyFill="1" applyAlignment="1">
      <alignment horizontal="left" wrapText="1"/>
    </xf>
    <xf numFmtId="0" fontId="0" fillId="11" borderId="0" xfId="0" quotePrefix="1" applyFill="1" applyAlignment="1">
      <alignment horizontal="left" wrapText="1"/>
    </xf>
    <xf numFmtId="0" fontId="8" fillId="11" borderId="0" xfId="0" quotePrefix="1" applyFont="1" applyFill="1" applyAlignment="1">
      <alignment wrapText="1"/>
    </xf>
    <xf numFmtId="0" fontId="0" fillId="0" borderId="0" xfId="0" applyFill="1" applyAlignment="1">
      <alignment horizontal="right" wrapText="1"/>
    </xf>
    <xf numFmtId="0" fontId="0" fillId="0" borderId="0" xfId="0" applyFill="1" applyBorder="1" applyAlignment="1">
      <alignment wrapText="1" shrinkToFit="1"/>
    </xf>
    <xf numFmtId="0" fontId="17" fillId="0" borderId="0" xfId="0" quotePrefix="1" applyFont="1"/>
    <xf numFmtId="0" fontId="10" fillId="0" borderId="0" xfId="16" applyFill="1" applyAlignment="1">
      <alignment horizontal="left" wrapText="1" shrinkToFit="1"/>
    </xf>
    <xf numFmtId="0" fontId="0" fillId="0" borderId="0" xfId="0" quotePrefix="1" applyNumberFormat="1" applyAlignment="1">
      <alignment horizontal="left" vertical="top" wrapText="1"/>
    </xf>
    <xf numFmtId="0" fontId="0" fillId="0" borderId="0" xfId="0" quotePrefix="1" applyFill="1" applyAlignment="1">
      <alignment wrapText="1"/>
    </xf>
    <xf numFmtId="0" fontId="3" fillId="4" borderId="1" xfId="0" applyFont="1" applyFill="1" applyBorder="1" applyAlignment="1">
      <alignment horizontal="right"/>
    </xf>
    <xf numFmtId="0" fontId="3" fillId="4" borderId="4" xfId="0" applyFont="1" applyFill="1" applyBorder="1" applyAlignment="1">
      <alignment horizontal="right"/>
    </xf>
    <xf numFmtId="0" fontId="0" fillId="0" borderId="0" xfId="0" applyFill="1" applyAlignment="1">
      <alignment wrapText="1"/>
    </xf>
    <xf numFmtId="0" fontId="0" fillId="0" borderId="0" xfId="0" quotePrefix="1" applyFill="1"/>
    <xf numFmtId="0" fontId="0" fillId="0" borderId="0" xfId="0" quotePrefix="1"/>
    <xf numFmtId="0" fontId="0" fillId="12" borderId="0" xfId="0" applyFill="1" applyAlignment="1">
      <alignment wrapText="1"/>
    </xf>
    <xf numFmtId="0" fontId="0" fillId="0" borderId="1" xfId="0" quotePrefix="1" applyFill="1" applyBorder="1"/>
    <xf numFmtId="0" fontId="8" fillId="0" borderId="1" xfId="0" quotePrefix="1" applyFont="1" applyFill="1" applyBorder="1"/>
    <xf numFmtId="0" fontId="0" fillId="0" borderId="0" xfId="0" quotePrefix="1" applyFill="1" applyBorder="1"/>
    <xf numFmtId="0" fontId="0" fillId="11" borderId="0" xfId="0" quotePrefix="1" applyFill="1" applyAlignment="1">
      <alignment wrapText="1"/>
    </xf>
    <xf numFmtId="0" fontId="0" fillId="11" borderId="0" xfId="0" quotePrefix="1" applyFill="1"/>
    <xf numFmtId="0" fontId="0" fillId="11" borderId="0" xfId="0" applyFill="1" applyAlignment="1">
      <alignment wrapText="1"/>
    </xf>
    <xf numFmtId="0" fontId="0" fillId="11" borderId="1" xfId="0" quotePrefix="1" applyFill="1" applyBorder="1"/>
    <xf numFmtId="0" fontId="0" fillId="14" borderId="0" xfId="0" applyFill="1" applyAlignment="1">
      <alignment wrapText="1"/>
    </xf>
    <xf numFmtId="0" fontId="0" fillId="14" borderId="0" xfId="0" quotePrefix="1" applyFill="1" applyBorder="1" applyAlignment="1">
      <alignment vertical="top"/>
    </xf>
    <xf numFmtId="0" fontId="8" fillId="3" borderId="1" xfId="0" quotePrefix="1" applyFont="1" applyFill="1" applyBorder="1"/>
    <xf numFmtId="0" fontId="0" fillId="12" borderId="0" xfId="0" quotePrefix="1" applyFill="1" applyAlignment="1">
      <alignment wrapText="1"/>
    </xf>
    <xf numFmtId="0" fontId="0" fillId="0" borderId="1" xfId="0" applyFont="1" applyFill="1" applyBorder="1" applyAlignment="1">
      <alignment vertical="top" wrapText="1"/>
    </xf>
    <xf numFmtId="0" fontId="0" fillId="0" borderId="1" xfId="0" quotePrefix="1" applyFont="1" applyFill="1" applyBorder="1" applyAlignment="1">
      <alignment vertical="top" wrapText="1"/>
    </xf>
    <xf numFmtId="0" fontId="15" fillId="0" borderId="0" xfId="0" quotePrefix="1" applyFont="1" applyFill="1" applyBorder="1" applyAlignment="1"/>
    <xf numFmtId="0" fontId="0" fillId="0" borderId="5" xfId="0" applyFill="1" applyBorder="1"/>
    <xf numFmtId="0" fontId="0" fillId="0" borderId="0" xfId="0" applyBorder="1" applyAlignment="1">
      <alignment wrapText="1"/>
    </xf>
    <xf numFmtId="0" fontId="0" fillId="0" borderId="0" xfId="0" quotePrefix="1" applyBorder="1" applyAlignment="1">
      <alignment wrapText="1"/>
    </xf>
    <xf numFmtId="0" fontId="3" fillId="4" borderId="1" xfId="0" applyFont="1" applyFill="1" applyBorder="1" applyAlignment="1">
      <alignment horizontal="right" vertical="top" shrinkToFit="1"/>
    </xf>
    <xf numFmtId="0" fontId="7" fillId="10" borderId="7" xfId="0" applyFont="1" applyFill="1" applyBorder="1" applyAlignment="1">
      <alignment horizontal="center" vertical="center" wrapText="1"/>
    </xf>
    <xf numFmtId="0" fontId="7" fillId="10" borderId="8" xfId="0" applyFont="1" applyFill="1" applyBorder="1" applyAlignment="1">
      <alignment horizontal="center" vertical="center"/>
    </xf>
    <xf numFmtId="0" fontId="7" fillId="10" borderId="8" xfId="0" applyFont="1" applyFill="1" applyBorder="1" applyAlignment="1">
      <alignment horizontal="center" vertical="center" wrapText="1"/>
    </xf>
    <xf numFmtId="0" fontId="3" fillId="10" borderId="8" xfId="0" quotePrefix="1" applyFont="1" applyFill="1" applyBorder="1" applyAlignment="1">
      <alignment wrapText="1"/>
    </xf>
    <xf numFmtId="0" fontId="8" fillId="15" borderId="10" xfId="0" quotePrefix="1" applyFont="1" applyFill="1" applyBorder="1" applyAlignment="1">
      <alignment horizontal="center" vertical="center"/>
    </xf>
    <xf numFmtId="0" fontId="8" fillId="15" borderId="11" xfId="0" quotePrefix="1" applyFont="1" applyFill="1" applyBorder="1" applyAlignment="1">
      <alignment vertical="top"/>
    </xf>
    <xf numFmtId="0" fontId="8" fillId="15" borderId="14" xfId="0" quotePrefix="1" applyFont="1" applyFill="1" applyBorder="1" applyAlignment="1">
      <alignment horizontal="center" vertical="center"/>
    </xf>
    <xf numFmtId="0" fontId="8" fillId="14" borderId="14" xfId="0" quotePrefix="1" applyFont="1" applyFill="1" applyBorder="1" applyAlignment="1">
      <alignment horizontal="center" vertical="center"/>
    </xf>
    <xf numFmtId="0" fontId="8" fillId="7" borderId="14" xfId="0" quotePrefix="1" applyFont="1" applyFill="1" applyBorder="1" applyAlignment="1">
      <alignment horizontal="center" vertical="center"/>
    </xf>
    <xf numFmtId="0" fontId="0" fillId="16" borderId="14" xfId="0" applyFill="1" applyBorder="1" applyAlignment="1">
      <alignment horizontal="center" vertical="center"/>
    </xf>
    <xf numFmtId="0" fontId="0" fillId="14" borderId="16" xfId="0" applyFill="1" applyBorder="1" applyAlignment="1">
      <alignment horizontal="center" vertical="center"/>
    </xf>
    <xf numFmtId="0" fontId="0" fillId="14" borderId="5" xfId="0" applyFill="1" applyBorder="1" applyAlignment="1">
      <alignment vertical="top"/>
    </xf>
    <xf numFmtId="0" fontId="8" fillId="12" borderId="14" xfId="0" quotePrefix="1" applyFont="1" applyFill="1" applyBorder="1" applyAlignment="1">
      <alignment horizontal="center" vertical="center"/>
    </xf>
    <xf numFmtId="0" fontId="8" fillId="12" borderId="1" xfId="0" quotePrefix="1" applyFont="1" applyFill="1" applyBorder="1" applyAlignment="1">
      <alignment vertical="top"/>
    </xf>
    <xf numFmtId="0" fontId="18" fillId="0" borderId="15" xfId="0" applyFont="1" applyBorder="1" applyAlignment="1">
      <alignment vertical="center"/>
    </xf>
    <xf numFmtId="0" fontId="10" fillId="14" borderId="0" xfId="16" applyFill="1" applyAlignment="1">
      <alignment horizontal="left" wrapText="1"/>
    </xf>
    <xf numFmtId="0" fontId="10" fillId="0" borderId="0" xfId="16" applyFill="1" applyAlignment="1">
      <alignment horizontal="left" wrapText="1"/>
    </xf>
    <xf numFmtId="49" fontId="0" fillId="3" borderId="0" xfId="0" quotePrefix="1" applyNumberFormat="1" applyFill="1" applyAlignment="1">
      <alignment horizontal="left" vertical="top" wrapText="1"/>
    </xf>
    <xf numFmtId="4" fontId="0" fillId="0" borderId="0" xfId="0" quotePrefix="1" applyNumberFormat="1" applyFill="1" applyAlignment="1">
      <alignment horizontal="left" wrapText="1"/>
    </xf>
    <xf numFmtId="0" fontId="0" fillId="7" borderId="0" xfId="0" applyFill="1" applyBorder="1" applyAlignment="1">
      <alignment wrapText="1" shrinkToFit="1"/>
    </xf>
    <xf numFmtId="0" fontId="0" fillId="3" borderId="0" xfId="0" applyFill="1" applyAlignment="1">
      <alignment vertical="top"/>
    </xf>
    <xf numFmtId="0" fontId="8" fillId="3" borderId="1" xfId="0" quotePrefix="1" applyFont="1" applyFill="1" applyBorder="1" applyAlignment="1">
      <alignment horizontal="center" vertical="center"/>
    </xf>
    <xf numFmtId="0" fontId="10" fillId="0" borderId="0" xfId="16" applyFill="1" applyAlignment="1">
      <alignment horizontal="left" vertical="top" wrapText="1"/>
    </xf>
    <xf numFmtId="4" fontId="0" fillId="0" borderId="0" xfId="0" quotePrefix="1" applyNumberFormat="1" applyAlignment="1">
      <alignment horizontal="left" wrapText="1"/>
    </xf>
    <xf numFmtId="166" fontId="0" fillId="0" borderId="0" xfId="0" quotePrefix="1" applyNumberFormat="1" applyFont="1" applyAlignment="1">
      <alignment horizontal="left" vertical="top" wrapText="1"/>
    </xf>
    <xf numFmtId="0" fontId="0" fillId="10" borderId="0" xfId="0" applyFill="1"/>
    <xf numFmtId="0" fontId="9" fillId="10" borderId="0" xfId="0" applyFont="1" applyFill="1"/>
    <xf numFmtId="2" fontId="0" fillId="0" borderId="0" xfId="0" applyNumberFormat="1" applyAlignment="1">
      <alignment horizontal="left" vertical="top"/>
    </xf>
    <xf numFmtId="2" fontId="3" fillId="4" borderId="1" xfId="0" applyNumberFormat="1" applyFont="1" applyFill="1" applyBorder="1" applyAlignment="1">
      <alignment horizontal="right" vertical="top"/>
    </xf>
    <xf numFmtId="2" fontId="0" fillId="0" borderId="0" xfId="0" applyNumberFormat="1" applyAlignment="1">
      <alignment horizontal="left" vertical="top" wrapText="1"/>
    </xf>
    <xf numFmtId="49" fontId="0" fillId="0" borderId="0" xfId="0" quotePrefix="1" applyNumberFormat="1" applyFont="1"/>
    <xf numFmtId="0" fontId="0" fillId="0" borderId="0" xfId="0" applyFill="1" applyAlignment="1">
      <alignment horizontal="center" vertical="top"/>
    </xf>
    <xf numFmtId="0" fontId="3" fillId="4" borderId="2" xfId="0" applyFont="1" applyFill="1" applyBorder="1" applyAlignment="1">
      <alignment horizontal="right" vertical="top" shrinkToFit="1"/>
    </xf>
    <xf numFmtId="49" fontId="0" fillId="0" borderId="0" xfId="0" applyNumberFormat="1" applyAlignment="1">
      <alignment horizontal="left" vertical="top" wrapText="1"/>
    </xf>
  </cellXfs>
  <cellStyles count="17">
    <cellStyle name="Currency 2" xfId="15"/>
    <cellStyle name="Hyperlink" xfId="16" builtinId="8"/>
    <cellStyle name="Normal" xfId="0" builtinId="0"/>
    <cellStyle name="Normal 2" xfId="3"/>
    <cellStyle name="Normal 2 2" xfId="8"/>
    <cellStyle name="Normal 2 3" xfId="12"/>
    <cellStyle name="Normal 3" xfId="4"/>
    <cellStyle name="Normal 3 2" xfId="13"/>
    <cellStyle name="Normal 3 3" xfId="6"/>
    <cellStyle name="Normal 4" xfId="1"/>
    <cellStyle name="Normal 5" xfId="9"/>
    <cellStyle name="Normal 6" xfId="5"/>
    <cellStyle name="Normal 6 2" xfId="14"/>
    <cellStyle name="Normal 6 3" xfId="7"/>
    <cellStyle name="Normal 7" xfId="10"/>
    <cellStyle name="Normal 8" xfId="11"/>
    <cellStyle name="Normal 9" xfId="2"/>
  </cellStyles>
  <dxfs count="0"/>
  <tableStyles count="1" defaultTableStyle="TableStyleMedium2" defaultPivotStyle="PivotStyleLight16">
    <tableStyle name="Table Style 1" pivot="0" count="0"/>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13.emf"/><Relationship Id="rId7" Type="http://schemas.openxmlformats.org/officeDocument/2006/relationships/image" Target="../media/image17.emf"/><Relationship Id="rId2" Type="http://schemas.openxmlformats.org/officeDocument/2006/relationships/image" Target="../media/image12.emf"/><Relationship Id="rId1" Type="http://schemas.openxmlformats.org/officeDocument/2006/relationships/image" Target="../media/image11.emf"/><Relationship Id="rId6" Type="http://schemas.openxmlformats.org/officeDocument/2006/relationships/image" Target="../media/image16.emf"/><Relationship Id="rId5" Type="http://schemas.openxmlformats.org/officeDocument/2006/relationships/image" Target="../media/image15.emf"/><Relationship Id="rId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10" Type="http://schemas.openxmlformats.org/officeDocument/2006/relationships/image" Target="../media/image1.emf"/><Relationship Id="rId4" Type="http://schemas.openxmlformats.org/officeDocument/2006/relationships/image" Target="../media/image6.emf"/><Relationship Id="rId9"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6</xdr:row>
          <xdr:rowOff>85725</xdr:rowOff>
        </xdr:from>
        <xdr:to>
          <xdr:col>0</xdr:col>
          <xdr:colOff>3390900</xdr:colOff>
          <xdr:row>8</xdr:row>
          <xdr:rowOff>38100</xdr:rowOff>
        </xdr:to>
        <xdr:sp macro="" textlink="">
          <xdr:nvSpPr>
            <xdr:cNvPr id="3083" name="CmbBCName" hidden="1">
              <a:extLst>
                <a:ext uri="{63B3BB69-23CF-44E3-9099-C40C66FF867C}">
                  <a14:compatExt spid="_x0000_s3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85725</xdr:rowOff>
        </xdr:from>
        <xdr:to>
          <xdr:col>0</xdr:col>
          <xdr:colOff>3381375</xdr:colOff>
          <xdr:row>0</xdr:row>
          <xdr:rowOff>95250</xdr:rowOff>
        </xdr:to>
        <xdr:sp macro="" textlink="">
          <xdr:nvSpPr>
            <xdr:cNvPr id="3084" name="cmdFindTest" hidden="1">
              <a:extLst>
                <a:ext uri="{63B3BB69-23CF-44E3-9099-C40C66FF867C}">
                  <a14:compatExt spid="_x0000_s3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7</xdr:row>
          <xdr:rowOff>104775</xdr:rowOff>
        </xdr:from>
        <xdr:to>
          <xdr:col>0</xdr:col>
          <xdr:colOff>3409950</xdr:colOff>
          <xdr:row>10</xdr:row>
          <xdr:rowOff>66675</xdr:rowOff>
        </xdr:to>
        <xdr:sp macro="" textlink="">
          <xdr:nvSpPr>
            <xdr:cNvPr id="3085" name="cmdFindBC"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7</xdr:row>
          <xdr:rowOff>19050</xdr:rowOff>
        </xdr:from>
        <xdr:to>
          <xdr:col>0</xdr:col>
          <xdr:colOff>1447800</xdr:colOff>
          <xdr:row>8</xdr:row>
          <xdr:rowOff>142875</xdr:rowOff>
        </xdr:to>
        <xdr:sp macro="" textlink="">
          <xdr:nvSpPr>
            <xdr:cNvPr id="3086" name="cmdNext"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xdr:colOff>
          <xdr:row>4</xdr:row>
          <xdr:rowOff>38100</xdr:rowOff>
        </xdr:from>
        <xdr:to>
          <xdr:col>0</xdr:col>
          <xdr:colOff>1638300</xdr:colOff>
          <xdr:row>5</xdr:row>
          <xdr:rowOff>171450</xdr:rowOff>
        </xdr:to>
        <xdr:sp macro="" textlink="">
          <xdr:nvSpPr>
            <xdr:cNvPr id="3089" name="cmdImportHeaders" hidden="1">
              <a:extLst>
                <a:ext uri="{63B3BB69-23CF-44E3-9099-C40C66FF867C}">
                  <a14:compatExt spid="_x0000_s3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123825</xdr:colOff>
          <xdr:row>12</xdr:row>
          <xdr:rowOff>171450</xdr:rowOff>
        </xdr:from>
        <xdr:to>
          <xdr:col>0</xdr:col>
          <xdr:colOff>1619250</xdr:colOff>
          <xdr:row>15</xdr:row>
          <xdr:rowOff>57150</xdr:rowOff>
        </xdr:to>
        <xdr:sp macro="" textlink="">
          <xdr:nvSpPr>
            <xdr:cNvPr id="3088" name="cmdShowAllCol" hidden="1">
              <a:extLst>
                <a:ext uri="{63B3BB69-23CF-44E3-9099-C40C66FF867C}">
                  <a14:compatExt spid="_x0000_s3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200025</xdr:colOff>
          <xdr:row>11</xdr:row>
          <xdr:rowOff>142875</xdr:rowOff>
        </xdr:from>
        <xdr:to>
          <xdr:col>0</xdr:col>
          <xdr:colOff>1543050</xdr:colOff>
          <xdr:row>13</xdr:row>
          <xdr:rowOff>85725</xdr:rowOff>
        </xdr:to>
        <xdr:sp macro="" textlink="">
          <xdr:nvSpPr>
            <xdr:cNvPr id="3087" name="cmdPrevious" hidden="1">
              <a:extLst>
                <a:ext uri="{63B3BB69-23CF-44E3-9099-C40C66FF867C}">
                  <a14:compatExt spid="_x0000_s3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17</xdr:row>
          <xdr:rowOff>47625</xdr:rowOff>
        </xdr:from>
        <xdr:to>
          <xdr:col>0</xdr:col>
          <xdr:colOff>3362325</xdr:colOff>
          <xdr:row>19</xdr:row>
          <xdr:rowOff>0</xdr:rowOff>
        </xdr:to>
        <xdr:sp macro="" textlink="">
          <xdr:nvSpPr>
            <xdr:cNvPr id="3082" name="cmbTestCase" hidden="1">
              <a:extLst>
                <a:ext uri="{63B3BB69-23CF-44E3-9099-C40C66FF867C}">
                  <a14:compatExt spid="_x0000_s3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14</xdr:row>
          <xdr:rowOff>38100</xdr:rowOff>
        </xdr:from>
        <xdr:to>
          <xdr:col>1</xdr:col>
          <xdr:colOff>123825</xdr:colOff>
          <xdr:row>16</xdr:row>
          <xdr:rowOff>171450</xdr:rowOff>
        </xdr:to>
        <xdr:sp macro="" textlink="">
          <xdr:nvSpPr>
            <xdr:cNvPr id="3090" name="cmdDeletedCol" hidden="1">
              <a:extLst>
                <a:ext uri="{63B3BB69-23CF-44E3-9099-C40C66FF867C}">
                  <a14:compatExt spid="_x0000_s3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12</xdr:row>
          <xdr:rowOff>142875</xdr:rowOff>
        </xdr:from>
        <xdr:to>
          <xdr:col>0</xdr:col>
          <xdr:colOff>1371600</xdr:colOff>
          <xdr:row>14</xdr:row>
          <xdr:rowOff>76200</xdr:rowOff>
        </xdr:to>
        <xdr:sp macro="" textlink="">
          <xdr:nvSpPr>
            <xdr:cNvPr id="3094" name="cmdTCExecutionTime" hidden="1">
              <a:extLst>
                <a:ext uri="{63B3BB69-23CF-44E3-9099-C40C66FF867C}">
                  <a14:compatExt spid="_x0000_s3094"/>
                </a:ext>
              </a:extLst>
            </xdr:cNvPr>
            <xdr:cNvSpPr/>
          </xdr:nvSpPr>
          <xdr:spPr>
            <a:xfrm>
              <a:off x="0" y="0"/>
              <a:ext cx="0" cy="0"/>
            </a:xfrm>
            <a:prstGeom prst="rect">
              <a:avLst/>
            </a:prstGeom>
          </xdr:spPr>
        </xdr:sp>
        <xdr:clientData/>
      </xdr:twoCellAnchor>
    </mc:Choice>
    <mc:Fallback/>
  </mc:AlternateContent>
  <xdr:twoCellAnchor>
    <xdr:from>
      <xdr:col>0</xdr:col>
      <xdr:colOff>0</xdr:colOff>
      <xdr:row>0</xdr:row>
      <xdr:rowOff>9526</xdr:rowOff>
    </xdr:from>
    <xdr:to>
      <xdr:col>0</xdr:col>
      <xdr:colOff>9525</xdr:colOff>
      <xdr:row>1</xdr:row>
      <xdr:rowOff>103208</xdr:rowOff>
    </xdr:to>
    <xdr:grpSp>
      <xdr:nvGrpSpPr>
        <xdr:cNvPr id="23" name="Group 22"/>
        <xdr:cNvGrpSpPr/>
      </xdr:nvGrpSpPr>
      <xdr:grpSpPr>
        <a:xfrm>
          <a:off x="0" y="9526"/>
          <a:ext cx="9525" cy="284182"/>
          <a:chOff x="0" y="125092"/>
          <a:chExt cx="9525" cy="65012"/>
        </a:xfrm>
      </xdr:grpSpPr>
      <mc:AlternateContent xmlns:mc="http://schemas.openxmlformats.org/markup-compatibility/2006" xmlns:a14="http://schemas.microsoft.com/office/drawing/2010/main">
        <mc:Choice Requires="a14">
          <xdr:sp macro="" textlink="">
            <xdr:nvSpPr>
              <xdr:cNvPr id="24" name="CmbBCName" hidden="1">
                <a:extLst>
                  <a:ext uri="{63B3BB69-23CF-44E3-9099-C40C66FF867C}">
                    <a14:compatExt spid="_x0000_s3124"/>
                  </a:ext>
                </a:extLst>
              </xdr:cNvPr>
              <xdr:cNvSpPr/>
            </xdr:nvSpPr>
            <xdr:spPr>
              <a:xfrm>
                <a:off x="0" y="125092"/>
                <a:ext cx="0" cy="15253"/>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25" name="cmdFindTest" hidden="1">
                <a:extLst>
                  <a:ext uri="{63B3BB69-23CF-44E3-9099-C40C66FF867C}">
                    <a14:compatExt spid="_x0000_s3125"/>
                  </a:ext>
                </a:extLst>
              </xdr:cNvPr>
              <xdr:cNvSpPr/>
            </xdr:nvSpPr>
            <xdr:spPr>
              <a:xfrm>
                <a:off x="0" y="155894"/>
                <a:ext cx="0" cy="18660"/>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26" name="cmdFindBC" hidden="1">
                <a:extLst>
                  <a:ext uri="{63B3BB69-23CF-44E3-9099-C40C66FF867C}">
                    <a14:compatExt spid="_x0000_s3126"/>
                  </a:ext>
                </a:extLst>
              </xdr:cNvPr>
              <xdr:cNvSpPr/>
            </xdr:nvSpPr>
            <xdr:spPr>
              <a:xfrm>
                <a:off x="0" y="143454"/>
                <a:ext cx="0" cy="3110"/>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27" name="cmdNext" hidden="1">
                <a:extLst>
                  <a:ext uri="{63B3BB69-23CF-44E3-9099-C40C66FF867C}">
                    <a14:compatExt spid="_x0000_s3127"/>
                  </a:ext>
                </a:extLst>
              </xdr:cNvPr>
              <xdr:cNvSpPr/>
            </xdr:nvSpPr>
            <xdr:spPr>
              <a:xfrm>
                <a:off x="0" y="143454"/>
                <a:ext cx="0" cy="3110"/>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28" name="cmdImportHeaders" hidden="1">
                <a:extLst>
                  <a:ext uri="{63B3BB69-23CF-44E3-9099-C40C66FF867C}">
                    <a14:compatExt spid="_x0000_s3128"/>
                  </a:ext>
                </a:extLst>
              </xdr:cNvPr>
              <xdr:cNvSpPr/>
            </xdr:nvSpPr>
            <xdr:spPr>
              <a:xfrm>
                <a:off x="0" y="159004"/>
                <a:ext cx="0" cy="21770"/>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29" name="cmdShowAllCol" hidden="1">
                <a:extLst>
                  <a:ext uri="{63B3BB69-23CF-44E3-9099-C40C66FF867C}">
                    <a14:compatExt spid="_x0000_s3129"/>
                  </a:ext>
                </a:extLst>
              </xdr:cNvPr>
              <xdr:cNvSpPr/>
            </xdr:nvSpPr>
            <xdr:spPr>
              <a:xfrm>
                <a:off x="0" y="165224"/>
                <a:ext cx="0" cy="24880"/>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30" name="cmdPrevious" hidden="1">
                <a:extLst>
                  <a:ext uri="{63B3BB69-23CF-44E3-9099-C40C66FF867C}">
                    <a14:compatExt spid="_x0000_s3130"/>
                  </a:ext>
                </a:extLst>
              </xdr:cNvPr>
              <xdr:cNvSpPr/>
            </xdr:nvSpPr>
            <xdr:spPr>
              <a:xfrm>
                <a:off x="0" y="143454"/>
                <a:ext cx="0" cy="3110"/>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31" name="cmbTestCase" hidden="1">
                <a:extLst>
                  <a:ext uri="{63B3BB69-23CF-44E3-9099-C40C66FF867C}">
                    <a14:compatExt spid="_x0000_s3131"/>
                  </a:ext>
                </a:extLst>
              </xdr:cNvPr>
              <xdr:cNvSpPr/>
            </xdr:nvSpPr>
            <xdr:spPr>
              <a:xfrm>
                <a:off x="0" y="140345"/>
                <a:ext cx="0" cy="0"/>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32" name="cmdDeletedCol" hidden="1">
                <a:extLst>
                  <a:ext uri="{63B3BB69-23CF-44E3-9099-C40C66FF867C}">
                    <a14:compatExt spid="_x0000_s3132"/>
                  </a:ext>
                </a:extLst>
              </xdr:cNvPr>
              <xdr:cNvSpPr/>
            </xdr:nvSpPr>
            <xdr:spPr>
              <a:xfrm>
                <a:off x="0" y="125092"/>
                <a:ext cx="9525" cy="30506"/>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33" name="cmdTCExecutionTime" hidden="1">
                <a:extLst>
                  <a:ext uri="{63B3BB69-23CF-44E3-9099-C40C66FF867C}">
                    <a14:compatExt spid="_x0000_s3133"/>
                  </a:ext>
                </a:extLst>
              </xdr:cNvPr>
              <xdr:cNvSpPr/>
            </xdr:nvSpPr>
            <xdr:spPr>
              <a:xfrm>
                <a:off x="0" y="125092"/>
                <a:ext cx="9525" cy="26148"/>
              </a:xfrm>
              <a:prstGeom prst="rect">
                <a:avLst/>
              </a:prstGeom>
            </xdr:spPr>
          </xdr:sp>
        </mc:Choice>
        <mc:Fallback xmlns=""/>
      </mc:AlternateContent>
    </xdr:grpSp>
    <xdr:clientData/>
  </xdr:twoCellAnchor>
  <xdr:twoCellAnchor>
    <xdr:from>
      <xdr:col>0</xdr:col>
      <xdr:colOff>0</xdr:colOff>
      <xdr:row>0</xdr:row>
      <xdr:rowOff>9526</xdr:rowOff>
    </xdr:from>
    <xdr:to>
      <xdr:col>0</xdr:col>
      <xdr:colOff>9525</xdr:colOff>
      <xdr:row>1</xdr:row>
      <xdr:rowOff>103208</xdr:rowOff>
    </xdr:to>
    <xdr:grpSp>
      <xdr:nvGrpSpPr>
        <xdr:cNvPr id="34" name="Group 33"/>
        <xdr:cNvGrpSpPr/>
      </xdr:nvGrpSpPr>
      <xdr:grpSpPr>
        <a:xfrm>
          <a:off x="0" y="9526"/>
          <a:ext cx="9525" cy="284182"/>
          <a:chOff x="0" y="125092"/>
          <a:chExt cx="9525" cy="65012"/>
        </a:xfrm>
      </xdr:grpSpPr>
      <mc:AlternateContent xmlns:mc="http://schemas.openxmlformats.org/markup-compatibility/2006" xmlns:a14="http://schemas.microsoft.com/office/drawing/2010/main">
        <mc:Choice Requires="a14">
          <xdr:sp macro="" textlink="">
            <xdr:nvSpPr>
              <xdr:cNvPr id="35" name="CmbBCName" hidden="1">
                <a:extLst>
                  <a:ext uri="{63B3BB69-23CF-44E3-9099-C40C66FF867C}">
                    <a14:compatExt spid="_x0000_s3144"/>
                  </a:ext>
                </a:extLst>
              </xdr:cNvPr>
              <xdr:cNvSpPr/>
            </xdr:nvSpPr>
            <xdr:spPr>
              <a:xfrm>
                <a:off x="0" y="125092"/>
                <a:ext cx="0" cy="15253"/>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36" name="cmdFindTest" hidden="1">
                <a:extLst>
                  <a:ext uri="{63B3BB69-23CF-44E3-9099-C40C66FF867C}">
                    <a14:compatExt spid="_x0000_s3145"/>
                  </a:ext>
                </a:extLst>
              </xdr:cNvPr>
              <xdr:cNvSpPr/>
            </xdr:nvSpPr>
            <xdr:spPr>
              <a:xfrm>
                <a:off x="0" y="155894"/>
                <a:ext cx="0" cy="18660"/>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37" name="cmdFindBC" hidden="1">
                <a:extLst>
                  <a:ext uri="{63B3BB69-23CF-44E3-9099-C40C66FF867C}">
                    <a14:compatExt spid="_x0000_s3146"/>
                  </a:ext>
                </a:extLst>
              </xdr:cNvPr>
              <xdr:cNvSpPr/>
            </xdr:nvSpPr>
            <xdr:spPr>
              <a:xfrm>
                <a:off x="0" y="143454"/>
                <a:ext cx="0" cy="3110"/>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38" name="cmdNext" hidden="1">
                <a:extLst>
                  <a:ext uri="{63B3BB69-23CF-44E3-9099-C40C66FF867C}">
                    <a14:compatExt spid="_x0000_s3147"/>
                  </a:ext>
                </a:extLst>
              </xdr:cNvPr>
              <xdr:cNvSpPr/>
            </xdr:nvSpPr>
            <xdr:spPr>
              <a:xfrm>
                <a:off x="0" y="143454"/>
                <a:ext cx="0" cy="3110"/>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39" name="cmdImportHeaders" hidden="1">
                <a:extLst>
                  <a:ext uri="{63B3BB69-23CF-44E3-9099-C40C66FF867C}">
                    <a14:compatExt spid="_x0000_s3148"/>
                  </a:ext>
                </a:extLst>
              </xdr:cNvPr>
              <xdr:cNvSpPr/>
            </xdr:nvSpPr>
            <xdr:spPr>
              <a:xfrm>
                <a:off x="0" y="159004"/>
                <a:ext cx="0" cy="21770"/>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40" name="cmdShowAllCol" hidden="1">
                <a:extLst>
                  <a:ext uri="{63B3BB69-23CF-44E3-9099-C40C66FF867C}">
                    <a14:compatExt spid="_x0000_s3149"/>
                  </a:ext>
                </a:extLst>
              </xdr:cNvPr>
              <xdr:cNvSpPr/>
            </xdr:nvSpPr>
            <xdr:spPr>
              <a:xfrm>
                <a:off x="0" y="165224"/>
                <a:ext cx="0" cy="24880"/>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41" name="cmdPrevious" hidden="1">
                <a:extLst>
                  <a:ext uri="{63B3BB69-23CF-44E3-9099-C40C66FF867C}">
                    <a14:compatExt spid="_x0000_s3150"/>
                  </a:ext>
                </a:extLst>
              </xdr:cNvPr>
              <xdr:cNvSpPr/>
            </xdr:nvSpPr>
            <xdr:spPr>
              <a:xfrm>
                <a:off x="0" y="143454"/>
                <a:ext cx="0" cy="3110"/>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42" name="cmbTestCase" hidden="1">
                <a:extLst>
                  <a:ext uri="{63B3BB69-23CF-44E3-9099-C40C66FF867C}">
                    <a14:compatExt spid="_x0000_s3151"/>
                  </a:ext>
                </a:extLst>
              </xdr:cNvPr>
              <xdr:cNvSpPr/>
            </xdr:nvSpPr>
            <xdr:spPr>
              <a:xfrm>
                <a:off x="0" y="140345"/>
                <a:ext cx="0" cy="0"/>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43" name="cmdDeletedCol" hidden="1">
                <a:extLst>
                  <a:ext uri="{63B3BB69-23CF-44E3-9099-C40C66FF867C}">
                    <a14:compatExt spid="_x0000_s3152"/>
                  </a:ext>
                </a:extLst>
              </xdr:cNvPr>
              <xdr:cNvSpPr/>
            </xdr:nvSpPr>
            <xdr:spPr>
              <a:xfrm>
                <a:off x="0" y="125092"/>
                <a:ext cx="9525" cy="30506"/>
              </a:xfrm>
              <a:prstGeom prst="rect">
                <a:avLst/>
              </a:prstGeom>
            </xdr:spPr>
          </xdr:sp>
        </mc:Choice>
        <mc:Fallback xmlns=""/>
      </mc:AlternateContent>
      <mc:AlternateContent xmlns:mc="http://schemas.openxmlformats.org/markup-compatibility/2006" xmlns:a14="http://schemas.microsoft.com/office/drawing/2010/main">
        <mc:Choice Requires="a14">
          <xdr:sp macro="" textlink="">
            <xdr:nvSpPr>
              <xdr:cNvPr id="44" name="cmdTCExecutionTime" hidden="1">
                <a:extLst>
                  <a:ext uri="{63B3BB69-23CF-44E3-9099-C40C66FF867C}">
                    <a14:compatExt spid="_x0000_s3153"/>
                  </a:ext>
                </a:extLst>
              </xdr:cNvPr>
              <xdr:cNvSpPr/>
            </xdr:nvSpPr>
            <xdr:spPr>
              <a:xfrm>
                <a:off x="0" y="125092"/>
                <a:ext cx="9525" cy="26148"/>
              </a:xfrm>
              <a:prstGeom prst="rect">
                <a:avLst/>
              </a:prstGeom>
            </xdr:spPr>
          </xdr:sp>
        </mc:Choice>
        <mc:Fallback xmlns=""/>
      </mc:AlternateContent>
    </xdr:grpSp>
    <xdr:clientData/>
  </xdr:twoCellAnchor>
  <xdr:twoCellAnchor editAs="absolute">
    <xdr:from>
      <xdr:col>0</xdr:col>
      <xdr:colOff>0</xdr:colOff>
      <xdr:row>0</xdr:row>
      <xdr:rowOff>9525</xdr:rowOff>
    </xdr:from>
    <xdr:to>
      <xdr:col>0</xdr:col>
      <xdr:colOff>0</xdr:colOff>
      <xdr:row>0</xdr:row>
      <xdr:rowOff>76200</xdr:rowOff>
    </xdr:to>
    <xdr:pic>
      <xdr:nvPicPr>
        <xdr:cNvPr id="3124" name="Picture 52"/>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525"/>
          <a:ext cx="0" cy="666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142875</xdr:rowOff>
    </xdr:from>
    <xdr:to>
      <xdr:col>0</xdr:col>
      <xdr:colOff>0</xdr:colOff>
      <xdr:row>1</xdr:row>
      <xdr:rowOff>38100</xdr:rowOff>
    </xdr:to>
    <xdr:pic>
      <xdr:nvPicPr>
        <xdr:cNvPr id="3125" name="Picture 53"/>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2875"/>
          <a:ext cx="0" cy="857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85725</xdr:rowOff>
    </xdr:from>
    <xdr:to>
      <xdr:col>0</xdr:col>
      <xdr:colOff>0</xdr:colOff>
      <xdr:row>0</xdr:row>
      <xdr:rowOff>104775</xdr:rowOff>
    </xdr:to>
    <xdr:pic>
      <xdr:nvPicPr>
        <xdr:cNvPr id="3126" name="Picture 54"/>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85725"/>
          <a:ext cx="0" cy="190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85725</xdr:rowOff>
    </xdr:from>
    <xdr:to>
      <xdr:col>0</xdr:col>
      <xdr:colOff>0</xdr:colOff>
      <xdr:row>0</xdr:row>
      <xdr:rowOff>104775</xdr:rowOff>
    </xdr:to>
    <xdr:pic>
      <xdr:nvPicPr>
        <xdr:cNvPr id="3127" name="Picture 55"/>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85725"/>
          <a:ext cx="0" cy="190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161925</xdr:rowOff>
    </xdr:from>
    <xdr:to>
      <xdr:col>0</xdr:col>
      <xdr:colOff>0</xdr:colOff>
      <xdr:row>1</xdr:row>
      <xdr:rowOff>66675</xdr:rowOff>
    </xdr:to>
    <xdr:pic>
      <xdr:nvPicPr>
        <xdr:cNvPr id="3128" name="Picture 56"/>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61925"/>
          <a:ext cx="0" cy="952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180975</xdr:rowOff>
    </xdr:from>
    <xdr:to>
      <xdr:col>0</xdr:col>
      <xdr:colOff>0</xdr:colOff>
      <xdr:row>1</xdr:row>
      <xdr:rowOff>104775</xdr:rowOff>
    </xdr:to>
    <xdr:pic>
      <xdr:nvPicPr>
        <xdr:cNvPr id="3129" name="Picture 57"/>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180975"/>
          <a:ext cx="0" cy="114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85725</xdr:rowOff>
    </xdr:from>
    <xdr:to>
      <xdr:col>0</xdr:col>
      <xdr:colOff>0</xdr:colOff>
      <xdr:row>0</xdr:row>
      <xdr:rowOff>104775</xdr:rowOff>
    </xdr:to>
    <xdr:pic>
      <xdr:nvPicPr>
        <xdr:cNvPr id="3130" name="Picture 58"/>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85725"/>
          <a:ext cx="0" cy="190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76200</xdr:rowOff>
    </xdr:from>
    <xdr:to>
      <xdr:col>0</xdr:col>
      <xdr:colOff>0</xdr:colOff>
      <xdr:row>0</xdr:row>
      <xdr:rowOff>76200</xdr:rowOff>
    </xdr:to>
    <xdr:pic>
      <xdr:nvPicPr>
        <xdr:cNvPr id="3131" name="Picture 59"/>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7620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9525</xdr:rowOff>
    </xdr:from>
    <xdr:to>
      <xdr:col>0</xdr:col>
      <xdr:colOff>9525</xdr:colOff>
      <xdr:row>0</xdr:row>
      <xdr:rowOff>142875</xdr:rowOff>
    </xdr:to>
    <xdr:pic>
      <xdr:nvPicPr>
        <xdr:cNvPr id="3132" name="Picture 60"/>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9525"/>
          <a:ext cx="9525" cy="1333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9525</xdr:rowOff>
    </xdr:from>
    <xdr:to>
      <xdr:col>0</xdr:col>
      <xdr:colOff>9525</xdr:colOff>
      <xdr:row>0</xdr:row>
      <xdr:rowOff>123825</xdr:rowOff>
    </xdr:to>
    <xdr:pic>
      <xdr:nvPicPr>
        <xdr:cNvPr id="3133" name="Picture 61"/>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9525"/>
          <a:ext cx="9525" cy="114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9525</xdr:rowOff>
    </xdr:from>
    <xdr:to>
      <xdr:col>0</xdr:col>
      <xdr:colOff>0</xdr:colOff>
      <xdr:row>0</xdr:row>
      <xdr:rowOff>76200</xdr:rowOff>
    </xdr:to>
    <xdr:pic>
      <xdr:nvPicPr>
        <xdr:cNvPr id="3144" name="Picture 72"/>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525"/>
          <a:ext cx="0" cy="666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142875</xdr:rowOff>
    </xdr:from>
    <xdr:to>
      <xdr:col>0</xdr:col>
      <xdr:colOff>0</xdr:colOff>
      <xdr:row>1</xdr:row>
      <xdr:rowOff>38100</xdr:rowOff>
    </xdr:to>
    <xdr:pic>
      <xdr:nvPicPr>
        <xdr:cNvPr id="3145" name="Picture 73"/>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2875"/>
          <a:ext cx="0" cy="857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85725</xdr:rowOff>
    </xdr:from>
    <xdr:to>
      <xdr:col>0</xdr:col>
      <xdr:colOff>0</xdr:colOff>
      <xdr:row>0</xdr:row>
      <xdr:rowOff>104775</xdr:rowOff>
    </xdr:to>
    <xdr:pic>
      <xdr:nvPicPr>
        <xdr:cNvPr id="3146" name="Picture 74"/>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85725"/>
          <a:ext cx="0" cy="190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85725</xdr:rowOff>
    </xdr:from>
    <xdr:to>
      <xdr:col>0</xdr:col>
      <xdr:colOff>0</xdr:colOff>
      <xdr:row>0</xdr:row>
      <xdr:rowOff>104775</xdr:rowOff>
    </xdr:to>
    <xdr:pic>
      <xdr:nvPicPr>
        <xdr:cNvPr id="3147" name="Picture 75"/>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85725"/>
          <a:ext cx="0" cy="190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161925</xdr:rowOff>
    </xdr:from>
    <xdr:to>
      <xdr:col>0</xdr:col>
      <xdr:colOff>0</xdr:colOff>
      <xdr:row>1</xdr:row>
      <xdr:rowOff>66675</xdr:rowOff>
    </xdr:to>
    <xdr:pic>
      <xdr:nvPicPr>
        <xdr:cNvPr id="3148" name="Picture 76"/>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61925"/>
          <a:ext cx="0" cy="952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180975</xdr:rowOff>
    </xdr:from>
    <xdr:to>
      <xdr:col>0</xdr:col>
      <xdr:colOff>0</xdr:colOff>
      <xdr:row>1</xdr:row>
      <xdr:rowOff>104775</xdr:rowOff>
    </xdr:to>
    <xdr:pic>
      <xdr:nvPicPr>
        <xdr:cNvPr id="3149" name="Picture 77"/>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180975"/>
          <a:ext cx="0" cy="114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85725</xdr:rowOff>
    </xdr:from>
    <xdr:to>
      <xdr:col>0</xdr:col>
      <xdr:colOff>0</xdr:colOff>
      <xdr:row>0</xdr:row>
      <xdr:rowOff>104775</xdr:rowOff>
    </xdr:to>
    <xdr:pic>
      <xdr:nvPicPr>
        <xdr:cNvPr id="3150" name="Picture 78"/>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85725"/>
          <a:ext cx="0" cy="190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76200</xdr:rowOff>
    </xdr:from>
    <xdr:to>
      <xdr:col>0</xdr:col>
      <xdr:colOff>0</xdr:colOff>
      <xdr:row>0</xdr:row>
      <xdr:rowOff>76200</xdr:rowOff>
    </xdr:to>
    <xdr:pic>
      <xdr:nvPicPr>
        <xdr:cNvPr id="3151" name="Picture 79"/>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7620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9525</xdr:rowOff>
    </xdr:from>
    <xdr:to>
      <xdr:col>0</xdr:col>
      <xdr:colOff>9525</xdr:colOff>
      <xdr:row>0</xdr:row>
      <xdr:rowOff>142875</xdr:rowOff>
    </xdr:to>
    <xdr:pic>
      <xdr:nvPicPr>
        <xdr:cNvPr id="3152" name="Picture 80"/>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9525"/>
          <a:ext cx="9525" cy="1333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absolute">
    <xdr:from>
      <xdr:col>0</xdr:col>
      <xdr:colOff>0</xdr:colOff>
      <xdr:row>0</xdr:row>
      <xdr:rowOff>9525</xdr:rowOff>
    </xdr:from>
    <xdr:to>
      <xdr:col>0</xdr:col>
      <xdr:colOff>9525</xdr:colOff>
      <xdr:row>0</xdr:row>
      <xdr:rowOff>123825</xdr:rowOff>
    </xdr:to>
    <xdr:pic>
      <xdr:nvPicPr>
        <xdr:cNvPr id="3153" name="Picture 81"/>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9525"/>
          <a:ext cx="9525" cy="114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2743200</xdr:colOff>
          <xdr:row>0</xdr:row>
          <xdr:rowOff>76200</xdr:rowOff>
        </xdr:from>
        <xdr:to>
          <xdr:col>1</xdr:col>
          <xdr:colOff>3086100</xdr:colOff>
          <xdr:row>12</xdr:row>
          <xdr:rowOff>47625</xdr:rowOff>
        </xdr:to>
        <xdr:sp macro="" textlink="">
          <xdr:nvSpPr>
            <xdr:cNvPr id="7171" name="cmdDone" hidden="1">
              <a:extLst>
                <a:ext uri="{63B3BB69-23CF-44E3-9099-C40C66FF867C}">
                  <a14:compatExt spid="_x0000_s717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hajekarr/AppData/Local/Microsoft/Windows/Temporary%20Internet%20Files/Content.Outlook/NV9AT0DG/Datasheet_Salt_Two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Application_Environment"/>
      <sheetName val="DataSheet"/>
      <sheetName val="Mapping"/>
      <sheetName val="TabData"/>
      <sheetName val="Version Control"/>
      <sheetName val="Sheet1"/>
    </sheetNames>
    <sheetDataSet>
      <sheetData sheetId="0"/>
      <sheetData sheetId="1"/>
      <sheetData sheetId="2"/>
      <sheetData sheetId="3"/>
      <sheetData sheetId="4"/>
      <sheetData sheetId="5"/>
      <sheetData sheetId="6">
        <row r="2">
          <cell r="H2" t="str">
            <v>Settle</v>
          </cell>
        </row>
        <row r="3">
          <cell r="H3" t="str">
            <v>Reject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admin.rgt.salt.travelex.com/Login.aspx" TargetMode="External"/><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3" Type="http://schemas.openxmlformats.org/officeDocument/2006/relationships/hyperlink" Target="mailto:harshit.wadaskar@travelex.com" TargetMode="External"/><Relationship Id="rId18" Type="http://schemas.openxmlformats.org/officeDocument/2006/relationships/hyperlink" Target="mailto:harshit.wadaskar@travelex.com" TargetMode="External"/><Relationship Id="rId26" Type="http://schemas.openxmlformats.org/officeDocument/2006/relationships/printerSettings" Target="../printerSettings/printerSettings6.bin"/><Relationship Id="rId39" Type="http://schemas.openxmlformats.org/officeDocument/2006/relationships/control" Target="../activeX/activeX6.xml"/><Relationship Id="rId3" Type="http://schemas.openxmlformats.org/officeDocument/2006/relationships/hyperlink" Target="file:///\\gb-pb-gec-vt5\Batch\Swift\NZ\Unprocessed" TargetMode="External"/><Relationship Id="rId21" Type="http://schemas.openxmlformats.org/officeDocument/2006/relationships/hyperlink" Target="mailto:harshit.wadaskar@travelex.com" TargetMode="External"/><Relationship Id="rId34" Type="http://schemas.openxmlformats.org/officeDocument/2006/relationships/image" Target="../media/image3.emf"/><Relationship Id="rId42" Type="http://schemas.openxmlformats.org/officeDocument/2006/relationships/image" Target="../media/image7.emf"/><Relationship Id="rId47" Type="http://schemas.openxmlformats.org/officeDocument/2006/relationships/control" Target="../activeX/activeX10.xml"/><Relationship Id="rId7" Type="http://schemas.openxmlformats.org/officeDocument/2006/relationships/hyperlink" Target="file:///\\gb-pb-gec-vt5\Batch\Swift\NZ\Import" TargetMode="External"/><Relationship Id="rId12" Type="http://schemas.openxmlformats.org/officeDocument/2006/relationships/hyperlink" Target="mailto:harshit.wadaskar@travelex.com" TargetMode="External"/><Relationship Id="rId17" Type="http://schemas.openxmlformats.org/officeDocument/2006/relationships/hyperlink" Target="http://www.travelex.co.uk.rgt.salt/gb/purchase" TargetMode="External"/><Relationship Id="rId25" Type="http://schemas.openxmlformats.org/officeDocument/2006/relationships/hyperlink" Target="mailto:harshit.wadaskar@travelex.com" TargetMode="External"/><Relationship Id="rId33" Type="http://schemas.openxmlformats.org/officeDocument/2006/relationships/control" Target="../activeX/activeX3.xml"/><Relationship Id="rId38" Type="http://schemas.openxmlformats.org/officeDocument/2006/relationships/image" Target="../media/image5.emf"/><Relationship Id="rId46" Type="http://schemas.openxmlformats.org/officeDocument/2006/relationships/image" Target="../media/image9.emf"/><Relationship Id="rId2" Type="http://schemas.openxmlformats.org/officeDocument/2006/relationships/hyperlink" Target="http://admin.rgt.salt.travelex.com/Login.aspx" TargetMode="External"/><Relationship Id="rId16" Type="http://schemas.openxmlformats.org/officeDocument/2006/relationships/hyperlink" Target="http://www.travelex.co.uk.rgt.salt/gb/purchase" TargetMode="External"/><Relationship Id="rId20" Type="http://schemas.openxmlformats.org/officeDocument/2006/relationships/hyperlink" Target="mailto:harshit.wadaskar@travelex.com" TargetMode="External"/><Relationship Id="rId29" Type="http://schemas.openxmlformats.org/officeDocument/2006/relationships/control" Target="../activeX/activeX1.xml"/><Relationship Id="rId41" Type="http://schemas.openxmlformats.org/officeDocument/2006/relationships/control" Target="../activeX/activeX7.xml"/><Relationship Id="rId1" Type="http://schemas.openxmlformats.org/officeDocument/2006/relationships/printerSettings" Target="../printerSettings/printerSettings5.bin"/><Relationship Id="rId6" Type="http://schemas.openxmlformats.org/officeDocument/2006/relationships/hyperlink" Target="file:///\\gb-pb-gec-vt5\Batch\Swift\NZ\Unprocessed" TargetMode="External"/><Relationship Id="rId11" Type="http://schemas.openxmlformats.org/officeDocument/2006/relationships/hyperlink" Target="file:///\\gb-pb-gec-vt5\Batch\Swift\NZ\Import" TargetMode="External"/><Relationship Id="rId24" Type="http://schemas.openxmlformats.org/officeDocument/2006/relationships/hyperlink" Target="http://www.travelex.co.uk.rgt.salt/gb/purchase" TargetMode="External"/><Relationship Id="rId32" Type="http://schemas.openxmlformats.org/officeDocument/2006/relationships/image" Target="../media/image2.emf"/><Relationship Id="rId37" Type="http://schemas.openxmlformats.org/officeDocument/2006/relationships/control" Target="../activeX/activeX5.xml"/><Relationship Id="rId40" Type="http://schemas.openxmlformats.org/officeDocument/2006/relationships/image" Target="../media/image6.emf"/><Relationship Id="rId45" Type="http://schemas.openxmlformats.org/officeDocument/2006/relationships/control" Target="../activeX/activeX9.xml"/><Relationship Id="rId5" Type="http://schemas.openxmlformats.org/officeDocument/2006/relationships/hyperlink" Target="file:///\\gb-pb-gec-vt5\Batch\Swift\NZ\Unprocessed" TargetMode="External"/><Relationship Id="rId15" Type="http://schemas.openxmlformats.org/officeDocument/2006/relationships/hyperlink" Target="mailto:harshit.wadaskar@travelex.com" TargetMode="External"/><Relationship Id="rId23" Type="http://schemas.openxmlformats.org/officeDocument/2006/relationships/hyperlink" Target="mailto:harshit.wadaskar@travelex.com" TargetMode="External"/><Relationship Id="rId28" Type="http://schemas.openxmlformats.org/officeDocument/2006/relationships/vmlDrawing" Target="../drawings/vmlDrawing2.vml"/><Relationship Id="rId36" Type="http://schemas.openxmlformats.org/officeDocument/2006/relationships/image" Target="../media/image4.emf"/><Relationship Id="rId49" Type="http://schemas.openxmlformats.org/officeDocument/2006/relationships/comments" Target="../comments2.xml"/><Relationship Id="rId10" Type="http://schemas.openxmlformats.org/officeDocument/2006/relationships/hyperlink" Target="mailto:SALT-Alerts-Test@travelex.com" TargetMode="External"/><Relationship Id="rId19" Type="http://schemas.openxmlformats.org/officeDocument/2006/relationships/hyperlink" Target="mailto:harshit.wadaskar@travelex.com" TargetMode="External"/><Relationship Id="rId31" Type="http://schemas.openxmlformats.org/officeDocument/2006/relationships/control" Target="../activeX/activeX2.xml"/><Relationship Id="rId44" Type="http://schemas.openxmlformats.org/officeDocument/2006/relationships/image" Target="../media/image8.emf"/><Relationship Id="rId4" Type="http://schemas.openxmlformats.org/officeDocument/2006/relationships/hyperlink" Target="file:///\\gb-pb-gec-vt5\Batch\Swift\NZ\Unprocessed" TargetMode="External"/><Relationship Id="rId9" Type="http://schemas.openxmlformats.org/officeDocument/2006/relationships/hyperlink" Target="file:///\\gb-pb-gec-vt5\Batch\Swift\NZ\Import" TargetMode="External"/><Relationship Id="rId14" Type="http://schemas.openxmlformats.org/officeDocument/2006/relationships/hyperlink" Target="mailto:harshit.wadaskar@travelex.com" TargetMode="External"/><Relationship Id="rId22" Type="http://schemas.openxmlformats.org/officeDocument/2006/relationships/hyperlink" Target="http://www.travelex.co.uk.rgt.salt/gb/purchase" TargetMode="External"/><Relationship Id="rId27" Type="http://schemas.openxmlformats.org/officeDocument/2006/relationships/drawing" Target="../drawings/drawing1.xml"/><Relationship Id="rId30" Type="http://schemas.openxmlformats.org/officeDocument/2006/relationships/image" Target="../media/image1.emf"/><Relationship Id="rId35" Type="http://schemas.openxmlformats.org/officeDocument/2006/relationships/control" Target="../activeX/activeX4.xml"/><Relationship Id="rId43" Type="http://schemas.openxmlformats.org/officeDocument/2006/relationships/control" Target="../activeX/activeX8.xml"/><Relationship Id="rId48" Type="http://schemas.openxmlformats.org/officeDocument/2006/relationships/image" Target="../media/image10.emf"/><Relationship Id="rId8" Type="http://schemas.openxmlformats.org/officeDocument/2006/relationships/hyperlink" Target="file:///\\gb-pb-gec-vt5\Batch\Swift\NZ\Import"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image" Target="../media/image19.emf"/><Relationship Id="rId5" Type="http://schemas.openxmlformats.org/officeDocument/2006/relationships/control" Target="../activeX/activeX11.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284"/>
  <sheetViews>
    <sheetView zoomScale="90" zoomScaleNormal="90" workbookViewId="0">
      <pane ySplit="1" topLeftCell="A53" activePane="bottomLeft" state="frozen"/>
      <selection pane="bottomLeft" activeCell="C67" sqref="C67"/>
    </sheetView>
  </sheetViews>
  <sheetFormatPr defaultRowHeight="15"/>
  <cols>
    <col min="1" max="1" width="9.140625" style="14"/>
    <col min="2" max="2" width="43.85546875" style="14" customWidth="1"/>
    <col min="3" max="3" width="7.5703125" style="82" bestFit="1" customWidth="1"/>
    <col min="4" max="4" width="28.85546875" style="14" customWidth="1"/>
    <col min="5" max="5" width="7.85546875" style="14" customWidth="1"/>
    <col min="6" max="6" width="33.5703125" style="17" bestFit="1" customWidth="1"/>
    <col min="7" max="7" width="25" style="14" customWidth="1"/>
    <col min="8" max="8" width="13.5703125" style="14" customWidth="1"/>
    <col min="9" max="16384" width="9.140625" style="14"/>
  </cols>
  <sheetData>
    <row r="1" spans="1:8" ht="15.75" thickBot="1">
      <c r="A1" s="201" t="s">
        <v>14</v>
      </c>
      <c r="B1" s="202" t="s">
        <v>15</v>
      </c>
      <c r="C1" s="202" t="s">
        <v>719</v>
      </c>
      <c r="D1" s="203" t="s">
        <v>203</v>
      </c>
      <c r="E1" s="203"/>
      <c r="F1" s="204" t="s">
        <v>1006</v>
      </c>
      <c r="G1" s="226"/>
      <c r="H1" s="227" t="s">
        <v>20</v>
      </c>
    </row>
    <row r="2" spans="1:8" s="26" customFormat="1" ht="15" customHeight="1">
      <c r="A2" s="205">
        <v>1</v>
      </c>
      <c r="B2" s="206" t="s">
        <v>1378</v>
      </c>
      <c r="C2" s="222"/>
      <c r="D2" s="206"/>
      <c r="E2" s="206"/>
      <c r="F2" s="206"/>
      <c r="G2" s="26" t="s">
        <v>1328</v>
      </c>
    </row>
    <row r="3" spans="1:8" s="26" customFormat="1" ht="15" customHeight="1">
      <c r="A3" s="207">
        <v>2</v>
      </c>
      <c r="B3" s="86" t="s">
        <v>790</v>
      </c>
      <c r="C3" s="222"/>
      <c r="D3" s="86" t="s">
        <v>835</v>
      </c>
      <c r="E3" s="86"/>
      <c r="F3" s="86"/>
      <c r="G3" s="26" t="s">
        <v>1072</v>
      </c>
      <c r="H3" s="68" t="s">
        <v>1399</v>
      </c>
    </row>
    <row r="4" spans="1:8" s="26" customFormat="1" ht="15" customHeight="1">
      <c r="A4" s="207">
        <v>3</v>
      </c>
      <c r="B4" s="86" t="s">
        <v>791</v>
      </c>
      <c r="C4" s="222"/>
      <c r="D4" s="86" t="s">
        <v>836</v>
      </c>
      <c r="E4" s="86"/>
      <c r="F4" s="86"/>
      <c r="G4" s="26" t="s">
        <v>1072</v>
      </c>
    </row>
    <row r="5" spans="1:8" s="26" customFormat="1" ht="17.25" customHeight="1">
      <c r="A5" s="207">
        <v>15</v>
      </c>
      <c r="B5" s="86" t="s">
        <v>204</v>
      </c>
      <c r="C5" s="222"/>
      <c r="D5" s="86" t="s">
        <v>308</v>
      </c>
      <c r="E5" s="86">
        <v>1</v>
      </c>
      <c r="F5" s="87" t="s">
        <v>1333</v>
      </c>
      <c r="G5" s="26" t="s">
        <v>1072</v>
      </c>
      <c r="H5" s="68" t="s">
        <v>1399</v>
      </c>
    </row>
    <row r="6" spans="1:8" s="26" customFormat="1" ht="15" customHeight="1">
      <c r="A6" s="207">
        <v>16</v>
      </c>
      <c r="B6" s="86" t="s">
        <v>205</v>
      </c>
      <c r="C6" s="222"/>
      <c r="D6" s="86" t="s">
        <v>308</v>
      </c>
      <c r="E6" s="86">
        <v>1</v>
      </c>
      <c r="F6" s="86"/>
      <c r="G6" s="26" t="s">
        <v>1072</v>
      </c>
      <c r="H6" s="68" t="s">
        <v>1399</v>
      </c>
    </row>
    <row r="7" spans="1:8" s="26" customFormat="1" ht="15" customHeight="1">
      <c r="A7" s="207">
        <v>17</v>
      </c>
      <c r="B7" s="86" t="s">
        <v>206</v>
      </c>
      <c r="C7" s="222"/>
      <c r="D7" s="86" t="s">
        <v>308</v>
      </c>
      <c r="E7" s="86">
        <v>2</v>
      </c>
      <c r="F7" s="86"/>
      <c r="G7" s="26" t="s">
        <v>1072</v>
      </c>
      <c r="H7" s="68" t="s">
        <v>1399</v>
      </c>
    </row>
    <row r="8" spans="1:8" s="26" customFormat="1" ht="15" customHeight="1">
      <c r="A8" s="207">
        <v>18</v>
      </c>
      <c r="B8" s="86" t="s">
        <v>207</v>
      </c>
      <c r="C8" s="222"/>
      <c r="D8" s="86" t="s">
        <v>308</v>
      </c>
      <c r="E8" s="86">
        <v>3</v>
      </c>
      <c r="F8" s="86"/>
      <c r="G8" s="26" t="s">
        <v>1072</v>
      </c>
      <c r="H8" s="68" t="s">
        <v>1399</v>
      </c>
    </row>
    <row r="9" spans="1:8" s="26" customFormat="1" ht="15" customHeight="1">
      <c r="A9" s="207">
        <v>19</v>
      </c>
      <c r="B9" s="86" t="s">
        <v>208</v>
      </c>
      <c r="C9" s="222"/>
      <c r="D9" s="86" t="s">
        <v>308</v>
      </c>
      <c r="E9" s="86">
        <v>3</v>
      </c>
      <c r="F9" s="86"/>
      <c r="G9" s="26" t="s">
        <v>1072</v>
      </c>
      <c r="H9" s="68" t="s">
        <v>1399</v>
      </c>
    </row>
    <row r="10" spans="1:8" s="26" customFormat="1" ht="15" customHeight="1">
      <c r="A10" s="207">
        <v>20</v>
      </c>
      <c r="B10" s="86" t="s">
        <v>211</v>
      </c>
      <c r="C10" s="222"/>
      <c r="D10" s="86" t="s">
        <v>308</v>
      </c>
      <c r="E10" s="86">
        <v>4</v>
      </c>
      <c r="F10" s="86"/>
      <c r="G10" s="26" t="s">
        <v>1072</v>
      </c>
      <c r="H10" s="68" t="s">
        <v>1399</v>
      </c>
    </row>
    <row r="11" spans="1:8" s="26" customFormat="1" ht="15" customHeight="1">
      <c r="A11" s="207">
        <v>21</v>
      </c>
      <c r="B11" s="86" t="s">
        <v>214</v>
      </c>
      <c r="C11" s="222"/>
      <c r="D11" s="86" t="s">
        <v>308</v>
      </c>
      <c r="E11" s="86">
        <v>4</v>
      </c>
      <c r="F11" s="86"/>
      <c r="G11" s="26" t="s">
        <v>1072</v>
      </c>
      <c r="H11" s="68" t="s">
        <v>1399</v>
      </c>
    </row>
    <row r="12" spans="1:8" s="26" customFormat="1" ht="15" customHeight="1">
      <c r="A12" s="207">
        <v>22</v>
      </c>
      <c r="B12" s="86" t="s">
        <v>212</v>
      </c>
      <c r="C12" s="222"/>
      <c r="D12" s="86" t="s">
        <v>214</v>
      </c>
      <c r="E12" s="86">
        <v>1</v>
      </c>
      <c r="F12" s="86"/>
      <c r="G12" s="26" t="s">
        <v>1072</v>
      </c>
      <c r="H12" s="68" t="s">
        <v>1399</v>
      </c>
    </row>
    <row r="13" spans="1:8" s="26" customFormat="1" ht="15" customHeight="1">
      <c r="A13" s="207">
        <v>23</v>
      </c>
      <c r="B13" s="86" t="s">
        <v>213</v>
      </c>
      <c r="C13" s="222"/>
      <c r="D13" s="86" t="s">
        <v>308</v>
      </c>
      <c r="E13" s="86">
        <v>23</v>
      </c>
      <c r="F13" s="86"/>
      <c r="G13" s="26" t="s">
        <v>1072</v>
      </c>
      <c r="H13" s="68" t="s">
        <v>1399</v>
      </c>
    </row>
    <row r="14" spans="1:8" s="26" customFormat="1" ht="15" customHeight="1">
      <c r="A14" s="207">
        <v>24</v>
      </c>
      <c r="B14" s="86" t="s">
        <v>215</v>
      </c>
      <c r="C14" s="222"/>
      <c r="D14" s="86" t="s">
        <v>308</v>
      </c>
      <c r="E14" s="86">
        <v>5</v>
      </c>
      <c r="F14" s="87"/>
      <c r="G14" s="26" t="s">
        <v>1072</v>
      </c>
      <c r="H14" s="68" t="s">
        <v>1399</v>
      </c>
    </row>
    <row r="15" spans="1:8" s="26" customFormat="1" ht="25.5" customHeight="1">
      <c r="A15" s="207">
        <v>25</v>
      </c>
      <c r="B15" s="86" t="s">
        <v>218</v>
      </c>
      <c r="C15" s="222"/>
      <c r="D15" s="86" t="s">
        <v>308</v>
      </c>
      <c r="E15" s="86">
        <v>6</v>
      </c>
      <c r="F15" s="87" t="s">
        <v>674</v>
      </c>
      <c r="G15" s="26" t="s">
        <v>1072</v>
      </c>
      <c r="H15" s="68" t="s">
        <v>1399</v>
      </c>
    </row>
    <row r="16" spans="1:8" s="26" customFormat="1" ht="25.5" customHeight="1">
      <c r="A16" s="207">
        <v>26</v>
      </c>
      <c r="B16" s="86" t="s">
        <v>219</v>
      </c>
      <c r="C16" s="222"/>
      <c r="D16" s="86" t="s">
        <v>308</v>
      </c>
      <c r="E16" s="86">
        <v>7</v>
      </c>
      <c r="F16" s="87" t="s">
        <v>674</v>
      </c>
      <c r="G16" s="26" t="s">
        <v>1072</v>
      </c>
      <c r="H16" s="68" t="s">
        <v>1399</v>
      </c>
    </row>
    <row r="17" spans="1:8" s="26" customFormat="1" ht="25.5" customHeight="1">
      <c r="A17" s="207">
        <v>27</v>
      </c>
      <c r="B17" s="86" t="s">
        <v>216</v>
      </c>
      <c r="C17" s="222"/>
      <c r="D17" s="86" t="s">
        <v>308</v>
      </c>
      <c r="E17" s="86">
        <v>4</v>
      </c>
      <c r="F17" s="87" t="s">
        <v>673</v>
      </c>
      <c r="G17" s="26" t="s">
        <v>1072</v>
      </c>
      <c r="H17" s="68" t="s">
        <v>1399</v>
      </c>
    </row>
    <row r="18" spans="1:8" s="26" customFormat="1" ht="25.5" customHeight="1">
      <c r="A18" s="207">
        <v>28</v>
      </c>
      <c r="B18" s="86" t="s">
        <v>217</v>
      </c>
      <c r="C18" s="222"/>
      <c r="D18" s="86" t="s">
        <v>308</v>
      </c>
      <c r="E18" s="86">
        <v>6</v>
      </c>
      <c r="F18" s="87" t="s">
        <v>673</v>
      </c>
      <c r="G18" s="26" t="s">
        <v>1072</v>
      </c>
    </row>
    <row r="19" spans="1:8" s="26" customFormat="1" ht="15" customHeight="1">
      <c r="A19" s="207">
        <v>29</v>
      </c>
      <c r="B19" s="86" t="s">
        <v>220</v>
      </c>
      <c r="C19" s="222"/>
      <c r="D19" s="86" t="s">
        <v>308</v>
      </c>
      <c r="E19" s="86">
        <v>8</v>
      </c>
      <c r="F19" s="86"/>
      <c r="G19" s="26" t="s">
        <v>1072</v>
      </c>
    </row>
    <row r="20" spans="1:8" s="26" customFormat="1" ht="15" customHeight="1">
      <c r="A20" s="207">
        <v>30</v>
      </c>
      <c r="B20" s="86" t="s">
        <v>221</v>
      </c>
      <c r="C20" s="222"/>
      <c r="D20" s="86" t="s">
        <v>308</v>
      </c>
      <c r="E20" s="86">
        <v>9</v>
      </c>
      <c r="F20" s="86"/>
      <c r="G20" s="221" t="s">
        <v>1072</v>
      </c>
    </row>
    <row r="21" spans="1:8" s="26" customFormat="1" ht="15" customHeight="1">
      <c r="A21" s="207">
        <v>41</v>
      </c>
      <c r="B21" s="86" t="s">
        <v>306</v>
      </c>
      <c r="D21" s="86"/>
      <c r="E21" s="86"/>
      <c r="F21" s="86" t="s">
        <v>1334</v>
      </c>
      <c r="G21" s="26" t="s">
        <v>1072</v>
      </c>
    </row>
    <row r="22" spans="1:8" s="26" customFormat="1" ht="15" customHeight="1">
      <c r="A22" s="207">
        <v>42</v>
      </c>
      <c r="B22" s="86" t="s">
        <v>322</v>
      </c>
      <c r="C22" s="222"/>
      <c r="D22" s="86" t="s">
        <v>308</v>
      </c>
      <c r="E22" s="86">
        <v>10</v>
      </c>
      <c r="F22" s="86"/>
    </row>
    <row r="23" spans="1:8" s="26" customFormat="1" ht="15" customHeight="1">
      <c r="A23" s="207">
        <v>43</v>
      </c>
      <c r="B23" s="86" t="s">
        <v>1131</v>
      </c>
      <c r="C23" s="222"/>
      <c r="D23" s="86" t="s">
        <v>308</v>
      </c>
      <c r="E23" s="86">
        <v>22</v>
      </c>
      <c r="F23" s="86"/>
    </row>
    <row r="24" spans="1:8" s="26" customFormat="1" ht="15" customHeight="1">
      <c r="A24" s="207">
        <v>44</v>
      </c>
      <c r="B24" s="86" t="s">
        <v>793</v>
      </c>
      <c r="C24" s="222"/>
      <c r="D24" s="86"/>
      <c r="E24" s="86"/>
      <c r="F24" s="86"/>
      <c r="G24" s="26" t="s">
        <v>1072</v>
      </c>
    </row>
    <row r="25" spans="1:8" s="26" customFormat="1" ht="15" customHeight="1">
      <c r="A25" s="207">
        <v>45</v>
      </c>
      <c r="B25" s="86" t="s">
        <v>841</v>
      </c>
      <c r="C25" s="222"/>
      <c r="D25" s="86"/>
      <c r="E25" s="86"/>
      <c r="F25" s="86"/>
      <c r="G25" s="221" t="s">
        <v>1072</v>
      </c>
    </row>
    <row r="26" spans="1:8" s="26" customFormat="1" ht="15" customHeight="1">
      <c r="A26" s="207">
        <v>49</v>
      </c>
      <c r="B26" s="86" t="s">
        <v>990</v>
      </c>
      <c r="C26" s="222"/>
      <c r="D26" s="86" t="s">
        <v>308</v>
      </c>
      <c r="E26" s="86">
        <v>25</v>
      </c>
      <c r="F26" s="87" t="s">
        <v>1337</v>
      </c>
    </row>
    <row r="27" spans="1:8" s="26" customFormat="1" ht="15" customHeight="1">
      <c r="A27" s="207">
        <v>50</v>
      </c>
      <c r="B27" s="86" t="s">
        <v>847</v>
      </c>
      <c r="C27" s="222"/>
      <c r="D27" s="86"/>
      <c r="E27" s="86"/>
      <c r="F27" s="86"/>
      <c r="G27" s="26" t="s">
        <v>1072</v>
      </c>
    </row>
    <row r="28" spans="1:8" s="26" customFormat="1" ht="15" customHeight="1">
      <c r="A28" s="207">
        <v>51</v>
      </c>
      <c r="B28" s="86" t="s">
        <v>848</v>
      </c>
      <c r="C28" s="222"/>
      <c r="D28" s="86" t="s">
        <v>308</v>
      </c>
      <c r="E28" s="86">
        <v>6</v>
      </c>
      <c r="F28" s="86"/>
      <c r="G28" s="26" t="s">
        <v>1072</v>
      </c>
    </row>
    <row r="29" spans="1:8" s="26" customFormat="1" ht="15" customHeight="1">
      <c r="A29" s="207">
        <v>52</v>
      </c>
      <c r="B29" s="86" t="s">
        <v>853</v>
      </c>
      <c r="C29" s="222"/>
      <c r="D29" s="86" t="s">
        <v>308</v>
      </c>
      <c r="E29" s="86">
        <v>4</v>
      </c>
      <c r="F29" s="86"/>
      <c r="G29" s="26" t="s">
        <v>1072</v>
      </c>
    </row>
    <row r="30" spans="1:8" s="26" customFormat="1" ht="15" customHeight="1">
      <c r="A30" s="207">
        <v>53</v>
      </c>
      <c r="B30" s="86" t="s">
        <v>859</v>
      </c>
      <c r="C30" s="222"/>
      <c r="D30" s="86" t="s">
        <v>308</v>
      </c>
      <c r="E30" s="86">
        <v>17</v>
      </c>
      <c r="F30" s="86"/>
      <c r="G30" s="26" t="s">
        <v>1072</v>
      </c>
    </row>
    <row r="31" spans="1:8" s="26" customFormat="1" ht="15" customHeight="1">
      <c r="A31" s="210">
        <v>54</v>
      </c>
      <c r="B31" s="88" t="s">
        <v>878</v>
      </c>
      <c r="C31" s="222"/>
      <c r="D31" s="88"/>
      <c r="E31" s="88"/>
      <c r="F31" s="88"/>
    </row>
    <row r="32" spans="1:8" s="26" customFormat="1" ht="15" customHeight="1">
      <c r="A32" s="210">
        <v>55</v>
      </c>
      <c r="B32" s="88" t="s">
        <v>879</v>
      </c>
      <c r="C32" s="222"/>
      <c r="D32" s="88"/>
      <c r="E32" s="88"/>
      <c r="F32" s="88"/>
    </row>
    <row r="33" spans="1:7" s="26" customFormat="1" ht="15" customHeight="1">
      <c r="A33" s="210">
        <v>56</v>
      </c>
      <c r="B33" s="88" t="s">
        <v>880</v>
      </c>
      <c r="C33" s="222"/>
      <c r="D33" s="88"/>
      <c r="E33" s="88"/>
      <c r="F33" s="88"/>
      <c r="G33" s="215"/>
    </row>
    <row r="34" spans="1:7" s="26" customFormat="1" ht="15" customHeight="1">
      <c r="A34" s="210">
        <v>57</v>
      </c>
      <c r="B34" s="88" t="s">
        <v>881</v>
      </c>
      <c r="C34" s="222"/>
      <c r="D34" s="88"/>
      <c r="E34" s="88"/>
      <c r="F34" s="88"/>
      <c r="G34" s="215"/>
    </row>
    <row r="35" spans="1:7" s="26" customFormat="1" ht="15" customHeight="1">
      <c r="A35" s="210">
        <v>58</v>
      </c>
      <c r="B35" s="88" t="s">
        <v>882</v>
      </c>
      <c r="C35" s="222"/>
      <c r="D35" s="88"/>
      <c r="E35" s="88"/>
      <c r="F35" s="88"/>
      <c r="G35" s="215"/>
    </row>
    <row r="36" spans="1:7" s="26" customFormat="1" ht="15" customHeight="1">
      <c r="A36" s="210">
        <v>59</v>
      </c>
      <c r="B36" s="88" t="s">
        <v>883</v>
      </c>
      <c r="C36" s="222"/>
      <c r="D36" s="88"/>
      <c r="E36" s="88"/>
      <c r="F36" s="88"/>
      <c r="G36" s="215"/>
    </row>
    <row r="37" spans="1:7" s="26" customFormat="1" ht="15" customHeight="1">
      <c r="A37" s="210">
        <v>60</v>
      </c>
      <c r="B37" s="88" t="s">
        <v>884</v>
      </c>
      <c r="C37" s="222"/>
      <c r="D37" s="88"/>
      <c r="E37" s="88"/>
      <c r="F37" s="88"/>
      <c r="G37" s="215"/>
    </row>
    <row r="38" spans="1:7" s="26" customFormat="1" ht="15" customHeight="1">
      <c r="A38" s="213">
        <v>4</v>
      </c>
      <c r="B38" s="214" t="s">
        <v>824</v>
      </c>
      <c r="C38" s="222"/>
      <c r="D38" s="214"/>
      <c r="E38" s="214"/>
      <c r="F38" s="214"/>
      <c r="G38" s="215"/>
    </row>
    <row r="39" spans="1:7" s="26" customFormat="1" ht="15" customHeight="1">
      <c r="A39" s="213">
        <v>5</v>
      </c>
      <c r="B39" s="214" t="s">
        <v>837</v>
      </c>
      <c r="C39" s="222"/>
      <c r="D39" s="214"/>
      <c r="E39" s="214"/>
      <c r="F39" s="214"/>
      <c r="G39" s="215"/>
    </row>
    <row r="40" spans="1:7" s="26" customFormat="1" ht="15" customHeight="1">
      <c r="A40" s="213">
        <v>6</v>
      </c>
      <c r="B40" s="214" t="s">
        <v>823</v>
      </c>
      <c r="C40" s="222"/>
      <c r="D40" s="214" t="s">
        <v>838</v>
      </c>
      <c r="E40" s="214"/>
      <c r="F40" s="214"/>
      <c r="G40" s="215"/>
    </row>
    <row r="41" spans="1:7" s="26" customFormat="1" ht="15.75" customHeight="1" thickBot="1">
      <c r="A41" s="211">
        <v>61</v>
      </c>
      <c r="B41" s="212" t="s">
        <v>885</v>
      </c>
      <c r="C41" s="222"/>
      <c r="D41" s="212"/>
      <c r="E41" s="212"/>
      <c r="F41" s="212"/>
      <c r="G41" s="215"/>
    </row>
    <row r="42" spans="1:7" s="26" customFormat="1" ht="15" customHeight="1">
      <c r="A42" s="208">
        <v>7</v>
      </c>
      <c r="B42" s="94" t="s">
        <v>480</v>
      </c>
      <c r="C42" s="222"/>
      <c r="D42" s="94"/>
      <c r="E42" s="94" t="s">
        <v>1329</v>
      </c>
      <c r="F42" s="94"/>
      <c r="G42" s="215"/>
    </row>
    <row r="43" spans="1:7" s="26" customFormat="1" ht="15" customHeight="1">
      <c r="A43" s="208">
        <v>8</v>
      </c>
      <c r="B43" s="94" t="s">
        <v>481</v>
      </c>
      <c r="C43" s="222"/>
      <c r="D43" s="94"/>
      <c r="E43" s="94" t="s">
        <v>1330</v>
      </c>
      <c r="F43" s="94"/>
      <c r="G43" s="215"/>
    </row>
    <row r="44" spans="1:7" s="26" customFormat="1" ht="15" customHeight="1">
      <c r="A44" s="208">
        <v>9</v>
      </c>
      <c r="B44" s="94" t="s">
        <v>482</v>
      </c>
      <c r="C44" s="222"/>
      <c r="D44" s="94"/>
      <c r="E44" s="94" t="s">
        <v>1331</v>
      </c>
      <c r="F44" s="94"/>
      <c r="G44" s="215"/>
    </row>
    <row r="45" spans="1:7" s="26" customFormat="1" ht="15" customHeight="1">
      <c r="A45" s="208">
        <v>10</v>
      </c>
      <c r="B45" s="94" t="s">
        <v>843</v>
      </c>
      <c r="C45" s="222"/>
      <c r="D45" s="94"/>
      <c r="E45" s="94" t="s">
        <v>1332</v>
      </c>
      <c r="F45" s="94"/>
      <c r="G45" s="215"/>
    </row>
    <row r="46" spans="1:7" s="26" customFormat="1" ht="15" customHeight="1">
      <c r="A46" s="208">
        <v>11</v>
      </c>
      <c r="B46" s="94" t="s">
        <v>1078</v>
      </c>
      <c r="C46" s="222"/>
      <c r="D46" s="94"/>
      <c r="E46" s="94">
        <v>19</v>
      </c>
      <c r="F46" s="94"/>
      <c r="G46" s="215"/>
    </row>
    <row r="47" spans="1:7" s="26" customFormat="1" ht="15" customHeight="1">
      <c r="A47" s="208">
        <v>12</v>
      </c>
      <c r="B47" s="94" t="s">
        <v>1229</v>
      </c>
      <c r="C47" s="222"/>
      <c r="D47" s="94"/>
      <c r="E47" s="94">
        <v>20</v>
      </c>
      <c r="F47" s="94"/>
      <c r="G47" s="215"/>
    </row>
    <row r="48" spans="1:7" s="26" customFormat="1" ht="15" customHeight="1">
      <c r="A48" s="208">
        <v>13</v>
      </c>
      <c r="B48" s="94" t="s">
        <v>1231</v>
      </c>
      <c r="C48" s="222"/>
      <c r="D48" s="94"/>
      <c r="E48" s="94">
        <v>21</v>
      </c>
      <c r="F48" s="94"/>
      <c r="G48" s="215"/>
    </row>
    <row r="49" spans="1:7" s="26" customFormat="1" ht="15" customHeight="1">
      <c r="A49" s="208">
        <v>14</v>
      </c>
      <c r="B49" s="94" t="s">
        <v>1233</v>
      </c>
      <c r="C49" s="222"/>
      <c r="D49" s="94"/>
      <c r="E49" s="94">
        <v>22</v>
      </c>
      <c r="F49" s="94"/>
      <c r="G49" s="215"/>
    </row>
    <row r="50" spans="1:7" s="26" customFormat="1" ht="15" customHeight="1">
      <c r="A50" s="208">
        <v>31</v>
      </c>
      <c r="B50" s="94" t="s">
        <v>825</v>
      </c>
      <c r="C50" s="222"/>
      <c r="D50" s="94" t="s">
        <v>308</v>
      </c>
      <c r="E50" s="94">
        <v>19</v>
      </c>
      <c r="F50" s="94"/>
      <c r="G50" s="215"/>
    </row>
    <row r="51" spans="1:7" s="26" customFormat="1" ht="15" customHeight="1">
      <c r="A51" s="208">
        <v>33</v>
      </c>
      <c r="B51" s="94" t="s">
        <v>350</v>
      </c>
      <c r="C51" s="222"/>
      <c r="D51" s="94" t="s">
        <v>308</v>
      </c>
      <c r="E51" s="94">
        <v>11</v>
      </c>
      <c r="F51" s="94"/>
      <c r="G51" s="215"/>
    </row>
    <row r="52" spans="1:7" s="26" customFormat="1" ht="15" customHeight="1">
      <c r="A52" s="208">
        <v>34</v>
      </c>
      <c r="B52" s="94" t="s">
        <v>351</v>
      </c>
      <c r="C52" s="222"/>
      <c r="D52" s="94" t="s">
        <v>308</v>
      </c>
      <c r="E52" s="94">
        <v>12</v>
      </c>
      <c r="F52" s="94"/>
      <c r="G52" s="215"/>
    </row>
    <row r="53" spans="1:7" s="26" customFormat="1" ht="15" customHeight="1">
      <c r="A53" s="208">
        <v>35</v>
      </c>
      <c r="B53" s="94" t="s">
        <v>352</v>
      </c>
      <c r="C53" s="222"/>
      <c r="D53" s="94" t="s">
        <v>308</v>
      </c>
      <c r="E53" s="94">
        <v>13</v>
      </c>
      <c r="F53" s="94"/>
      <c r="G53" s="215"/>
    </row>
    <row r="54" spans="1:7" s="26" customFormat="1" ht="15" customHeight="1">
      <c r="A54" s="208">
        <v>36</v>
      </c>
      <c r="B54" s="94" t="s">
        <v>353</v>
      </c>
      <c r="C54" s="222"/>
      <c r="D54" s="94" t="s">
        <v>308</v>
      </c>
      <c r="E54" s="94">
        <v>14</v>
      </c>
      <c r="F54" s="94"/>
      <c r="G54" s="215"/>
    </row>
    <row r="55" spans="1:7" s="26" customFormat="1" ht="15" customHeight="1">
      <c r="A55" s="209">
        <v>37</v>
      </c>
      <c r="B55" s="98" t="s">
        <v>983</v>
      </c>
      <c r="C55" s="222"/>
      <c r="D55" s="98"/>
      <c r="E55" s="98">
        <v>15</v>
      </c>
      <c r="F55" s="98"/>
      <c r="G55" s="215"/>
    </row>
    <row r="56" spans="1:7" s="26" customFormat="1" ht="15" customHeight="1">
      <c r="A56" s="209">
        <v>38</v>
      </c>
      <c r="B56" s="98" t="s">
        <v>984</v>
      </c>
      <c r="C56" s="222"/>
      <c r="D56" s="98"/>
      <c r="E56" s="98">
        <v>16</v>
      </c>
      <c r="F56" s="98"/>
      <c r="G56" s="215"/>
    </row>
    <row r="57" spans="1:7" s="26" customFormat="1" ht="15" customHeight="1">
      <c r="A57" s="209">
        <v>39</v>
      </c>
      <c r="B57" s="98" t="s">
        <v>985</v>
      </c>
      <c r="C57" s="222"/>
      <c r="D57" s="98"/>
      <c r="E57" s="98">
        <v>17</v>
      </c>
      <c r="F57" s="98"/>
      <c r="G57" s="215"/>
    </row>
    <row r="58" spans="1:7" s="26" customFormat="1" ht="15" customHeight="1">
      <c r="A58" s="209">
        <v>40</v>
      </c>
      <c r="B58" s="98" t="s">
        <v>986</v>
      </c>
      <c r="C58" s="222"/>
      <c r="D58" s="98"/>
      <c r="E58" s="98">
        <v>18</v>
      </c>
      <c r="F58" s="98"/>
      <c r="G58" s="215"/>
    </row>
    <row r="59" spans="1:7" s="26" customFormat="1" ht="15" customHeight="1">
      <c r="A59" s="208">
        <v>46</v>
      </c>
      <c r="B59" s="94" t="s">
        <v>846</v>
      </c>
      <c r="C59" s="222"/>
      <c r="D59" s="94" t="s">
        <v>308</v>
      </c>
      <c r="E59" s="94">
        <v>16</v>
      </c>
      <c r="F59" s="94"/>
      <c r="G59" s="215"/>
    </row>
    <row r="60" spans="1:7" s="26" customFormat="1" ht="15" customHeight="1">
      <c r="A60" s="208">
        <v>47</v>
      </c>
      <c r="B60" s="94" t="s">
        <v>1335</v>
      </c>
      <c r="C60" s="222"/>
      <c r="D60" s="94" t="s">
        <v>308</v>
      </c>
      <c r="E60" s="94">
        <v>23</v>
      </c>
      <c r="F60" s="94"/>
      <c r="G60" s="215"/>
    </row>
    <row r="61" spans="1:7" s="26" customFormat="1" ht="15" customHeight="1">
      <c r="A61" s="208">
        <v>48</v>
      </c>
      <c r="B61" s="94" t="s">
        <v>1336</v>
      </c>
      <c r="C61" s="222"/>
      <c r="D61" s="94" t="s">
        <v>308</v>
      </c>
      <c r="E61" s="94">
        <v>24</v>
      </c>
      <c r="F61" s="94"/>
      <c r="G61" s="215"/>
    </row>
    <row r="62" spans="1:7" s="26" customFormat="1">
      <c r="A62" s="82">
        <v>31</v>
      </c>
      <c r="B62" s="25" t="s">
        <v>222</v>
      </c>
    </row>
    <row r="63" spans="1:7" s="26" customFormat="1">
      <c r="A63" s="232">
        <v>32</v>
      </c>
      <c r="B63" s="26" t="s">
        <v>1413</v>
      </c>
    </row>
    <row r="64" spans="1:7" s="26" customFormat="1">
      <c r="A64" s="232">
        <v>33</v>
      </c>
      <c r="B64" s="176" t="s">
        <v>1418</v>
      </c>
    </row>
    <row r="65" spans="1:3" s="26" customFormat="1">
      <c r="A65" s="232">
        <v>34</v>
      </c>
      <c r="B65" s="25" t="s">
        <v>1417</v>
      </c>
    </row>
    <row r="66" spans="1:3" s="26" customFormat="1">
      <c r="A66" s="26">
        <v>35</v>
      </c>
      <c r="B66" s="21" t="s">
        <v>1434</v>
      </c>
      <c r="C66" s="222" t="s">
        <v>1074</v>
      </c>
    </row>
    <row r="67" spans="1:3" s="26" customFormat="1">
      <c r="C67" s="222"/>
    </row>
    <row r="68" spans="1:3" s="26" customFormat="1">
      <c r="C68" s="82"/>
    </row>
    <row r="69" spans="1:3" s="26" customFormat="1">
      <c r="C69" s="82"/>
    </row>
    <row r="70" spans="1:3" s="26" customFormat="1">
      <c r="C70" s="82"/>
    </row>
    <row r="71" spans="1:3" s="26" customFormat="1">
      <c r="C71" s="82"/>
    </row>
    <row r="72" spans="1:3" s="26" customFormat="1">
      <c r="C72" s="82"/>
    </row>
    <row r="73" spans="1:3" s="26" customFormat="1">
      <c r="C73" s="82"/>
    </row>
    <row r="74" spans="1:3" s="26" customFormat="1">
      <c r="C74" s="82"/>
    </row>
    <row r="75" spans="1:3" s="26" customFormat="1">
      <c r="C75" s="82"/>
    </row>
    <row r="76" spans="1:3" s="26" customFormat="1">
      <c r="C76" s="82"/>
    </row>
    <row r="77" spans="1:3" s="26" customFormat="1">
      <c r="C77" s="82"/>
    </row>
    <row r="78" spans="1:3" s="26" customFormat="1">
      <c r="C78" s="82"/>
    </row>
    <row r="79" spans="1:3" s="26" customFormat="1">
      <c r="C79" s="82"/>
    </row>
    <row r="80" spans="1:3" s="26" customFormat="1">
      <c r="C80" s="82"/>
    </row>
    <row r="81" spans="1:6" s="26" customFormat="1">
      <c r="A81" s="14"/>
      <c r="B81" s="14"/>
      <c r="C81" s="82"/>
      <c r="D81" s="14"/>
      <c r="E81" s="14"/>
      <c r="F81" s="14"/>
    </row>
    <row r="82" spans="1:6" s="26" customFormat="1">
      <c r="A82" s="14"/>
      <c r="B82" s="14"/>
      <c r="C82" s="82"/>
      <c r="D82" s="14"/>
      <c r="E82" s="14"/>
      <c r="F82" s="14"/>
    </row>
    <row r="83" spans="1:6" s="26" customFormat="1">
      <c r="A83" s="14"/>
      <c r="B83" s="14"/>
      <c r="C83" s="82"/>
      <c r="D83" s="14"/>
      <c r="E83" s="14"/>
      <c r="F83" s="14"/>
    </row>
    <row r="84" spans="1:6" s="26" customFormat="1">
      <c r="A84" s="14"/>
      <c r="B84" s="14"/>
      <c r="C84" s="82"/>
      <c r="D84" s="14"/>
      <c r="E84" s="14"/>
      <c r="F84" s="14"/>
    </row>
    <row r="85" spans="1:6" s="26" customFormat="1">
      <c r="A85" s="14"/>
      <c r="B85" s="14"/>
      <c r="C85" s="14"/>
      <c r="D85" s="14"/>
      <c r="E85" s="14"/>
      <c r="F85" s="14"/>
    </row>
    <row r="86" spans="1:6" s="26" customFormat="1">
      <c r="A86" s="14"/>
      <c r="B86" s="14"/>
      <c r="C86" s="14"/>
      <c r="D86" s="14"/>
      <c r="E86" s="14"/>
      <c r="F86" s="14"/>
    </row>
    <row r="87" spans="1:6" s="26" customFormat="1">
      <c r="A87" s="14"/>
      <c r="B87" s="14"/>
      <c r="C87" s="14"/>
      <c r="D87" s="14"/>
      <c r="E87" s="14"/>
      <c r="F87" s="14"/>
    </row>
    <row r="88" spans="1:6" s="26" customFormat="1">
      <c r="A88" s="14"/>
      <c r="B88" s="14"/>
      <c r="C88" s="14"/>
      <c r="D88" s="14"/>
      <c r="E88" s="14"/>
      <c r="F88" s="14"/>
    </row>
    <row r="89" spans="1:6" s="26" customFormat="1">
      <c r="A89" s="14"/>
      <c r="B89" s="14"/>
      <c r="C89" s="14"/>
      <c r="D89" s="14"/>
      <c r="E89" s="14"/>
      <c r="F89" s="14"/>
    </row>
    <row r="90" spans="1:6" s="26" customFormat="1">
      <c r="A90" s="14"/>
      <c r="B90" s="14"/>
      <c r="C90" s="14"/>
      <c r="D90" s="14"/>
      <c r="E90" s="14"/>
      <c r="F90" s="14"/>
    </row>
    <row r="91" spans="1:6" s="26" customFormat="1">
      <c r="A91" s="14"/>
      <c r="B91" s="14"/>
      <c r="C91" s="14"/>
      <c r="D91" s="14"/>
      <c r="E91" s="14"/>
      <c r="F91" s="14"/>
    </row>
    <row r="92" spans="1:6" s="26" customFormat="1">
      <c r="A92" s="14"/>
      <c r="B92" s="14"/>
      <c r="C92" s="14"/>
      <c r="D92" s="14"/>
      <c r="E92" s="14"/>
      <c r="F92" s="14"/>
    </row>
    <row r="93" spans="1:6">
      <c r="C93" s="14"/>
      <c r="F93" s="14"/>
    </row>
    <row r="94" spans="1:6">
      <c r="C94" s="14"/>
      <c r="F94" s="14"/>
    </row>
    <row r="95" spans="1:6">
      <c r="C95" s="14"/>
      <c r="F95" s="14"/>
    </row>
    <row r="96" spans="1:6">
      <c r="C96" s="14"/>
      <c r="F96" s="14"/>
    </row>
    <row r="97" spans="3:6">
      <c r="C97" s="14"/>
      <c r="F97" s="14"/>
    </row>
    <row r="98" spans="3:6">
      <c r="C98" s="14"/>
      <c r="F98" s="14"/>
    </row>
    <row r="99" spans="3:6">
      <c r="C99" s="14"/>
      <c r="F99" s="14"/>
    </row>
    <row r="100" spans="3:6">
      <c r="C100" s="14"/>
      <c r="F100" s="14"/>
    </row>
    <row r="101" spans="3:6">
      <c r="C101" s="14"/>
      <c r="F101" s="14"/>
    </row>
    <row r="102" spans="3:6">
      <c r="C102" s="14"/>
      <c r="F102" s="14"/>
    </row>
    <row r="103" spans="3:6">
      <c r="C103" s="14"/>
      <c r="F103" s="14"/>
    </row>
    <row r="104" spans="3:6">
      <c r="C104" s="14"/>
      <c r="F104" s="14"/>
    </row>
    <row r="105" spans="3:6">
      <c r="C105" s="14"/>
      <c r="F105" s="14"/>
    </row>
    <row r="106" spans="3:6">
      <c r="C106" s="14"/>
      <c r="F106" s="14"/>
    </row>
    <row r="107" spans="3:6">
      <c r="C107" s="14"/>
      <c r="F107" s="14"/>
    </row>
    <row r="108" spans="3:6">
      <c r="C108" s="14"/>
      <c r="F108" s="14"/>
    </row>
    <row r="109" spans="3:6">
      <c r="C109" s="14"/>
      <c r="F109" s="14"/>
    </row>
    <row r="110" spans="3:6">
      <c r="C110" s="14"/>
      <c r="F110" s="14"/>
    </row>
    <row r="111" spans="3:6">
      <c r="C111" s="14"/>
      <c r="F111" s="14"/>
    </row>
    <row r="112" spans="3:6">
      <c r="C112" s="14"/>
      <c r="F112" s="14"/>
    </row>
    <row r="113" spans="3:6">
      <c r="C113" s="14"/>
      <c r="F113" s="14"/>
    </row>
    <row r="114" spans="3:6">
      <c r="C114" s="14"/>
      <c r="F114" s="14"/>
    </row>
    <row r="115" spans="3:6">
      <c r="C115" s="14"/>
      <c r="F115" s="14"/>
    </row>
    <row r="116" spans="3:6">
      <c r="C116" s="14"/>
      <c r="F116" s="14"/>
    </row>
    <row r="117" spans="3:6">
      <c r="C117" s="14"/>
      <c r="F117" s="14"/>
    </row>
    <row r="118" spans="3:6">
      <c r="C118" s="14"/>
      <c r="F118" s="14"/>
    </row>
    <row r="119" spans="3:6">
      <c r="C119" s="14"/>
      <c r="F119" s="14"/>
    </row>
    <row r="120" spans="3:6">
      <c r="C120" s="14"/>
      <c r="F120" s="14"/>
    </row>
    <row r="121" spans="3:6">
      <c r="C121" s="14"/>
      <c r="F121" s="14"/>
    </row>
    <row r="122" spans="3:6">
      <c r="C122" s="14"/>
      <c r="F122" s="14"/>
    </row>
    <row r="123" spans="3:6">
      <c r="C123" s="14"/>
      <c r="F123" s="14"/>
    </row>
    <row r="124" spans="3:6">
      <c r="C124" s="14"/>
      <c r="F124" s="14"/>
    </row>
    <row r="125" spans="3:6">
      <c r="C125" s="14"/>
      <c r="F125" s="14"/>
    </row>
    <row r="126" spans="3:6">
      <c r="C126" s="14"/>
      <c r="F126" s="14"/>
    </row>
    <row r="127" spans="3:6">
      <c r="C127" s="14"/>
      <c r="F127" s="14"/>
    </row>
    <row r="128" spans="3:6">
      <c r="C128" s="14"/>
      <c r="F128" s="14"/>
    </row>
    <row r="129" spans="3:6">
      <c r="C129" s="14"/>
      <c r="F129" s="14"/>
    </row>
    <row r="130" spans="3:6">
      <c r="C130" s="14"/>
      <c r="F130" s="14"/>
    </row>
    <row r="131" spans="3:6">
      <c r="C131" s="14"/>
      <c r="F131" s="14"/>
    </row>
    <row r="132" spans="3:6">
      <c r="C132" s="14"/>
      <c r="F132" s="14"/>
    </row>
    <row r="133" spans="3:6">
      <c r="C133" s="14"/>
      <c r="F133" s="14"/>
    </row>
    <row r="134" spans="3:6">
      <c r="C134" s="14"/>
      <c r="F134" s="14"/>
    </row>
    <row r="135" spans="3:6">
      <c r="C135" s="14"/>
      <c r="F135" s="14"/>
    </row>
    <row r="136" spans="3:6">
      <c r="C136" s="14"/>
      <c r="F136" s="14"/>
    </row>
    <row r="137" spans="3:6">
      <c r="C137" s="14"/>
      <c r="F137" s="14"/>
    </row>
    <row r="138" spans="3:6">
      <c r="C138" s="14"/>
      <c r="F138" s="14"/>
    </row>
    <row r="139" spans="3:6">
      <c r="C139" s="14"/>
      <c r="F139" s="14"/>
    </row>
    <row r="140" spans="3:6">
      <c r="C140" s="14"/>
      <c r="F140" s="14"/>
    </row>
    <row r="141" spans="3:6">
      <c r="C141" s="14"/>
      <c r="F141" s="14"/>
    </row>
    <row r="142" spans="3:6">
      <c r="C142" s="14"/>
      <c r="F142" s="14"/>
    </row>
    <row r="143" spans="3:6">
      <c r="C143" s="14"/>
      <c r="F143" s="14"/>
    </row>
    <row r="144" spans="3:6">
      <c r="C144" s="14"/>
      <c r="F144" s="14"/>
    </row>
    <row r="145" spans="3:6">
      <c r="C145" s="14"/>
      <c r="F145" s="14"/>
    </row>
    <row r="146" spans="3:6">
      <c r="C146" s="14"/>
      <c r="F146" s="14"/>
    </row>
    <row r="147" spans="3:6">
      <c r="C147" s="14"/>
      <c r="F147" s="14"/>
    </row>
    <row r="148" spans="3:6">
      <c r="C148" s="14"/>
      <c r="F148" s="14"/>
    </row>
    <row r="149" spans="3:6">
      <c r="C149" s="14"/>
      <c r="F149" s="14"/>
    </row>
    <row r="150" spans="3:6">
      <c r="C150" s="14"/>
      <c r="F150" s="14"/>
    </row>
    <row r="151" spans="3:6">
      <c r="C151" s="14"/>
      <c r="F151" s="14"/>
    </row>
    <row r="152" spans="3:6">
      <c r="C152" s="14"/>
      <c r="F152" s="14"/>
    </row>
    <row r="153" spans="3:6">
      <c r="C153" s="14"/>
      <c r="F153" s="14"/>
    </row>
    <row r="154" spans="3:6">
      <c r="C154" s="14"/>
      <c r="F154" s="14"/>
    </row>
    <row r="155" spans="3:6">
      <c r="C155" s="14"/>
      <c r="F155" s="14"/>
    </row>
    <row r="156" spans="3:6">
      <c r="C156" s="14"/>
      <c r="F156" s="14"/>
    </row>
    <row r="157" spans="3:6">
      <c r="C157" s="14"/>
      <c r="F157" s="14"/>
    </row>
    <row r="158" spans="3:6">
      <c r="C158" s="14"/>
      <c r="F158" s="14"/>
    </row>
    <row r="159" spans="3:6">
      <c r="C159" s="14"/>
      <c r="F159" s="14"/>
    </row>
    <row r="160" spans="3:6">
      <c r="C160" s="14"/>
      <c r="F160" s="14"/>
    </row>
    <row r="161" spans="3:6">
      <c r="C161" s="14"/>
      <c r="F161" s="14"/>
    </row>
    <row r="162" spans="3:6">
      <c r="C162" s="14"/>
      <c r="F162" s="14"/>
    </row>
    <row r="163" spans="3:6">
      <c r="C163" s="14"/>
      <c r="F163" s="14"/>
    </row>
    <row r="164" spans="3:6">
      <c r="C164" s="14"/>
      <c r="F164" s="14"/>
    </row>
    <row r="165" spans="3:6">
      <c r="C165" s="14"/>
      <c r="F165" s="14"/>
    </row>
    <row r="166" spans="3:6">
      <c r="C166" s="14"/>
      <c r="F166" s="14"/>
    </row>
    <row r="167" spans="3:6">
      <c r="C167" s="14"/>
      <c r="F167" s="14"/>
    </row>
    <row r="168" spans="3:6">
      <c r="C168" s="14"/>
      <c r="F168" s="14"/>
    </row>
    <row r="169" spans="3:6">
      <c r="C169" s="14"/>
      <c r="F169" s="14"/>
    </row>
    <row r="170" spans="3:6">
      <c r="C170" s="14"/>
      <c r="F170" s="14"/>
    </row>
    <row r="171" spans="3:6">
      <c r="C171" s="14"/>
      <c r="F171" s="14"/>
    </row>
    <row r="172" spans="3:6">
      <c r="C172" s="14"/>
      <c r="F172" s="14"/>
    </row>
    <row r="173" spans="3:6">
      <c r="C173" s="14"/>
      <c r="F173" s="14"/>
    </row>
    <row r="174" spans="3:6">
      <c r="C174" s="14"/>
      <c r="F174" s="14"/>
    </row>
    <row r="175" spans="3:6">
      <c r="C175" s="14"/>
      <c r="F175" s="14"/>
    </row>
    <row r="176" spans="3:6">
      <c r="C176" s="14"/>
      <c r="F176" s="14"/>
    </row>
    <row r="177" spans="3:6">
      <c r="C177" s="14"/>
      <c r="F177" s="14"/>
    </row>
    <row r="178" spans="3:6">
      <c r="C178" s="14"/>
      <c r="F178" s="14"/>
    </row>
    <row r="179" spans="3:6">
      <c r="C179" s="14"/>
      <c r="F179" s="14"/>
    </row>
    <row r="180" spans="3:6">
      <c r="C180" s="14"/>
      <c r="F180" s="14"/>
    </row>
    <row r="181" spans="3:6">
      <c r="C181" s="14"/>
      <c r="F181" s="14"/>
    </row>
    <row r="182" spans="3:6">
      <c r="C182" s="14"/>
      <c r="F182" s="14"/>
    </row>
    <row r="183" spans="3:6">
      <c r="C183" s="14"/>
      <c r="F183" s="14"/>
    </row>
    <row r="184" spans="3:6">
      <c r="C184" s="14"/>
      <c r="F184" s="14"/>
    </row>
    <row r="185" spans="3:6">
      <c r="C185" s="14"/>
      <c r="F185" s="14"/>
    </row>
    <row r="186" spans="3:6">
      <c r="C186" s="14"/>
      <c r="F186" s="14"/>
    </row>
    <row r="187" spans="3:6">
      <c r="C187" s="14"/>
      <c r="F187" s="14"/>
    </row>
    <row r="188" spans="3:6">
      <c r="C188" s="14"/>
      <c r="F188" s="14"/>
    </row>
    <row r="189" spans="3:6">
      <c r="C189" s="14"/>
      <c r="F189" s="14"/>
    </row>
    <row r="190" spans="3:6">
      <c r="C190" s="14"/>
      <c r="F190" s="14"/>
    </row>
    <row r="191" spans="3:6">
      <c r="C191" s="14"/>
      <c r="F191" s="14"/>
    </row>
    <row r="192" spans="3:6">
      <c r="C192" s="14"/>
      <c r="F192" s="14"/>
    </row>
    <row r="193" spans="3:6">
      <c r="C193" s="14"/>
      <c r="F193" s="14"/>
    </row>
    <row r="194" spans="3:6">
      <c r="C194" s="14"/>
      <c r="F194" s="14"/>
    </row>
    <row r="195" spans="3:6">
      <c r="C195" s="14"/>
      <c r="F195" s="14"/>
    </row>
    <row r="196" spans="3:6">
      <c r="C196" s="14"/>
      <c r="F196" s="14"/>
    </row>
    <row r="197" spans="3:6">
      <c r="C197" s="14"/>
      <c r="F197" s="14"/>
    </row>
    <row r="198" spans="3:6">
      <c r="C198" s="14"/>
      <c r="F198" s="14"/>
    </row>
    <row r="199" spans="3:6">
      <c r="C199" s="14"/>
      <c r="F199" s="14"/>
    </row>
    <row r="200" spans="3:6">
      <c r="C200" s="14"/>
      <c r="F200" s="14"/>
    </row>
    <row r="201" spans="3:6">
      <c r="C201" s="14"/>
      <c r="F201" s="14"/>
    </row>
    <row r="202" spans="3:6">
      <c r="C202" s="14"/>
      <c r="F202" s="14"/>
    </row>
    <row r="203" spans="3:6">
      <c r="C203" s="14"/>
      <c r="F203" s="14"/>
    </row>
    <row r="204" spans="3:6">
      <c r="C204" s="14"/>
      <c r="F204" s="14"/>
    </row>
    <row r="205" spans="3:6">
      <c r="C205" s="14"/>
      <c r="F205" s="14"/>
    </row>
    <row r="206" spans="3:6">
      <c r="C206" s="14"/>
      <c r="F206" s="14"/>
    </row>
    <row r="207" spans="3:6">
      <c r="C207" s="14"/>
      <c r="F207" s="14"/>
    </row>
    <row r="208" spans="3:6">
      <c r="C208" s="14"/>
      <c r="F208" s="14"/>
    </row>
    <row r="209" spans="3:6">
      <c r="C209" s="14"/>
      <c r="F209" s="14"/>
    </row>
    <row r="210" spans="3:6">
      <c r="C210" s="14"/>
      <c r="F210" s="14"/>
    </row>
    <row r="211" spans="3:6">
      <c r="C211" s="14"/>
      <c r="F211" s="14"/>
    </row>
    <row r="212" spans="3:6">
      <c r="C212" s="14"/>
      <c r="F212" s="14"/>
    </row>
    <row r="213" spans="3:6">
      <c r="C213" s="14"/>
      <c r="F213" s="14"/>
    </row>
    <row r="214" spans="3:6">
      <c r="C214" s="14"/>
      <c r="F214" s="14"/>
    </row>
    <row r="215" spans="3:6">
      <c r="C215" s="14"/>
      <c r="F215" s="14"/>
    </row>
    <row r="216" spans="3:6">
      <c r="C216" s="14"/>
      <c r="F216" s="14"/>
    </row>
    <row r="217" spans="3:6">
      <c r="C217" s="14"/>
      <c r="F217" s="14"/>
    </row>
    <row r="218" spans="3:6">
      <c r="C218" s="14"/>
      <c r="F218" s="14"/>
    </row>
    <row r="219" spans="3:6">
      <c r="C219" s="14"/>
      <c r="F219" s="14"/>
    </row>
    <row r="220" spans="3:6">
      <c r="C220" s="14"/>
      <c r="F220" s="14"/>
    </row>
    <row r="221" spans="3:6">
      <c r="C221" s="14"/>
      <c r="F221" s="14"/>
    </row>
    <row r="222" spans="3:6">
      <c r="C222" s="14"/>
      <c r="F222" s="14"/>
    </row>
    <row r="223" spans="3:6">
      <c r="C223" s="14"/>
      <c r="F223" s="14"/>
    </row>
    <row r="224" spans="3:6">
      <c r="C224" s="14"/>
      <c r="F224" s="14"/>
    </row>
    <row r="225" spans="3:6">
      <c r="C225" s="14"/>
      <c r="F225" s="14"/>
    </row>
    <row r="226" spans="3:6">
      <c r="C226" s="14"/>
      <c r="F226" s="14"/>
    </row>
    <row r="227" spans="3:6">
      <c r="C227" s="14"/>
      <c r="F227" s="14"/>
    </row>
    <row r="228" spans="3:6">
      <c r="C228" s="14"/>
      <c r="F228" s="14"/>
    </row>
    <row r="229" spans="3:6">
      <c r="C229" s="14"/>
      <c r="F229" s="14"/>
    </row>
    <row r="230" spans="3:6">
      <c r="C230" s="14"/>
      <c r="F230" s="14"/>
    </row>
    <row r="231" spans="3:6">
      <c r="C231" s="14"/>
      <c r="F231" s="14"/>
    </row>
    <row r="232" spans="3:6">
      <c r="C232" s="14"/>
      <c r="F232" s="14"/>
    </row>
    <row r="233" spans="3:6">
      <c r="C233" s="14"/>
      <c r="F233" s="14"/>
    </row>
    <row r="234" spans="3:6">
      <c r="C234" s="14"/>
      <c r="F234" s="14"/>
    </row>
    <row r="235" spans="3:6">
      <c r="C235" s="14"/>
      <c r="F235" s="14"/>
    </row>
    <row r="236" spans="3:6">
      <c r="C236" s="14"/>
      <c r="F236" s="14"/>
    </row>
    <row r="237" spans="3:6">
      <c r="C237" s="14"/>
      <c r="F237" s="14"/>
    </row>
    <row r="238" spans="3:6">
      <c r="C238" s="14"/>
      <c r="F238" s="14"/>
    </row>
    <row r="239" spans="3:6">
      <c r="C239" s="14"/>
      <c r="F239" s="14"/>
    </row>
    <row r="240" spans="3:6">
      <c r="C240" s="14"/>
      <c r="F240" s="14"/>
    </row>
    <row r="241" spans="3:6">
      <c r="C241" s="14"/>
      <c r="F241" s="14"/>
    </row>
    <row r="242" spans="3:6">
      <c r="C242" s="14"/>
      <c r="F242" s="14"/>
    </row>
    <row r="243" spans="3:6">
      <c r="C243" s="14"/>
      <c r="F243" s="14"/>
    </row>
    <row r="244" spans="3:6">
      <c r="C244" s="14"/>
      <c r="F244" s="14"/>
    </row>
    <row r="245" spans="3:6">
      <c r="C245" s="14"/>
      <c r="F245" s="14"/>
    </row>
    <row r="246" spans="3:6">
      <c r="C246" s="14"/>
      <c r="F246" s="14"/>
    </row>
    <row r="247" spans="3:6">
      <c r="C247" s="14"/>
      <c r="F247" s="14"/>
    </row>
    <row r="248" spans="3:6">
      <c r="C248" s="14"/>
      <c r="F248" s="14"/>
    </row>
    <row r="249" spans="3:6">
      <c r="C249" s="14"/>
      <c r="F249" s="14"/>
    </row>
    <row r="250" spans="3:6">
      <c r="C250" s="14"/>
      <c r="F250" s="14"/>
    </row>
    <row r="251" spans="3:6">
      <c r="C251" s="14"/>
      <c r="F251" s="14"/>
    </row>
    <row r="252" spans="3:6">
      <c r="C252" s="14"/>
      <c r="F252" s="14"/>
    </row>
    <row r="253" spans="3:6">
      <c r="C253" s="14"/>
      <c r="F253" s="14"/>
    </row>
    <row r="254" spans="3:6">
      <c r="C254" s="14"/>
      <c r="F254" s="14"/>
    </row>
    <row r="255" spans="3:6">
      <c r="C255" s="14"/>
      <c r="F255" s="14"/>
    </row>
    <row r="256" spans="3:6">
      <c r="C256" s="14"/>
      <c r="F256" s="14"/>
    </row>
    <row r="257" spans="3:6">
      <c r="C257" s="14"/>
      <c r="F257" s="14"/>
    </row>
    <row r="258" spans="3:6">
      <c r="C258" s="14"/>
      <c r="F258" s="14"/>
    </row>
    <row r="259" spans="3:6">
      <c r="C259" s="14"/>
      <c r="F259" s="14"/>
    </row>
    <row r="260" spans="3:6">
      <c r="C260" s="14"/>
      <c r="F260" s="14"/>
    </row>
    <row r="261" spans="3:6">
      <c r="C261" s="14"/>
      <c r="F261" s="14"/>
    </row>
    <row r="262" spans="3:6">
      <c r="C262" s="14"/>
      <c r="F262" s="14"/>
    </row>
    <row r="263" spans="3:6">
      <c r="C263" s="14"/>
      <c r="F263" s="14"/>
    </row>
    <row r="264" spans="3:6">
      <c r="C264" s="14"/>
      <c r="F264" s="14"/>
    </row>
    <row r="265" spans="3:6">
      <c r="C265" s="14"/>
      <c r="F265" s="14"/>
    </row>
    <row r="266" spans="3:6">
      <c r="C266" s="14"/>
      <c r="F266" s="14"/>
    </row>
    <row r="267" spans="3:6">
      <c r="C267" s="14"/>
      <c r="F267" s="14"/>
    </row>
    <row r="268" spans="3:6">
      <c r="C268" s="14"/>
      <c r="F268" s="14"/>
    </row>
    <row r="269" spans="3:6">
      <c r="C269" s="14"/>
      <c r="F269" s="14"/>
    </row>
    <row r="270" spans="3:6">
      <c r="C270" s="14"/>
      <c r="F270" s="14"/>
    </row>
    <row r="271" spans="3:6">
      <c r="C271" s="14"/>
      <c r="F271" s="14"/>
    </row>
    <row r="272" spans="3:6">
      <c r="C272" s="14"/>
      <c r="F272" s="14"/>
    </row>
    <row r="273" spans="3:6">
      <c r="C273" s="14"/>
      <c r="F273" s="14"/>
    </row>
    <row r="274" spans="3:6">
      <c r="C274" s="14"/>
      <c r="F274" s="14"/>
    </row>
    <row r="275" spans="3:6">
      <c r="C275" s="14"/>
      <c r="F275" s="14"/>
    </row>
    <row r="276" spans="3:6">
      <c r="C276" s="14"/>
      <c r="F276" s="14"/>
    </row>
    <row r="277" spans="3:6">
      <c r="C277" s="14"/>
      <c r="F277" s="14"/>
    </row>
    <row r="278" spans="3:6">
      <c r="C278" s="14"/>
      <c r="F278" s="14"/>
    </row>
    <row r="279" spans="3:6">
      <c r="C279" s="14"/>
      <c r="F279" s="14"/>
    </row>
    <row r="280" spans="3:6">
      <c r="C280" s="14"/>
    </row>
    <row r="281" spans="3:6">
      <c r="C281" s="14"/>
    </row>
    <row r="282" spans="3:6">
      <c r="C282" s="14"/>
    </row>
    <row r="283" spans="3:6">
      <c r="C283" s="14"/>
    </row>
    <row r="284" spans="3:6">
      <c r="C284" s="14"/>
    </row>
  </sheetData>
  <protectedRanges>
    <protectedRange sqref="B8 A1:C1 A2:A61 C2:C20 C22:C61 C66:C67" name="Range1_1_1"/>
  </protectedRanges>
  <dataConsolidate/>
  <customSheetViews>
    <customSheetView guid="{A8F9189F-30EC-448E-8FA3-1F1B01D22A46}" topLeftCell="A33">
      <selection activeCell="C35" sqref="C35"/>
      <pageMargins left="0.7" right="0.7" top="0.75" bottom="0.75" header="0.3" footer="0.3"/>
      <pageSetup orientation="portrait" r:id="rId1"/>
    </customSheetView>
  </customSheetViews>
  <pageMargins left="0.7" right="0.7" top="0.75" bottom="0.75" header="0.3" footer="0.3"/>
  <pageSetup orientation="portrait"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
  <sheetViews>
    <sheetView workbookViewId="0">
      <selection activeCell="G6" sqref="G6"/>
    </sheetView>
  </sheetViews>
  <sheetFormatPr defaultRowHeight="15"/>
  <cols>
    <col min="1" max="1" width="9.7109375" style="69" bestFit="1" customWidth="1"/>
    <col min="2" max="2" width="11.5703125" style="69" bestFit="1" customWidth="1"/>
    <col min="3" max="3" width="46.85546875" style="69" customWidth="1"/>
    <col min="4" max="4" width="7.5703125" style="69" bestFit="1" customWidth="1"/>
    <col min="5" max="5" width="8.28515625" style="69" bestFit="1" customWidth="1"/>
    <col min="6" max="6" width="16.28515625" style="69" bestFit="1" customWidth="1"/>
    <col min="7" max="7" width="16.42578125" style="69" bestFit="1" customWidth="1"/>
    <col min="8" max="8" width="10.28515625" style="69" bestFit="1" customWidth="1"/>
    <col min="9" max="9" width="13.7109375" style="69" bestFit="1" customWidth="1"/>
    <col min="10" max="16384" width="9.140625" style="69"/>
  </cols>
  <sheetData>
    <row r="1" spans="1:9" ht="15.75" thickBot="1">
      <c r="A1" s="103" t="s">
        <v>12</v>
      </c>
      <c r="B1" s="104" t="s">
        <v>10</v>
      </c>
      <c r="C1" s="105" t="s">
        <v>16</v>
      </c>
      <c r="D1" s="106" t="s">
        <v>17</v>
      </c>
      <c r="E1" s="104" t="s">
        <v>13</v>
      </c>
      <c r="F1" s="104" t="s">
        <v>18</v>
      </c>
      <c r="G1" s="104" t="s">
        <v>19</v>
      </c>
      <c r="H1" s="104" t="s">
        <v>20</v>
      </c>
      <c r="I1" s="107" t="s">
        <v>21</v>
      </c>
    </row>
    <row r="2" spans="1:9" s="14" customFormat="1" ht="12.75" customHeight="1" thickBot="1">
      <c r="A2" s="108" t="s">
        <v>58</v>
      </c>
      <c r="B2" s="109" t="s">
        <v>96</v>
      </c>
      <c r="C2" s="110" t="s">
        <v>658</v>
      </c>
      <c r="D2" s="109">
        <v>0</v>
      </c>
      <c r="E2" s="109" t="s">
        <v>22</v>
      </c>
      <c r="F2" s="111" t="s">
        <v>1414</v>
      </c>
      <c r="G2" s="112" t="s">
        <v>1056</v>
      </c>
      <c r="H2" s="109" t="s">
        <v>23</v>
      </c>
      <c r="I2" s="113" t="s">
        <v>1010</v>
      </c>
    </row>
    <row r="3" spans="1:9">
      <c r="A3" s="114" t="s">
        <v>58</v>
      </c>
      <c r="B3" s="115" t="s">
        <v>1076</v>
      </c>
      <c r="C3" s="110" t="s">
        <v>1077</v>
      </c>
      <c r="D3" s="115">
        <v>0</v>
      </c>
      <c r="E3" s="115" t="s">
        <v>22</v>
      </c>
      <c r="F3" s="115"/>
      <c r="G3" s="115"/>
      <c r="H3" s="115" t="s">
        <v>23</v>
      </c>
      <c r="I3" s="116" t="s">
        <v>1010</v>
      </c>
    </row>
  </sheetData>
  <dataConsolidate/>
  <customSheetViews>
    <customSheetView guid="{A8F9189F-30EC-448E-8FA3-1F1B01D22A46}">
      <selection activeCell="C21" sqref="C21"/>
      <pageMargins left="0.7" right="0.7" top="0.75" bottom="0.75" header="0.3" footer="0.3"/>
      <pageSetup paperSize="157" orientation="portrait" horizontalDpi="203" verticalDpi="203" r:id="rId1"/>
    </customSheetView>
  </customSheetViews>
  <hyperlinks>
    <hyperlink ref="C2" r:id="rId2"/>
  </hyperlinks>
  <pageMargins left="0.7" right="0.7" top="0.75" bottom="0.75" header="0.3" footer="0.3"/>
  <pageSetup paperSize="157" orientation="portrait" horizontalDpi="203" verticalDpi="203"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VA163"/>
  <sheetViews>
    <sheetView tabSelected="1" zoomScale="85" zoomScaleNormal="85" workbookViewId="0">
      <pane xSplit="4" ySplit="3" topLeftCell="E112" activePane="bottomRight" state="frozen"/>
      <selection activeCell="B106" sqref="B106"/>
      <selection pane="topRight" activeCell="B106" sqref="B106"/>
      <selection pane="bottomLeft" activeCell="B106" sqref="B106"/>
      <selection pane="bottomRight" activeCell="D124" sqref="D124:G125"/>
    </sheetView>
  </sheetViews>
  <sheetFormatPr defaultRowHeight="15" customHeight="1"/>
  <cols>
    <col min="1" max="1" width="54.42578125" style="19" customWidth="1"/>
    <col min="2" max="2" width="9.5703125" style="20" customWidth="1"/>
    <col min="3" max="3" width="48.85546875" style="21" customWidth="1"/>
    <col min="4" max="4" width="13.5703125" style="70" customWidth="1"/>
    <col min="5" max="5" width="15.28515625" style="70" customWidth="1"/>
    <col min="6" max="6" width="15.5703125" style="22" customWidth="1"/>
    <col min="7" max="7" width="13.28515625" style="22" customWidth="1"/>
    <col min="8" max="8" width="29.5703125" style="70" customWidth="1"/>
    <col min="9" max="9" width="14.5703125" style="70" customWidth="1"/>
    <col min="10" max="10" width="15.28515625" style="70" customWidth="1"/>
    <col min="11" max="11" width="15.140625" style="70" customWidth="1"/>
    <col min="12" max="12" width="11.5703125" style="70" customWidth="1"/>
    <col min="13" max="13" width="15.5703125" style="70" customWidth="1"/>
    <col min="14" max="14" width="14.5703125" style="70" customWidth="1"/>
    <col min="15" max="15" width="16.28515625" style="70" customWidth="1"/>
    <col min="16" max="16" width="18.85546875" style="70" customWidth="1"/>
    <col min="17" max="17" width="17.85546875" style="70" customWidth="1"/>
    <col min="18" max="18" width="19.42578125" style="70" customWidth="1"/>
    <col min="19" max="19" width="4" style="70" customWidth="1"/>
    <col min="20" max="20" width="15" style="70" customWidth="1"/>
    <col min="21" max="21" width="20.7109375" style="70" customWidth="1"/>
    <col min="22" max="22" width="21.28515625" style="70" customWidth="1"/>
    <col min="23" max="23" width="16.28515625" style="70" customWidth="1"/>
    <col min="24" max="24" width="15.140625" style="70" customWidth="1"/>
    <col min="25" max="25" width="18.28515625" style="70" customWidth="1"/>
    <col min="26" max="26" width="17.5703125" style="70" customWidth="1"/>
    <col min="27" max="27" width="23.28515625" style="70" customWidth="1"/>
    <col min="28" max="28" width="15.5703125" style="70" customWidth="1"/>
    <col min="29" max="29" width="21.28515625" style="70" customWidth="1"/>
    <col min="30" max="30" width="22.85546875" style="70" customWidth="1"/>
    <col min="31" max="31" width="7.5703125" style="70" customWidth="1"/>
    <col min="32" max="32" width="12.7109375" style="70" customWidth="1"/>
    <col min="33" max="33" width="37.140625" style="70" customWidth="1"/>
    <col min="34" max="34" width="34.28515625" style="70" customWidth="1"/>
    <col min="35" max="35" width="39.5703125" style="70" customWidth="1"/>
    <col min="36" max="36" width="41" style="70" customWidth="1"/>
    <col min="37" max="37" width="15.85546875" style="70" customWidth="1"/>
    <col min="38" max="38" width="35.42578125" style="70" customWidth="1"/>
    <col min="39" max="39" width="32.42578125" style="70" customWidth="1"/>
    <col min="40" max="40" width="37.85546875" style="70" customWidth="1"/>
    <col min="41" max="41" width="17.140625" style="70" customWidth="1"/>
    <col min="42" max="42" width="20.28515625" style="70" customWidth="1"/>
    <col min="43" max="43" width="11.7109375" style="70" customWidth="1"/>
    <col min="44" max="44" width="11.85546875" style="70" customWidth="1"/>
    <col min="45" max="45" width="9.85546875" style="70" customWidth="1"/>
    <col min="46" max="46" width="14.28515625" style="70" customWidth="1"/>
    <col min="47" max="47" width="19.28515625" style="70" customWidth="1"/>
    <col min="48" max="48" width="11.5703125" style="70" customWidth="1"/>
    <col min="49" max="49" width="15.140625" style="70" customWidth="1"/>
    <col min="50" max="50" width="19.5703125" style="70" customWidth="1"/>
    <col min="51" max="51" width="19.28515625" style="70" customWidth="1"/>
    <col min="52" max="52" width="13.85546875" style="70" customWidth="1"/>
    <col min="53" max="53" width="15.5703125" style="70" customWidth="1"/>
    <col min="54" max="54" width="14.5703125" style="70" customWidth="1"/>
    <col min="55" max="55" width="27.85546875" style="70" customWidth="1"/>
    <col min="56" max="56" width="23.85546875" style="70" customWidth="1"/>
    <col min="57" max="58" width="30.28515625" style="70" customWidth="1"/>
    <col min="59" max="59" width="25.85546875" style="70" customWidth="1"/>
    <col min="60" max="60" width="28.42578125" style="70" customWidth="1"/>
    <col min="61" max="61" width="31.7109375" style="70" customWidth="1"/>
    <col min="62" max="62" width="17.85546875" style="70" customWidth="1"/>
    <col min="63" max="64" width="17.5703125" style="70" customWidth="1"/>
    <col min="65" max="65" width="13.5703125" style="70" customWidth="1"/>
    <col min="66" max="66" width="9.7109375" style="70" customWidth="1"/>
    <col min="67" max="67" width="11.7109375" style="70" customWidth="1"/>
    <col min="68" max="68" width="9.7109375" style="70" customWidth="1"/>
    <col min="69" max="69" width="23.140625" style="70" customWidth="1"/>
    <col min="70" max="70" width="11.7109375" style="70" customWidth="1"/>
    <col min="71" max="71" width="26.140625" style="70" customWidth="1"/>
    <col min="72" max="72" width="11.85546875" style="70" customWidth="1"/>
    <col min="73" max="73" width="26.7109375" style="70" customWidth="1"/>
    <col min="74" max="74" width="27.7109375" style="70" customWidth="1"/>
    <col min="75" max="75" width="11.140625" style="70" customWidth="1"/>
    <col min="76" max="76" width="13.85546875" style="70" customWidth="1"/>
    <col min="77" max="77" width="18.42578125" style="70" customWidth="1"/>
    <col min="78" max="78" width="20.85546875" style="70" customWidth="1"/>
    <col min="79" max="80" width="18.140625" style="70" customWidth="1"/>
    <col min="81" max="81" width="17" style="70" customWidth="1"/>
    <col min="82" max="82" width="18.85546875" style="70" customWidth="1"/>
    <col min="83" max="83" width="21.7109375" style="70" customWidth="1"/>
    <col min="84" max="84" width="28" style="70" customWidth="1"/>
    <col min="85" max="85" width="18.28515625" style="70" customWidth="1"/>
    <col min="86" max="86" width="16.5703125" style="70" customWidth="1"/>
    <col min="87" max="87" width="22.42578125" style="70" customWidth="1"/>
    <col min="88" max="88" width="19.42578125" style="70" customWidth="1"/>
    <col min="89" max="89" width="26" style="70" customWidth="1"/>
    <col min="90" max="90" width="21.140625" style="70" customWidth="1"/>
    <col min="91" max="91" width="20.140625" style="70" customWidth="1"/>
    <col min="92" max="92" width="22" style="70" customWidth="1"/>
    <col min="93" max="93" width="28.140625" style="70" customWidth="1"/>
    <col min="94" max="94" width="22.7109375" style="70" customWidth="1"/>
    <col min="95" max="95" width="26.7109375" style="70" customWidth="1"/>
    <col min="96" max="96" width="13.42578125" style="70" customWidth="1"/>
    <col min="97" max="97" width="14.42578125" style="70" customWidth="1"/>
    <col min="98" max="98" width="12.5703125" style="70" customWidth="1"/>
    <col min="99" max="99" width="22.140625" style="70" customWidth="1"/>
    <col min="100" max="100" width="18.5703125" style="70" customWidth="1"/>
    <col min="101" max="101" width="21.28515625" style="70" customWidth="1"/>
    <col min="102" max="102" width="23" style="70" customWidth="1"/>
    <col min="103" max="103" width="22.7109375" style="70" customWidth="1"/>
    <col min="104" max="104" width="22" style="70" customWidth="1"/>
    <col min="105" max="105" width="23.140625" style="70" customWidth="1"/>
    <col min="106" max="106" width="23.85546875" style="70" customWidth="1"/>
    <col min="107" max="107" width="28.7109375" style="70" customWidth="1"/>
    <col min="108" max="108" width="14.28515625" style="70" customWidth="1"/>
    <col min="109" max="109" width="19.140625" style="70" customWidth="1"/>
    <col min="110" max="110" width="25.85546875" style="70" customWidth="1"/>
    <col min="111" max="111" width="24.140625" style="70" customWidth="1"/>
    <col min="112" max="112" width="27.7109375" style="70" customWidth="1"/>
    <col min="113" max="113" width="22.28515625" style="70" customWidth="1"/>
    <col min="114" max="114" width="13.5703125" style="70" customWidth="1"/>
    <col min="115" max="115" width="31.28515625" style="70" customWidth="1"/>
    <col min="116" max="116" width="26.85546875" style="70" customWidth="1"/>
    <col min="117" max="117" width="12.5703125" style="70" customWidth="1"/>
    <col min="118" max="118" width="33.28515625" style="70" customWidth="1"/>
    <col min="119" max="119" width="11.42578125" style="70" customWidth="1"/>
    <col min="120" max="120" width="9.85546875" style="70" customWidth="1"/>
    <col min="121" max="121" width="18.42578125" style="70" customWidth="1"/>
    <col min="122" max="122" width="9.28515625" style="70" customWidth="1"/>
    <col min="123" max="123" width="10.7109375" style="70" customWidth="1"/>
    <col min="124" max="124" width="8.85546875" style="70" customWidth="1"/>
    <col min="125" max="125" width="9.42578125" style="70" customWidth="1"/>
    <col min="126" max="126" width="43.5703125" style="70" customWidth="1"/>
    <col min="127" max="127" width="8.42578125" style="70" customWidth="1"/>
    <col min="128" max="128" width="12.7109375" style="70" customWidth="1"/>
    <col min="129" max="129" width="11.42578125" style="70" customWidth="1"/>
    <col min="130" max="130" width="17.85546875" style="70" customWidth="1"/>
    <col min="131" max="131" width="19.5703125" style="70" customWidth="1"/>
    <col min="132" max="132" width="17.85546875" style="70" customWidth="1"/>
    <col min="133" max="133" width="19.42578125" style="70" customWidth="1"/>
    <col min="134" max="134" width="28.42578125" style="70" customWidth="1"/>
    <col min="135" max="135" width="21" style="70" customWidth="1"/>
    <col min="136" max="136" width="16.5703125" style="70" customWidth="1"/>
    <col min="137" max="137" width="19.28515625" style="70" customWidth="1"/>
    <col min="138" max="138" width="17.42578125" style="70" customWidth="1"/>
    <col min="139" max="139" width="17.85546875" style="70" customWidth="1"/>
    <col min="140" max="140" width="20.28515625" style="70" customWidth="1"/>
    <col min="141" max="141" width="18.42578125" style="70" customWidth="1"/>
    <col min="142" max="142" width="30.42578125" style="70" customWidth="1"/>
    <col min="143" max="143" width="19.85546875" style="70" customWidth="1"/>
    <col min="144" max="144" width="20.42578125" style="70" customWidth="1"/>
    <col min="145" max="145" width="11.7109375" style="70" customWidth="1"/>
    <col min="146" max="146" width="12.42578125" style="70" customWidth="1"/>
    <col min="147" max="147" width="22.28515625" style="70" customWidth="1"/>
    <col min="148" max="148" width="20.28515625" style="70" customWidth="1"/>
    <col min="149" max="149" width="9.42578125" style="70" customWidth="1"/>
    <col min="150" max="150" width="11.7109375" style="70" customWidth="1"/>
    <col min="151" max="151" width="9.5703125" style="70" customWidth="1"/>
    <col min="152" max="152" width="5.140625" style="70" customWidth="1"/>
    <col min="153" max="153" width="23.42578125" style="70" customWidth="1"/>
    <col min="154" max="154" width="9" style="70" customWidth="1"/>
    <col min="155" max="155" width="24.28515625" style="70" customWidth="1"/>
    <col min="156" max="156" width="12.42578125" style="70" customWidth="1"/>
    <col min="157" max="157" width="16.140625" style="70" customWidth="1"/>
    <col min="158" max="158" width="18.42578125" style="70" customWidth="1"/>
    <col min="159" max="159" width="21.85546875" style="70" customWidth="1"/>
    <col min="160" max="160" width="23.7109375" style="70" customWidth="1"/>
    <col min="161" max="161" width="20.42578125" style="70" customWidth="1"/>
    <col min="162" max="162" width="16.5703125" style="70" customWidth="1"/>
    <col min="163" max="163" width="15.42578125" style="70" customWidth="1"/>
    <col min="164" max="164" width="16.42578125" style="70" customWidth="1"/>
    <col min="165" max="165" width="14.7109375" style="70" customWidth="1"/>
    <col min="166" max="166" width="19.140625" style="70" customWidth="1"/>
    <col min="167" max="167" width="20.42578125" style="70" customWidth="1"/>
    <col min="168" max="168" width="18.140625" style="70" customWidth="1"/>
    <col min="169" max="169" width="18.42578125" style="70" customWidth="1"/>
    <col min="170" max="171" width="16.140625" style="70" customWidth="1"/>
    <col min="172" max="172" width="29.7109375" style="70" customWidth="1"/>
    <col min="173" max="173" width="19.28515625" style="70" customWidth="1"/>
    <col min="174" max="174" width="15" style="70" customWidth="1"/>
    <col min="175" max="175" width="16.5703125" style="70" customWidth="1"/>
    <col min="176" max="176" width="23.7109375" style="70" customWidth="1"/>
    <col min="177" max="177" width="22.7109375" style="70" customWidth="1"/>
    <col min="178" max="178" width="23.85546875" style="70" customWidth="1"/>
    <col min="179" max="179" width="19.85546875" style="70" customWidth="1"/>
    <col min="180" max="180" width="29.7109375" style="70" customWidth="1"/>
    <col min="181" max="181" width="23" style="70" customWidth="1"/>
    <col min="182" max="182" width="18.5703125" style="70" customWidth="1"/>
    <col min="183" max="183" width="19.140625" style="70" customWidth="1"/>
    <col min="184" max="184" width="19.5703125" style="70" customWidth="1"/>
    <col min="185" max="185" width="16.140625" style="70" customWidth="1"/>
    <col min="186" max="186" width="21.85546875" style="70" customWidth="1"/>
    <col min="187" max="187" width="22.28515625" style="70" customWidth="1"/>
    <col min="188" max="188" width="16" style="70" customWidth="1"/>
    <col min="189" max="189" width="29.5703125" style="70" customWidth="1"/>
    <col min="190" max="190" width="14.5703125" style="70" customWidth="1"/>
    <col min="191" max="191" width="39" style="70" customWidth="1"/>
    <col min="192" max="192" width="20.85546875" style="70" customWidth="1"/>
    <col min="193" max="193" width="18.28515625" style="70" customWidth="1"/>
    <col min="194" max="194" width="172.28515625" style="70" customWidth="1"/>
    <col min="195" max="195" width="19.42578125" style="70" customWidth="1"/>
    <col min="196" max="196" width="16.7109375" style="70" customWidth="1"/>
    <col min="197" max="197" width="17.5703125" style="70" customWidth="1"/>
    <col min="198" max="198" width="19.42578125" style="70" customWidth="1"/>
    <col min="199" max="199" width="32.140625" style="70" customWidth="1"/>
    <col min="200" max="200" width="31.42578125" style="70" customWidth="1"/>
    <col min="201" max="201" width="141" style="70" customWidth="1"/>
    <col min="202" max="202" width="22.140625" style="70" customWidth="1"/>
    <col min="203" max="203" width="136" style="70" customWidth="1"/>
    <col min="204" max="204" width="200.85546875" style="70" customWidth="1"/>
    <col min="205" max="205" width="17.42578125" style="70" customWidth="1"/>
    <col min="206" max="206" width="15.28515625" style="70" customWidth="1"/>
    <col min="207" max="207" width="18.42578125" style="70" customWidth="1"/>
    <col min="208" max="208" width="17.85546875" style="70" customWidth="1"/>
    <col min="209" max="209" width="63.140625" style="70" customWidth="1"/>
    <col min="210" max="210" width="82.85546875" style="70" customWidth="1"/>
    <col min="211" max="211" width="66.5703125" style="70" customWidth="1"/>
    <col min="212" max="212" width="85.42578125" style="70" customWidth="1"/>
    <col min="213" max="213" width="178.140625" style="70" customWidth="1"/>
    <col min="214" max="215" width="10.7109375" style="70" customWidth="1"/>
    <col min="216" max="216" width="19.42578125" style="70" customWidth="1"/>
    <col min="217" max="217" width="13.85546875" style="70" customWidth="1"/>
    <col min="218" max="218" width="12.7109375" style="70" customWidth="1"/>
    <col min="219" max="219" width="40.7109375" style="70" customWidth="1"/>
    <col min="220" max="220" width="19.42578125" style="70" customWidth="1"/>
    <col min="221" max="222" width="22.85546875" style="70" customWidth="1"/>
    <col min="223" max="223" width="19.140625" style="70" customWidth="1"/>
    <col min="224" max="224" width="19.42578125" style="70" customWidth="1"/>
    <col min="225" max="225" width="11.42578125" style="70" customWidth="1"/>
    <col min="226" max="226" width="16" style="70" customWidth="1"/>
    <col min="227" max="227" width="18.42578125" style="70" customWidth="1"/>
    <col min="228" max="228" width="15.5703125" style="70" customWidth="1"/>
    <col min="229" max="229" width="16.28515625" style="70" customWidth="1"/>
    <col min="230" max="230" width="19" style="70" customWidth="1"/>
    <col min="231" max="231" width="17" style="70" customWidth="1"/>
    <col min="232" max="232" width="14.28515625" style="70" customWidth="1"/>
    <col min="233" max="233" width="20" style="70" customWidth="1"/>
    <col min="234" max="234" width="26.7109375" style="70" customWidth="1"/>
    <col min="235" max="235" width="17" style="70" customWidth="1"/>
    <col min="236" max="236" width="23.5703125" style="70" customWidth="1"/>
    <col min="237" max="237" width="19.42578125" style="70" customWidth="1"/>
    <col min="238" max="238" width="22.140625" style="70" customWidth="1"/>
    <col min="239" max="239" width="20.140625" style="70" customWidth="1"/>
    <col min="240" max="240" width="26" style="70" customWidth="1"/>
    <col min="241" max="241" width="17" style="70" customWidth="1"/>
    <col min="242" max="242" width="18.85546875" style="70" customWidth="1"/>
    <col min="243" max="244" width="31.28515625" style="70" customWidth="1"/>
    <col min="245" max="245" width="26.140625" style="70" customWidth="1"/>
    <col min="246" max="246" width="14.7109375" style="70" customWidth="1"/>
    <col min="247" max="247" width="15.5703125" style="70" customWidth="1"/>
    <col min="248" max="248" width="10.28515625" style="70" customWidth="1"/>
    <col min="249" max="249" width="16.140625" style="70" customWidth="1"/>
    <col min="250" max="250" width="19" style="70" customWidth="1"/>
    <col min="251" max="251" width="20.42578125" style="70" customWidth="1"/>
    <col min="252" max="252" width="20.140625" style="70" customWidth="1"/>
    <col min="253" max="253" width="19.42578125" style="70" customWidth="1"/>
    <col min="254" max="254" width="24" style="70" customWidth="1"/>
    <col min="255" max="255" width="22.140625" style="70" customWidth="1"/>
    <col min="256" max="256" width="22" style="70" customWidth="1"/>
    <col min="257" max="257" width="22.85546875" style="70" customWidth="1"/>
    <col min="258" max="258" width="30.42578125" style="70" customWidth="1"/>
    <col min="259" max="259" width="20.7109375" style="70" customWidth="1"/>
    <col min="260" max="260" width="18.140625" style="70" customWidth="1"/>
    <col min="261" max="261" width="22.42578125" style="70" customWidth="1"/>
    <col min="262" max="262" width="19.140625" style="70" customWidth="1"/>
    <col min="263" max="263" width="24.7109375" style="70" customWidth="1"/>
    <col min="264" max="264" width="24.140625" style="70" customWidth="1"/>
    <col min="265" max="265" width="19.42578125" style="70" customWidth="1"/>
    <col min="266" max="266" width="14.7109375" style="70" customWidth="1"/>
    <col min="267" max="267" width="13.7109375" style="70" customWidth="1"/>
    <col min="268" max="268" width="12.7109375" style="70" customWidth="1"/>
    <col min="269" max="269" width="10.85546875" style="70" customWidth="1"/>
    <col min="270" max="270" width="15.5703125" style="70" customWidth="1"/>
    <col min="271" max="271" width="7" style="70" customWidth="1"/>
    <col min="272" max="272" width="8.7109375" style="70" customWidth="1"/>
    <col min="273" max="273" width="11" style="70" customWidth="1"/>
    <col min="274" max="274" width="10.7109375" style="70" customWidth="1"/>
    <col min="275" max="275" width="14.28515625" style="70" customWidth="1"/>
    <col min="276" max="276" width="14.42578125" style="70" customWidth="1"/>
    <col min="277" max="277" width="15.7109375" style="70" customWidth="1"/>
    <col min="278" max="278" width="14.5703125" style="70" customWidth="1"/>
    <col min="279" max="279" width="11.5703125" style="70" customWidth="1"/>
    <col min="280" max="280" width="43.5703125" style="70" customWidth="1"/>
    <col min="281" max="281" width="9.140625" style="70" customWidth="1"/>
    <col min="282" max="282" width="15.5703125" style="70" customWidth="1"/>
    <col min="283" max="284" width="16.140625" style="70" customWidth="1"/>
    <col min="285" max="285" width="18.5703125" style="70" customWidth="1"/>
    <col min="286" max="286" width="13.5703125" style="70" customWidth="1"/>
    <col min="287" max="287" width="16.140625" style="70" customWidth="1"/>
    <col min="288" max="288" width="14.85546875" style="70" customWidth="1"/>
    <col min="289" max="289" width="12.28515625" style="70" customWidth="1"/>
    <col min="290" max="290" width="9.5703125" style="230" customWidth="1"/>
    <col min="291" max="291" width="16" style="70" customWidth="1"/>
    <col min="292" max="292" width="11" style="70" customWidth="1"/>
    <col min="293" max="293" width="8.140625" style="70" customWidth="1"/>
    <col min="294" max="294" width="10.42578125" style="70" customWidth="1"/>
    <col min="295" max="295" width="11.85546875" style="70" customWidth="1"/>
    <col min="296" max="296" width="17.5703125" style="70" customWidth="1"/>
    <col min="297" max="297" width="19.42578125" style="70" customWidth="1"/>
    <col min="298" max="298" width="45" style="70" customWidth="1"/>
    <col min="299" max="299" width="22.42578125" style="70" customWidth="1"/>
    <col min="300" max="300" width="23.7109375" style="70" customWidth="1"/>
    <col min="301" max="302" width="25.5703125" style="70" customWidth="1"/>
    <col min="303" max="303" width="28.85546875" style="70" customWidth="1"/>
    <col min="304" max="304" width="15.5703125" style="70" customWidth="1"/>
    <col min="305" max="305" width="23.85546875" style="70" customWidth="1"/>
    <col min="306" max="306" width="21.85546875" style="70" customWidth="1"/>
    <col min="307" max="307" width="19.42578125" style="70" customWidth="1"/>
    <col min="308" max="308" width="15.7109375" style="70" customWidth="1"/>
    <col min="309" max="309" width="21.140625" style="70" customWidth="1"/>
    <col min="310" max="311" width="23.28515625" style="70" customWidth="1"/>
    <col min="312" max="312" width="22.28515625" style="70" customWidth="1"/>
    <col min="313" max="313" width="25.28515625" style="70" customWidth="1"/>
    <col min="314" max="315" width="31.28515625" style="70" customWidth="1"/>
    <col min="316" max="316" width="26.140625" style="70" customWidth="1"/>
    <col min="317" max="317" width="23.7109375" style="70" customWidth="1"/>
    <col min="318" max="318" width="21" style="70" customWidth="1"/>
    <col min="319" max="319" width="21.85546875" style="70" customWidth="1"/>
    <col min="320" max="320" width="28" style="70" customWidth="1"/>
    <col min="321" max="321" width="28.7109375" style="70" customWidth="1"/>
    <col min="322" max="322" width="26.140625" style="70" customWidth="1"/>
    <col min="323" max="323" width="26.85546875" style="70" customWidth="1"/>
    <col min="324" max="324" width="30.7109375" style="70" customWidth="1"/>
    <col min="325" max="325" width="113.5703125" style="70" customWidth="1"/>
    <col min="326" max="326" width="25.5703125" style="70" customWidth="1"/>
    <col min="327" max="327" width="29.5703125" style="70" customWidth="1"/>
    <col min="328" max="328" width="28.85546875" style="70" customWidth="1"/>
    <col min="329" max="329" width="25" style="70" customWidth="1"/>
    <col min="330" max="330" width="23.85546875" style="70" customWidth="1"/>
    <col min="331" max="331" width="26.85546875" style="70" customWidth="1"/>
    <col min="332" max="332" width="24.85546875" style="70" customWidth="1"/>
    <col min="333" max="333" width="24.28515625" style="70" customWidth="1"/>
    <col min="334" max="334" width="25.140625" style="70" customWidth="1"/>
    <col min="335" max="335" width="26.7109375" style="70" customWidth="1"/>
    <col min="336" max="336" width="25" style="70" customWidth="1"/>
    <col min="337" max="337" width="23.140625" style="70" customWidth="1"/>
    <col min="338" max="338" width="15.28515625" style="70" customWidth="1"/>
    <col min="339" max="339" width="12.42578125" style="70" customWidth="1"/>
    <col min="340" max="340" width="23.5703125" style="70" customWidth="1"/>
    <col min="341" max="341" width="26.7109375" style="70" customWidth="1"/>
    <col min="342" max="342" width="28.140625" style="70" customWidth="1"/>
    <col min="343" max="343" width="27.85546875" style="70" customWidth="1"/>
    <col min="344" max="344" width="28" style="70" customWidth="1"/>
    <col min="345" max="345" width="22.7109375" style="70" customWidth="1"/>
    <col min="346" max="346" width="23.140625" style="70" customWidth="1"/>
    <col min="347" max="347" width="10.42578125" style="70" customWidth="1"/>
    <col min="348" max="348" width="40.42578125" style="70" customWidth="1"/>
    <col min="349" max="349" width="10.85546875" style="70" customWidth="1"/>
    <col min="350" max="350" width="50.5703125" style="70" customWidth="1"/>
    <col min="351" max="351" width="39" style="70" customWidth="1"/>
    <col min="352" max="352" width="5.28515625" style="70" customWidth="1"/>
    <col min="353" max="353" width="24" style="70" customWidth="1"/>
    <col min="354" max="354" width="10.42578125" style="70" customWidth="1"/>
    <col min="355" max="355" width="16" style="70" customWidth="1"/>
    <col min="356" max="356" width="48.7109375" style="70" customWidth="1"/>
    <col min="357" max="358" width="11.5703125" style="70" customWidth="1"/>
    <col min="359" max="359" width="17.85546875" style="70" customWidth="1"/>
    <col min="360" max="360" width="12.28515625" style="70" customWidth="1"/>
    <col min="361" max="361" width="37.85546875" style="70" customWidth="1"/>
    <col min="362" max="362" width="9.7109375" style="70" customWidth="1"/>
    <col min="363" max="363" width="11.5703125" style="70" customWidth="1"/>
    <col min="364" max="364" width="8.42578125" style="70" customWidth="1"/>
    <col min="365" max="365" width="16" style="70" customWidth="1"/>
    <col min="366" max="366" width="22.7109375" style="70" bestFit="1" customWidth="1"/>
    <col min="367" max="367" width="26.140625" style="70" customWidth="1"/>
    <col min="368" max="369" width="11.5703125" style="70" bestFit="1" customWidth="1"/>
    <col min="370" max="370" width="13.85546875" style="70" bestFit="1" customWidth="1"/>
    <col min="371" max="16384" width="9.140625" style="70"/>
  </cols>
  <sheetData>
    <row r="1" spans="1:370" s="35" customFormat="1" ht="15" customHeight="1">
      <c r="A1" s="19"/>
      <c r="B1" s="35" t="s">
        <v>1434</v>
      </c>
      <c r="C1" s="21"/>
      <c r="F1" s="36"/>
      <c r="G1" s="36"/>
      <c r="EC1" s="70"/>
      <c r="KD1" s="228"/>
    </row>
    <row r="2" spans="1:370" s="35" customFormat="1" ht="15" customHeight="1">
      <c r="A2" s="19"/>
      <c r="B2" s="37"/>
      <c r="C2" s="21"/>
      <c r="F2" s="36"/>
      <c r="G2" s="36"/>
      <c r="EC2" s="70"/>
      <c r="KD2" s="228"/>
    </row>
    <row r="3" spans="1:370" s="35" customFormat="1" ht="15" customHeight="1">
      <c r="A3" s="33" t="s">
        <v>9</v>
      </c>
      <c r="B3" s="38" t="s">
        <v>4</v>
      </c>
      <c r="C3" s="95" t="s">
        <v>51</v>
      </c>
      <c r="D3" s="38" t="s">
        <v>5</v>
      </c>
      <c r="E3" s="38" t="s">
        <v>6</v>
      </c>
      <c r="F3" s="39" t="s">
        <v>7</v>
      </c>
      <c r="G3" s="39" t="s">
        <v>8</v>
      </c>
      <c r="H3" s="40" t="s">
        <v>38</v>
      </c>
      <c r="I3" s="41" t="s">
        <v>39</v>
      </c>
      <c r="J3" s="41" t="s">
        <v>42</v>
      </c>
      <c r="K3" s="41" t="s">
        <v>43</v>
      </c>
      <c r="L3" s="41" t="s">
        <v>54</v>
      </c>
      <c r="M3" s="42" t="s">
        <v>165</v>
      </c>
      <c r="N3" s="42" t="s">
        <v>166</v>
      </c>
      <c r="O3" s="42" t="s">
        <v>167</v>
      </c>
      <c r="P3" s="42" t="s">
        <v>173</v>
      </c>
      <c r="Q3" s="42" t="s">
        <v>174</v>
      </c>
      <c r="R3" s="42" t="s">
        <v>175</v>
      </c>
      <c r="S3" s="41" t="s">
        <v>357</v>
      </c>
      <c r="T3" s="41" t="s">
        <v>160</v>
      </c>
      <c r="U3" s="42" t="s">
        <v>405</v>
      </c>
      <c r="V3" s="42" t="s">
        <v>406</v>
      </c>
      <c r="W3" s="41" t="s">
        <v>379</v>
      </c>
      <c r="X3" s="41" t="s">
        <v>380</v>
      </c>
      <c r="Y3" s="41" t="s">
        <v>381</v>
      </c>
      <c r="Z3" s="41" t="s">
        <v>382</v>
      </c>
      <c r="AA3" s="41" t="s">
        <v>383</v>
      </c>
      <c r="AB3" s="41" t="s">
        <v>384</v>
      </c>
      <c r="AC3" s="41" t="s">
        <v>385</v>
      </c>
      <c r="AD3" s="41" t="s">
        <v>386</v>
      </c>
      <c r="AE3" s="41" t="s">
        <v>270</v>
      </c>
      <c r="AF3" s="41" t="s">
        <v>271</v>
      </c>
      <c r="AG3" s="42" t="s">
        <v>293</v>
      </c>
      <c r="AH3" s="42" t="s">
        <v>294</v>
      </c>
      <c r="AI3" s="42" t="s">
        <v>295</v>
      </c>
      <c r="AJ3" s="42" t="s">
        <v>296</v>
      </c>
      <c r="AK3" s="41" t="s">
        <v>275</v>
      </c>
      <c r="AL3" s="42" t="s">
        <v>297</v>
      </c>
      <c r="AM3" s="42" t="s">
        <v>298</v>
      </c>
      <c r="AN3" s="42" t="s">
        <v>299</v>
      </c>
      <c r="AO3" s="41" t="s">
        <v>279</v>
      </c>
      <c r="AP3" s="41" t="s">
        <v>280</v>
      </c>
      <c r="AQ3" s="41" t="s">
        <v>281</v>
      </c>
      <c r="AR3" s="41" t="s">
        <v>282</v>
      </c>
      <c r="AS3" s="41" t="s">
        <v>283</v>
      </c>
      <c r="AT3" s="41" t="s">
        <v>389</v>
      </c>
      <c r="AU3" s="41" t="s">
        <v>390</v>
      </c>
      <c r="AV3" s="41" t="s">
        <v>391</v>
      </c>
      <c r="AW3" s="42" t="s">
        <v>644</v>
      </c>
      <c r="AX3" s="42" t="s">
        <v>620</v>
      </c>
      <c r="AY3" s="42" t="s">
        <v>621</v>
      </c>
      <c r="AZ3" s="42" t="s">
        <v>622</v>
      </c>
      <c r="BA3" s="42" t="s">
        <v>623</v>
      </c>
      <c r="BB3" s="42" t="s">
        <v>624</v>
      </c>
      <c r="BC3" s="42" t="s">
        <v>625</v>
      </c>
      <c r="BD3" s="43" t="s">
        <v>626</v>
      </c>
      <c r="BE3" s="44" t="s">
        <v>615</v>
      </c>
      <c r="BF3" s="42" t="s">
        <v>616</v>
      </c>
      <c r="BG3" s="42" t="s">
        <v>617</v>
      </c>
      <c r="BH3" s="42" t="s">
        <v>618</v>
      </c>
      <c r="BI3" s="43" t="s">
        <v>619</v>
      </c>
      <c r="BJ3" s="44" t="s">
        <v>171</v>
      </c>
      <c r="BK3" s="42" t="s">
        <v>422</v>
      </c>
      <c r="BL3" s="41" t="s">
        <v>504</v>
      </c>
      <c r="BM3" s="41" t="s">
        <v>505</v>
      </c>
      <c r="BN3" s="41" t="s">
        <v>506</v>
      </c>
      <c r="BO3" s="41" t="s">
        <v>507</v>
      </c>
      <c r="BP3" s="41" t="s">
        <v>517</v>
      </c>
      <c r="BQ3" s="41" t="s">
        <v>639</v>
      </c>
      <c r="BR3" s="41" t="s">
        <v>581</v>
      </c>
      <c r="BS3" s="43" t="s">
        <v>627</v>
      </c>
      <c r="BT3" s="40" t="s">
        <v>518</v>
      </c>
      <c r="BU3" s="42" t="s">
        <v>521</v>
      </c>
      <c r="BV3" s="42" t="s">
        <v>522</v>
      </c>
      <c r="BW3" s="41" t="s">
        <v>655</v>
      </c>
      <c r="BX3" s="42" t="s">
        <v>631</v>
      </c>
      <c r="BY3" s="42" t="s">
        <v>583</v>
      </c>
      <c r="BZ3" s="42" t="s">
        <v>584</v>
      </c>
      <c r="CA3" s="42" t="s">
        <v>585</v>
      </c>
      <c r="CB3" s="42" t="s">
        <v>586</v>
      </c>
      <c r="CC3" s="42" t="s">
        <v>587</v>
      </c>
      <c r="CD3" s="42" t="s">
        <v>588</v>
      </c>
      <c r="CE3" s="42" t="s">
        <v>589</v>
      </c>
      <c r="CF3" s="42" t="s">
        <v>590</v>
      </c>
      <c r="CG3" s="42" t="s">
        <v>591</v>
      </c>
      <c r="CH3" s="42" t="s">
        <v>592</v>
      </c>
      <c r="CI3" s="42" t="s">
        <v>593</v>
      </c>
      <c r="CJ3" s="42" t="s">
        <v>594</v>
      </c>
      <c r="CK3" s="42" t="s">
        <v>595</v>
      </c>
      <c r="CL3" s="42" t="s">
        <v>596</v>
      </c>
      <c r="CM3" s="42" t="s">
        <v>597</v>
      </c>
      <c r="CN3" s="42" t="s">
        <v>598</v>
      </c>
      <c r="CO3" s="43" t="s">
        <v>612</v>
      </c>
      <c r="CP3" s="44" t="s">
        <v>600</v>
      </c>
      <c r="CQ3" s="42" t="s">
        <v>601</v>
      </c>
      <c r="CR3" s="42" t="s">
        <v>602</v>
      </c>
      <c r="CS3" s="42" t="s">
        <v>603</v>
      </c>
      <c r="CT3" s="42" t="s">
        <v>604</v>
      </c>
      <c r="CU3" s="43" t="s">
        <v>613</v>
      </c>
      <c r="CV3" s="44" t="s">
        <v>605</v>
      </c>
      <c r="CW3" s="42" t="s">
        <v>606</v>
      </c>
      <c r="CX3" s="42" t="s">
        <v>607</v>
      </c>
      <c r="CY3" s="42" t="s">
        <v>608</v>
      </c>
      <c r="CZ3" s="42" t="s">
        <v>609</v>
      </c>
      <c r="DA3" s="42" t="s">
        <v>610</v>
      </c>
      <c r="DB3" s="42" t="s">
        <v>611</v>
      </c>
      <c r="DC3" s="43" t="s">
        <v>614</v>
      </c>
      <c r="DD3" s="44" t="s">
        <v>599</v>
      </c>
      <c r="DE3" s="42" t="s">
        <v>647</v>
      </c>
      <c r="DF3" s="42" t="s">
        <v>705</v>
      </c>
      <c r="DG3" s="42" t="s">
        <v>706</v>
      </c>
      <c r="DH3" s="42" t="s">
        <v>707</v>
      </c>
      <c r="DI3" s="43" t="s">
        <v>708</v>
      </c>
      <c r="DJ3" s="40" t="s">
        <v>197</v>
      </c>
      <c r="DK3" s="42" t="s">
        <v>709</v>
      </c>
      <c r="DL3" s="43" t="s">
        <v>710</v>
      </c>
      <c r="DM3" s="40" t="s">
        <v>687</v>
      </c>
      <c r="DN3" s="45" t="s">
        <v>694</v>
      </c>
      <c r="DO3" s="40" t="s">
        <v>634</v>
      </c>
      <c r="DP3" s="41" t="s">
        <v>635</v>
      </c>
      <c r="DQ3" s="45" t="s">
        <v>637</v>
      </c>
      <c r="DR3" s="40" t="s">
        <v>289</v>
      </c>
      <c r="DS3" s="41" t="s">
        <v>804</v>
      </c>
      <c r="DT3" s="41" t="s">
        <v>805</v>
      </c>
      <c r="DU3" s="41" t="s">
        <v>806</v>
      </c>
      <c r="DV3" s="41" t="s">
        <v>16</v>
      </c>
      <c r="DW3" s="41" t="s">
        <v>18</v>
      </c>
      <c r="DX3" s="45" t="s">
        <v>19</v>
      </c>
      <c r="DY3" s="46" t="s">
        <v>666</v>
      </c>
      <c r="DZ3" s="46" t="s">
        <v>122</v>
      </c>
      <c r="EA3" s="40" t="s">
        <v>101</v>
      </c>
      <c r="EB3" s="41" t="s">
        <v>102</v>
      </c>
      <c r="EC3" s="58" t="s">
        <v>123</v>
      </c>
      <c r="ED3" s="42" t="s">
        <v>193</v>
      </c>
      <c r="EE3" s="41" t="s">
        <v>732</v>
      </c>
      <c r="EF3" s="42" t="s">
        <v>1079</v>
      </c>
      <c r="EG3" s="42" t="s">
        <v>1080</v>
      </c>
      <c r="EH3" s="42" t="s">
        <v>1081</v>
      </c>
      <c r="EI3" s="42" t="s">
        <v>1082</v>
      </c>
      <c r="EJ3" s="42" t="s">
        <v>1083</v>
      </c>
      <c r="EK3" s="42" t="s">
        <v>1084</v>
      </c>
      <c r="EL3" s="42" t="s">
        <v>1085</v>
      </c>
      <c r="EM3" s="42" t="s">
        <v>1086</v>
      </c>
      <c r="EN3" s="42" t="s">
        <v>1087</v>
      </c>
      <c r="EO3" s="42" t="s">
        <v>1088</v>
      </c>
      <c r="EP3" s="42" t="s">
        <v>1089</v>
      </c>
      <c r="EQ3" s="42" t="s">
        <v>1090</v>
      </c>
      <c r="ER3" s="43" t="s">
        <v>1091</v>
      </c>
      <c r="ES3" s="46" t="s">
        <v>830</v>
      </c>
      <c r="ET3" s="40" t="s">
        <v>871</v>
      </c>
      <c r="EU3" s="45" t="s">
        <v>872</v>
      </c>
      <c r="EV3" s="40" t="s">
        <v>288</v>
      </c>
      <c r="EW3" s="41" t="s">
        <v>801</v>
      </c>
      <c r="EX3" s="45" t="s">
        <v>839</v>
      </c>
      <c r="EY3" s="44" t="s">
        <v>672</v>
      </c>
      <c r="EZ3" s="41" t="s">
        <v>892</v>
      </c>
      <c r="FA3" s="42" t="s">
        <v>920</v>
      </c>
      <c r="FB3" s="42" t="s">
        <v>921</v>
      </c>
      <c r="FC3" s="42" t="s">
        <v>922</v>
      </c>
      <c r="FD3" s="42" t="s">
        <v>923</v>
      </c>
      <c r="FE3" s="42" t="s">
        <v>924</v>
      </c>
      <c r="FF3" s="42" t="s">
        <v>925</v>
      </c>
      <c r="FG3" s="42" t="s">
        <v>926</v>
      </c>
      <c r="FH3" s="42" t="s">
        <v>927</v>
      </c>
      <c r="FI3" s="42" t="s">
        <v>928</v>
      </c>
      <c r="FJ3" s="42" t="s">
        <v>929</v>
      </c>
      <c r="FK3" s="42" t="s">
        <v>930</v>
      </c>
      <c r="FL3" s="42" t="s">
        <v>931</v>
      </c>
      <c r="FM3" s="42" t="s">
        <v>932</v>
      </c>
      <c r="FN3" s="42" t="s">
        <v>933</v>
      </c>
      <c r="FO3" s="42" t="s">
        <v>934</v>
      </c>
      <c r="FP3" s="42" t="s">
        <v>935</v>
      </c>
      <c r="FQ3" s="42" t="s">
        <v>936</v>
      </c>
      <c r="FR3" s="42" t="s">
        <v>937</v>
      </c>
      <c r="FS3" s="42" t="s">
        <v>938</v>
      </c>
      <c r="FT3" s="42" t="s">
        <v>939</v>
      </c>
      <c r="FU3" s="42" t="s">
        <v>940</v>
      </c>
      <c r="FV3" s="42" t="s">
        <v>941</v>
      </c>
      <c r="FW3" s="42" t="s">
        <v>942</v>
      </c>
      <c r="FX3" s="42" t="s">
        <v>943</v>
      </c>
      <c r="FY3" s="42" t="s">
        <v>944</v>
      </c>
      <c r="FZ3" s="42" t="s">
        <v>1051</v>
      </c>
      <c r="GA3" s="42" t="s">
        <v>1052</v>
      </c>
      <c r="GB3" s="43" t="s">
        <v>1053</v>
      </c>
      <c r="GC3" s="46" t="s">
        <v>388</v>
      </c>
      <c r="GD3" s="40" t="s">
        <v>387</v>
      </c>
      <c r="GE3" s="42" t="s">
        <v>423</v>
      </c>
      <c r="GF3" s="42" t="s">
        <v>424</v>
      </c>
      <c r="GG3" s="42" t="s">
        <v>425</v>
      </c>
      <c r="GH3" s="42" t="s">
        <v>426</v>
      </c>
      <c r="GI3" s="42" t="s">
        <v>427</v>
      </c>
      <c r="GJ3" s="42" t="s">
        <v>428</v>
      </c>
      <c r="GK3" s="42" t="s">
        <v>429</v>
      </c>
      <c r="GL3" s="42" t="s">
        <v>430</v>
      </c>
      <c r="GM3" s="42" t="s">
        <v>431</v>
      </c>
      <c r="GN3" s="42" t="s">
        <v>432</v>
      </c>
      <c r="GO3" s="42" t="s">
        <v>433</v>
      </c>
      <c r="GP3" s="43" t="s">
        <v>671</v>
      </c>
      <c r="GQ3" s="40" t="s">
        <v>97</v>
      </c>
      <c r="GR3" s="42" t="s">
        <v>106</v>
      </c>
      <c r="GS3" s="41" t="s">
        <v>104</v>
      </c>
      <c r="GT3" s="42" t="s">
        <v>107</v>
      </c>
      <c r="GU3" s="42" t="s">
        <v>108</v>
      </c>
      <c r="GV3" s="42" t="s">
        <v>109</v>
      </c>
      <c r="GW3" s="41" t="s">
        <v>118</v>
      </c>
      <c r="GX3" s="41" t="s">
        <v>112</v>
      </c>
      <c r="GY3" s="41" t="s">
        <v>113</v>
      </c>
      <c r="GZ3" s="41" t="s">
        <v>114</v>
      </c>
      <c r="HA3" s="41" t="s">
        <v>115</v>
      </c>
      <c r="HB3" s="41" t="s">
        <v>116</v>
      </c>
      <c r="HC3" s="41" t="s">
        <v>117</v>
      </c>
      <c r="HD3" s="41" t="s">
        <v>356</v>
      </c>
      <c r="HE3" s="41" t="s">
        <v>802</v>
      </c>
      <c r="HF3" s="41" t="s">
        <v>874</v>
      </c>
      <c r="HG3" s="45" t="s">
        <v>875</v>
      </c>
      <c r="HH3" s="44" t="s">
        <v>161</v>
      </c>
      <c r="HI3" s="41" t="s">
        <v>362</v>
      </c>
      <c r="HJ3" s="45" t="s">
        <v>121</v>
      </c>
      <c r="HK3" s="40" t="s">
        <v>361</v>
      </c>
      <c r="HL3" s="45" t="s">
        <v>659</v>
      </c>
      <c r="HM3" s="40" t="s">
        <v>661</v>
      </c>
      <c r="HN3" s="41" t="s">
        <v>127</v>
      </c>
      <c r="HO3" s="41" t="s">
        <v>126</v>
      </c>
      <c r="HP3" s="41" t="s">
        <v>125</v>
      </c>
      <c r="HQ3" s="42" t="s">
        <v>162</v>
      </c>
      <c r="HR3" s="42" t="s">
        <v>163</v>
      </c>
      <c r="HS3" s="118" t="s">
        <v>870</v>
      </c>
      <c r="HT3" s="42" t="s">
        <v>164</v>
      </c>
      <c r="HU3" s="42" t="s">
        <v>407</v>
      </c>
      <c r="HV3" s="42" t="s">
        <v>408</v>
      </c>
      <c r="HW3" s="43" t="s">
        <v>409</v>
      </c>
      <c r="HX3" s="44" t="s">
        <v>169</v>
      </c>
      <c r="HY3" s="42" t="s">
        <v>170</v>
      </c>
      <c r="HZ3" s="43" t="s">
        <v>421</v>
      </c>
      <c r="IA3" s="44" t="s">
        <v>172</v>
      </c>
      <c r="IB3" s="42" t="s">
        <v>755</v>
      </c>
      <c r="IC3" s="42" t="s">
        <v>410</v>
      </c>
      <c r="ID3" s="42" t="s">
        <v>411</v>
      </c>
      <c r="IE3" s="43" t="s">
        <v>412</v>
      </c>
      <c r="IF3" s="44" t="s">
        <v>168</v>
      </c>
      <c r="IG3" s="42" t="s">
        <v>176</v>
      </c>
      <c r="IH3" s="42" t="s">
        <v>177</v>
      </c>
      <c r="II3" s="42" t="s">
        <v>178</v>
      </c>
      <c r="IJ3" s="42" t="s">
        <v>179</v>
      </c>
      <c r="IK3" s="42" t="s">
        <v>180</v>
      </c>
      <c r="IL3" s="43" t="s">
        <v>413</v>
      </c>
      <c r="IM3" s="44" t="s">
        <v>182</v>
      </c>
      <c r="IN3" s="42" t="s">
        <v>183</v>
      </c>
      <c r="IO3" s="42" t="s">
        <v>184</v>
      </c>
      <c r="IP3" s="42" t="s">
        <v>185</v>
      </c>
      <c r="IQ3" s="42" t="s">
        <v>186</v>
      </c>
      <c r="IR3" s="42" t="s">
        <v>187</v>
      </c>
      <c r="IS3" s="42" t="s">
        <v>188</v>
      </c>
      <c r="IT3" s="42" t="s">
        <v>414</v>
      </c>
      <c r="IU3" s="42" t="s">
        <v>415</v>
      </c>
      <c r="IV3" s="42" t="s">
        <v>416</v>
      </c>
      <c r="IW3" s="43" t="s">
        <v>664</v>
      </c>
      <c r="IX3" s="44" t="s">
        <v>417</v>
      </c>
      <c r="IY3" s="42" t="s">
        <v>418</v>
      </c>
      <c r="IZ3" s="42" t="s">
        <v>419</v>
      </c>
      <c r="JA3" s="43" t="s">
        <v>420</v>
      </c>
      <c r="JB3" s="44" t="s">
        <v>189</v>
      </c>
      <c r="JC3" s="43" t="s">
        <v>190</v>
      </c>
      <c r="JD3" s="44" t="s">
        <v>181</v>
      </c>
      <c r="JE3" s="41" t="s">
        <v>856</v>
      </c>
      <c r="JF3" s="41" t="s">
        <v>855</v>
      </c>
      <c r="JG3" s="41" t="s">
        <v>891</v>
      </c>
      <c r="JH3" s="43" t="s">
        <v>919</v>
      </c>
      <c r="JI3" s="40" t="s">
        <v>403</v>
      </c>
      <c r="JJ3" s="45" t="s">
        <v>404</v>
      </c>
      <c r="JK3" s="40" t="s">
        <v>0</v>
      </c>
      <c r="JL3" s="41" t="s">
        <v>742</v>
      </c>
      <c r="JM3" s="41" t="s">
        <v>743</v>
      </c>
      <c r="JN3" s="117" t="s">
        <v>744</v>
      </c>
      <c r="JO3" s="45" t="s">
        <v>745</v>
      </c>
      <c r="JP3" s="40" t="s">
        <v>452</v>
      </c>
      <c r="JQ3" s="41" t="s">
        <v>470</v>
      </c>
      <c r="JR3" s="41" t="s">
        <v>476</v>
      </c>
      <c r="JS3" s="41" t="s">
        <v>477</v>
      </c>
      <c r="JT3" s="41" t="s">
        <v>478</v>
      </c>
      <c r="JU3" s="41" t="s">
        <v>479</v>
      </c>
      <c r="JV3" s="41" t="s">
        <v>491</v>
      </c>
      <c r="JW3" s="41" t="s">
        <v>55</v>
      </c>
      <c r="JX3" s="41" t="s">
        <v>56</v>
      </c>
      <c r="JY3" s="45" t="s">
        <v>57</v>
      </c>
      <c r="JZ3" s="46" t="s">
        <v>284</v>
      </c>
      <c r="KA3" s="40" t="s">
        <v>285</v>
      </c>
      <c r="KB3" s="45" t="s">
        <v>286</v>
      </c>
      <c r="KC3" s="40" t="s">
        <v>287</v>
      </c>
      <c r="KD3" s="229" t="s">
        <v>195</v>
      </c>
      <c r="KE3" s="40" t="s">
        <v>636</v>
      </c>
      <c r="KF3" s="45" t="s">
        <v>196</v>
      </c>
      <c r="KG3" s="40" t="s">
        <v>269</v>
      </c>
      <c r="KH3" s="41" t="s">
        <v>787</v>
      </c>
      <c r="KI3" s="45" t="s">
        <v>788</v>
      </c>
      <c r="KJ3" s="40" t="s">
        <v>202</v>
      </c>
      <c r="KK3" s="41" t="s">
        <v>301</v>
      </c>
      <c r="KL3" s="41" t="s">
        <v>954</v>
      </c>
      <c r="KM3" s="41" t="s">
        <v>955</v>
      </c>
      <c r="KN3" s="41" t="s">
        <v>956</v>
      </c>
      <c r="KO3" s="41" t="s">
        <v>957</v>
      </c>
      <c r="KP3" s="41" t="s">
        <v>958</v>
      </c>
      <c r="KQ3" s="45" t="s">
        <v>959</v>
      </c>
      <c r="KR3" s="40" t="s">
        <v>471</v>
      </c>
      <c r="KS3" s="41" t="s">
        <v>976</v>
      </c>
      <c r="KT3" s="41" t="s">
        <v>977</v>
      </c>
      <c r="KU3" s="41" t="s">
        <v>978</v>
      </c>
      <c r="KV3" s="41" t="s">
        <v>1007</v>
      </c>
      <c r="KW3" s="41" t="s">
        <v>960</v>
      </c>
      <c r="KX3" s="41" t="s">
        <v>961</v>
      </c>
      <c r="KY3" s="41" t="s">
        <v>962</v>
      </c>
      <c r="KZ3" s="41" t="s">
        <v>1026</v>
      </c>
      <c r="LA3" s="41" t="s">
        <v>963</v>
      </c>
      <c r="LB3" s="41" t="s">
        <v>964</v>
      </c>
      <c r="LC3" s="41" t="s">
        <v>965</v>
      </c>
      <c r="LD3" s="41" t="s">
        <v>1011</v>
      </c>
      <c r="LE3" s="41" t="s">
        <v>1012</v>
      </c>
      <c r="LF3" s="41" t="s">
        <v>1013</v>
      </c>
      <c r="LG3" s="41" t="s">
        <v>1030</v>
      </c>
      <c r="LH3" s="41" t="s">
        <v>1034</v>
      </c>
      <c r="LI3" s="41" t="s">
        <v>1035</v>
      </c>
      <c r="LJ3" s="41" t="s">
        <v>1036</v>
      </c>
      <c r="LK3" s="41" t="s">
        <v>1037</v>
      </c>
      <c r="LL3" s="41" t="s">
        <v>1038</v>
      </c>
      <c r="LM3" s="200" t="s">
        <v>1064</v>
      </c>
      <c r="LN3" s="40" t="s">
        <v>1014</v>
      </c>
      <c r="LO3" s="41" t="s">
        <v>966</v>
      </c>
      <c r="LP3" s="41" t="s">
        <v>967</v>
      </c>
      <c r="LQ3" s="41" t="s">
        <v>968</v>
      </c>
      <c r="LR3" s="41" t="s">
        <v>969</v>
      </c>
      <c r="LS3" s="41" t="s">
        <v>970</v>
      </c>
      <c r="LT3" s="41" t="s">
        <v>971</v>
      </c>
      <c r="LU3" s="41" t="s">
        <v>972</v>
      </c>
      <c r="LV3" s="41" t="s">
        <v>973</v>
      </c>
      <c r="LW3" s="41" t="s">
        <v>974</v>
      </c>
      <c r="LX3" s="41" t="s">
        <v>975</v>
      </c>
      <c r="LY3" s="41" t="s">
        <v>1015</v>
      </c>
      <c r="LZ3" s="42" t="s">
        <v>1024</v>
      </c>
      <c r="MA3" s="42" t="s">
        <v>1025</v>
      </c>
      <c r="MB3" s="41" t="s">
        <v>1018</v>
      </c>
      <c r="MC3" s="41" t="s">
        <v>1019</v>
      </c>
      <c r="MD3" s="41" t="s">
        <v>1020</v>
      </c>
      <c r="ME3" s="41" t="s">
        <v>1021</v>
      </c>
      <c r="MF3" s="41" t="s">
        <v>1022</v>
      </c>
      <c r="MG3" s="45" t="s">
        <v>1023</v>
      </c>
      <c r="MH3" s="119" t="s">
        <v>191</v>
      </c>
      <c r="MI3" s="46" t="s">
        <v>348</v>
      </c>
      <c r="MJ3" s="40" t="s">
        <v>46</v>
      </c>
      <c r="MK3" s="117" t="s">
        <v>47</v>
      </c>
      <c r="ML3" s="41" t="s">
        <v>48</v>
      </c>
      <c r="MM3" s="41" t="s">
        <v>49</v>
      </c>
      <c r="MN3" s="41" t="s">
        <v>63</v>
      </c>
      <c r="MO3" s="45" t="s">
        <v>803</v>
      </c>
      <c r="MP3" s="46" t="s">
        <v>800</v>
      </c>
      <c r="MQ3" s="40" t="s">
        <v>636</v>
      </c>
      <c r="MR3" s="41" t="s">
        <v>199</v>
      </c>
      <c r="MS3" s="41" t="s">
        <v>864</v>
      </c>
      <c r="MT3" s="45" t="s">
        <v>865</v>
      </c>
      <c r="MU3" s="40" t="s">
        <v>1429</v>
      </c>
      <c r="MV3" s="45" t="s">
        <v>198</v>
      </c>
      <c r="MW3" s="40" t="s">
        <v>1092</v>
      </c>
      <c r="MX3" s="41" t="s">
        <v>12</v>
      </c>
      <c r="MY3" s="41" t="s">
        <v>10</v>
      </c>
      <c r="MZ3" s="41" t="s">
        <v>13</v>
      </c>
      <c r="NA3" s="42" t="s">
        <v>300</v>
      </c>
      <c r="NB3" s="45" t="s">
        <v>1428</v>
      </c>
      <c r="NC3" s="40" t="s">
        <v>360</v>
      </c>
      <c r="ND3" s="233" t="s">
        <v>1426</v>
      </c>
      <c r="NE3" s="41" t="s">
        <v>1427</v>
      </c>
      <c r="NF3" s="45" t="s">
        <v>1431</v>
      </c>
    </row>
    <row r="4" spans="1:370" s="72" customFormat="1" ht="15" customHeight="1">
      <c r="A4" s="131"/>
      <c r="B4" s="132">
        <v>1</v>
      </c>
      <c r="C4" s="133" t="s">
        <v>1378</v>
      </c>
      <c r="D4" s="73" t="s">
        <v>1058</v>
      </c>
      <c r="E4" s="73" t="s">
        <v>1340</v>
      </c>
      <c r="F4" s="134" t="str">
        <f>HYPERLINK("C:\SVN\SALT ADMIN 525\Projects\SALT\Snapshots\HappyPath_SingleProduct_AUS_IN-MU-LT-J27423\2015723\151830\Iterator_1\HappyPath_SingleProduct_AUS1.xlsx","Snapshot")</f>
        <v>Snapshot</v>
      </c>
      <c r="G4" s="134" t="str">
        <f>HYPERLINK("C:\SVN\SALT ADMIN 525\Projects\SALT\Snapshots\HappyPath_SingleProduct_AUS_IN-MU-LT-J27423\2015723\151830\Iterator_1\Merge.html","Result")</f>
        <v>Result</v>
      </c>
      <c r="M4" s="72" t="s">
        <v>1168</v>
      </c>
      <c r="N4" s="72">
        <v>14</v>
      </c>
      <c r="O4" s="72">
        <v>1988</v>
      </c>
      <c r="P4" s="72" t="s">
        <v>1168</v>
      </c>
      <c r="Q4" s="72">
        <v>14</v>
      </c>
      <c r="R4" s="72">
        <v>2033</v>
      </c>
      <c r="T4" s="73" t="s">
        <v>488</v>
      </c>
      <c r="U4" s="72">
        <v>10</v>
      </c>
      <c r="V4" s="72">
        <v>2019</v>
      </c>
      <c r="BL4" s="73" t="s">
        <v>1169</v>
      </c>
      <c r="EF4" s="72">
        <v>5</v>
      </c>
      <c r="EG4" s="72" t="s">
        <v>1170</v>
      </c>
      <c r="EH4" s="72">
        <v>1988</v>
      </c>
      <c r="EI4" s="69">
        <v>1</v>
      </c>
      <c r="EJ4" s="69" t="s">
        <v>1171</v>
      </c>
      <c r="EK4" s="72">
        <v>2020</v>
      </c>
      <c r="EL4" s="73">
        <v>123</v>
      </c>
      <c r="EM4" s="72" t="s">
        <v>455</v>
      </c>
      <c r="EN4" s="72">
        <v>23456723</v>
      </c>
      <c r="EO4" s="73">
        <v>60000</v>
      </c>
      <c r="EP4" s="72" t="s">
        <v>1172</v>
      </c>
      <c r="EQ4" s="72">
        <v>10</v>
      </c>
      <c r="ER4" s="72">
        <v>2018</v>
      </c>
      <c r="EY4" s="72" t="s">
        <v>729</v>
      </c>
      <c r="GI4" s="73">
        <v>600</v>
      </c>
      <c r="GJ4" s="72">
        <v>691.09</v>
      </c>
      <c r="GK4" s="136"/>
      <c r="GL4" s="137" t="s">
        <v>1173</v>
      </c>
      <c r="GO4" s="73" t="s">
        <v>488</v>
      </c>
      <c r="GQ4" s="73" t="s">
        <v>497</v>
      </c>
      <c r="GR4" s="73" t="s">
        <v>74</v>
      </c>
      <c r="GS4" s="138"/>
      <c r="GT4" s="72">
        <v>1000</v>
      </c>
      <c r="GV4" s="139"/>
      <c r="HD4" s="135">
        <v>41758.530763888892</v>
      </c>
      <c r="HE4" s="135">
        <v>41758.535173611112</v>
      </c>
      <c r="HH4" s="140" t="s">
        <v>1175</v>
      </c>
      <c r="HI4" s="72" t="s">
        <v>435</v>
      </c>
      <c r="HJ4" s="73" t="s">
        <v>436</v>
      </c>
      <c r="HQ4" s="72" t="s">
        <v>437</v>
      </c>
      <c r="HR4" s="69" t="s">
        <v>1176</v>
      </c>
      <c r="HS4" s="69"/>
      <c r="HT4" s="69" t="s">
        <v>1176</v>
      </c>
      <c r="HU4" s="73" t="s">
        <v>441</v>
      </c>
      <c r="HV4" s="72" t="s">
        <v>442</v>
      </c>
      <c r="HW4" s="74" t="s">
        <v>466</v>
      </c>
      <c r="HX4" s="72" t="s">
        <v>78</v>
      </c>
      <c r="HY4" s="73" t="s">
        <v>440</v>
      </c>
      <c r="IA4" s="72">
        <v>123456</v>
      </c>
      <c r="IB4" s="72">
        <v>123456</v>
      </c>
      <c r="IC4" s="72">
        <v>11</v>
      </c>
      <c r="ID4" s="72" t="s">
        <v>443</v>
      </c>
      <c r="IE4" s="72">
        <v>2037</v>
      </c>
      <c r="IF4" s="72" t="s">
        <v>445</v>
      </c>
      <c r="IG4" s="73" t="s">
        <v>498</v>
      </c>
      <c r="IH4" s="73" t="s">
        <v>498</v>
      </c>
      <c r="II4" s="69" t="s">
        <v>1177</v>
      </c>
      <c r="IJ4" s="69" t="s">
        <v>1177</v>
      </c>
      <c r="IK4" s="69" t="s">
        <v>1178</v>
      </c>
      <c r="IL4" s="69" t="s">
        <v>1179</v>
      </c>
      <c r="IM4" s="69" t="s">
        <v>1180</v>
      </c>
      <c r="IN4" s="72">
        <v>4812</v>
      </c>
      <c r="IO4" s="73" t="s">
        <v>450</v>
      </c>
      <c r="IP4" s="73" t="s">
        <v>194</v>
      </c>
      <c r="IQ4" s="69" t="s">
        <v>1176</v>
      </c>
      <c r="IR4" s="69" t="s">
        <v>1176</v>
      </c>
      <c r="IS4" s="72">
        <v>108</v>
      </c>
      <c r="IT4" s="72">
        <v>10</v>
      </c>
      <c r="IU4" s="72">
        <v>2021</v>
      </c>
      <c r="IV4" s="73" t="b">
        <v>0</v>
      </c>
      <c r="IW4" s="73" t="s">
        <v>488</v>
      </c>
      <c r="IX4" s="69" t="s">
        <v>1181</v>
      </c>
      <c r="IY4" s="69" t="s">
        <v>1179</v>
      </c>
      <c r="IZ4" s="69" t="s">
        <v>1180</v>
      </c>
      <c r="JA4" s="72">
        <v>4812</v>
      </c>
      <c r="JB4" s="73" t="s">
        <v>448</v>
      </c>
      <c r="JC4" s="73" t="s">
        <v>449</v>
      </c>
      <c r="JD4" s="73">
        <v>456</v>
      </c>
      <c r="JM4" s="121"/>
      <c r="JN4" s="121"/>
      <c r="JP4" s="73" t="s">
        <v>645</v>
      </c>
      <c r="JW4" s="135">
        <v>42208.63784722222</v>
      </c>
      <c r="JX4" s="135">
        <v>42208.647893518515</v>
      </c>
      <c r="JY4" s="72" t="s">
        <v>1356</v>
      </c>
      <c r="KL4" s="141" t="s">
        <v>1184</v>
      </c>
      <c r="KM4" s="70" t="s">
        <v>1137</v>
      </c>
      <c r="KO4" s="71">
        <v>1000</v>
      </c>
      <c r="KP4" s="72" t="s">
        <v>994</v>
      </c>
      <c r="KR4" s="70" t="s">
        <v>1009</v>
      </c>
      <c r="KS4" s="218" t="s">
        <v>1353</v>
      </c>
      <c r="KV4" s="70" t="s">
        <v>1352</v>
      </c>
      <c r="KW4" s="72" t="s">
        <v>993</v>
      </c>
      <c r="KX4" s="69" t="s">
        <v>1176</v>
      </c>
      <c r="KY4" s="69" t="s">
        <v>1176</v>
      </c>
      <c r="KZ4" s="71" t="s">
        <v>652</v>
      </c>
      <c r="LA4" s="71" t="s">
        <v>652</v>
      </c>
      <c r="LB4" s="69" t="s">
        <v>1177</v>
      </c>
      <c r="LC4" s="69" t="s">
        <v>1177</v>
      </c>
      <c r="LD4" s="69" t="s">
        <v>1178</v>
      </c>
      <c r="LE4" s="69" t="s">
        <v>1179</v>
      </c>
      <c r="LF4" s="69" t="s">
        <v>1180</v>
      </c>
      <c r="LH4" s="69" t="s">
        <v>1186</v>
      </c>
      <c r="LI4" s="69" t="s">
        <v>1179</v>
      </c>
      <c r="LJ4" s="69" t="s">
        <v>1180</v>
      </c>
      <c r="LK4" s="70"/>
      <c r="LL4" s="72">
        <v>4812</v>
      </c>
      <c r="LM4" s="143" t="str">
        <f>HYPERLINK("C:\SVN\SALT ADMIN 525\Projects\SALT\Snapshots\HappyPath_SingleProduct_AUS_IN-MU-LT-J27201\2015630\183743\Iterator_1\HappyPath_SingleProduct_AUS1.xlsx","Snapshot")</f>
        <v>Snapshot</v>
      </c>
      <c r="LN4" s="72">
        <v>4812</v>
      </c>
      <c r="LO4" s="72">
        <v>23</v>
      </c>
      <c r="LP4" s="72" t="s">
        <v>1338</v>
      </c>
      <c r="LQ4" s="142" t="s">
        <v>1185</v>
      </c>
      <c r="LR4" s="73" t="s">
        <v>194</v>
      </c>
      <c r="LS4" s="70">
        <v>10</v>
      </c>
      <c r="LT4" s="70">
        <v>2016</v>
      </c>
      <c r="LU4" s="72">
        <v>222</v>
      </c>
      <c r="LV4" s="72">
        <v>15</v>
      </c>
      <c r="LW4" s="72" t="s">
        <v>459</v>
      </c>
      <c r="LX4" s="72">
        <v>1980</v>
      </c>
      <c r="LY4" s="70" t="b">
        <v>0</v>
      </c>
      <c r="LZ4" s="70" t="s">
        <v>78</v>
      </c>
      <c r="MA4" s="70" t="s">
        <v>474</v>
      </c>
      <c r="MB4" s="70">
        <v>111111</v>
      </c>
      <c r="MC4" s="70">
        <v>111111</v>
      </c>
      <c r="MD4" s="70">
        <v>18</v>
      </c>
      <c r="ME4" s="70" t="s">
        <v>443</v>
      </c>
      <c r="MF4" s="70">
        <v>2016</v>
      </c>
      <c r="MG4" s="70" t="s">
        <v>1027</v>
      </c>
      <c r="MH4" s="69" t="s">
        <v>1355</v>
      </c>
      <c r="MI4" s="139" t="s">
        <v>1354</v>
      </c>
      <c r="MO4" s="72" t="s">
        <v>1174</v>
      </c>
      <c r="MP4" s="111" t="s">
        <v>1076</v>
      </c>
      <c r="MQ4" s="72" t="s">
        <v>462</v>
      </c>
      <c r="MR4" s="72" t="s">
        <v>1182</v>
      </c>
      <c r="MW4" s="224" t="s">
        <v>1183</v>
      </c>
      <c r="MX4" s="72" t="s">
        <v>58</v>
      </c>
      <c r="MY4" s="111" t="s">
        <v>1076</v>
      </c>
      <c r="MZ4" s="72" t="s">
        <v>22</v>
      </c>
      <c r="NA4" s="71" t="s">
        <v>1341</v>
      </c>
      <c r="NC4" s="140" t="s">
        <v>1117</v>
      </c>
      <c r="ND4" s="144" t="str">
        <f>HYPERLINK("C:\SVN\SALT ADMIN 525\Projects\SALT\Snapshots\HappyPath_SingleProduct_AUS_IN-MU-LT-J27201\2015630\183743\Iterator_1\Merge.html","Result")</f>
        <v>Result</v>
      </c>
      <c r="NE4" s="70" t="s">
        <v>1058</v>
      </c>
    </row>
    <row r="5" spans="1:370" s="72" customFormat="1" ht="15" customHeight="1">
      <c r="A5" s="131"/>
      <c r="B5" s="132">
        <v>2</v>
      </c>
      <c r="C5" s="133" t="s">
        <v>1378</v>
      </c>
      <c r="D5" s="72" t="s">
        <v>1058</v>
      </c>
      <c r="E5" s="72" t="s">
        <v>1340</v>
      </c>
      <c r="F5" s="134" t="str">
        <f>HYPERLINK("C:\SVN\SALT ADMIN 525\Projects\SALT\Snapshots\HappyPath_SingleProduct_UK_IN-MU-LT-J27423\2015727\163752\Iterator_2\HappyPath_SingleProduct_UK2.xlsx","Snapshot")</f>
        <v>Snapshot</v>
      </c>
      <c r="G5" s="134" t="str">
        <f>HYPERLINK("C:\SVN\SALT ADMIN 525\Projects\SALT\Snapshots\HappyPath_SingleProduct_UK_IN-MU-LT-J27423\2015727\163752\Iterator_2\Merge.html","Result")</f>
        <v>Result</v>
      </c>
      <c r="M5" s="72" t="s">
        <v>1187</v>
      </c>
      <c r="N5" s="72">
        <v>9</v>
      </c>
      <c r="O5" s="72">
        <v>1987</v>
      </c>
      <c r="P5" s="72" t="s">
        <v>1187</v>
      </c>
      <c r="Q5" s="72">
        <v>9</v>
      </c>
      <c r="R5" s="72">
        <v>2028</v>
      </c>
      <c r="T5" s="73" t="s">
        <v>488</v>
      </c>
      <c r="U5" s="72">
        <v>10</v>
      </c>
      <c r="V5" s="72">
        <v>2020</v>
      </c>
      <c r="BL5" s="73" t="s">
        <v>1169</v>
      </c>
      <c r="EF5" s="72">
        <v>6</v>
      </c>
      <c r="EG5" s="72" t="s">
        <v>1170</v>
      </c>
      <c r="EH5" s="72">
        <v>1988</v>
      </c>
      <c r="EI5" s="69">
        <v>8</v>
      </c>
      <c r="EJ5" s="69" t="s">
        <v>1188</v>
      </c>
      <c r="EK5" s="72">
        <v>2027</v>
      </c>
      <c r="EL5" s="73">
        <v>456</v>
      </c>
      <c r="EM5" s="72" t="s">
        <v>446</v>
      </c>
      <c r="EN5" s="72">
        <v>23456723</v>
      </c>
      <c r="EO5" s="73">
        <v>60000</v>
      </c>
      <c r="EP5" s="72" t="s">
        <v>1172</v>
      </c>
      <c r="EQ5" s="72">
        <v>10</v>
      </c>
      <c r="ER5" s="72">
        <v>2018</v>
      </c>
      <c r="EY5" s="73" t="s">
        <v>1189</v>
      </c>
      <c r="GI5" s="72">
        <v>410</v>
      </c>
      <c r="GJ5" s="139">
        <v>655.48</v>
      </c>
      <c r="GK5" s="136"/>
      <c r="GL5" s="137" t="s">
        <v>1173</v>
      </c>
      <c r="GO5" s="73" t="s">
        <v>488</v>
      </c>
      <c r="GQ5" s="73" t="s">
        <v>497</v>
      </c>
      <c r="GR5" s="73" t="s">
        <v>1190</v>
      </c>
      <c r="GS5" s="138"/>
      <c r="GT5" s="72">
        <v>800</v>
      </c>
      <c r="HD5" s="135">
        <v>41758.535266203704</v>
      </c>
      <c r="HE5" s="135">
        <v>41758.540138888886</v>
      </c>
      <c r="HH5" s="140" t="s">
        <v>1175</v>
      </c>
      <c r="HI5" s="72" t="s">
        <v>435</v>
      </c>
      <c r="HJ5" s="73" t="s">
        <v>436</v>
      </c>
      <c r="HO5" s="139"/>
      <c r="HQ5" s="72" t="s">
        <v>437</v>
      </c>
      <c r="HR5" s="72" t="s">
        <v>292</v>
      </c>
      <c r="HS5" s="72" t="s">
        <v>444</v>
      </c>
      <c r="HT5" s="72" t="s">
        <v>292</v>
      </c>
      <c r="HU5" s="73" t="s">
        <v>441</v>
      </c>
      <c r="HV5" s="72" t="s">
        <v>442</v>
      </c>
      <c r="HW5" s="74" t="s">
        <v>466</v>
      </c>
      <c r="HX5" s="72" t="s">
        <v>78</v>
      </c>
      <c r="HY5" s="73" t="s">
        <v>1111</v>
      </c>
      <c r="IA5" s="72">
        <v>123456</v>
      </c>
      <c r="IB5" s="72">
        <v>123456</v>
      </c>
      <c r="IC5" s="72">
        <v>11</v>
      </c>
      <c r="ID5" s="72" t="s">
        <v>443</v>
      </c>
      <c r="IE5" s="72">
        <v>2037</v>
      </c>
      <c r="IF5" s="72" t="s">
        <v>445</v>
      </c>
      <c r="IG5" s="73" t="s">
        <v>498</v>
      </c>
      <c r="IH5" s="73" t="s">
        <v>498</v>
      </c>
      <c r="II5" s="145" t="s">
        <v>1192</v>
      </c>
      <c r="IJ5" s="145" t="s">
        <v>1192</v>
      </c>
      <c r="IK5" s="72" t="s">
        <v>446</v>
      </c>
      <c r="IL5" s="72" t="s">
        <v>499</v>
      </c>
      <c r="IM5" s="72" t="s">
        <v>499</v>
      </c>
      <c r="IN5" s="73" t="s">
        <v>485</v>
      </c>
      <c r="IO5" s="73" t="s">
        <v>450</v>
      </c>
      <c r="IP5" s="73" t="s">
        <v>194</v>
      </c>
      <c r="IR5" s="72" t="s">
        <v>464</v>
      </c>
      <c r="IS5" s="72">
        <v>108</v>
      </c>
      <c r="IT5" s="72">
        <v>10</v>
      </c>
      <c r="IU5" s="72">
        <v>2021</v>
      </c>
      <c r="IV5" s="73" t="b">
        <v>0</v>
      </c>
      <c r="IW5" s="73" t="s">
        <v>488</v>
      </c>
      <c r="IX5" s="73" t="s">
        <v>741</v>
      </c>
      <c r="IY5" s="73" t="s">
        <v>741</v>
      </c>
      <c r="IZ5" s="73" t="s">
        <v>741</v>
      </c>
      <c r="JA5" s="72">
        <v>1234</v>
      </c>
      <c r="JB5" s="73" t="s">
        <v>448</v>
      </c>
      <c r="JC5" s="73" t="s">
        <v>449</v>
      </c>
      <c r="JD5" s="73">
        <v>546</v>
      </c>
      <c r="JM5" s="121"/>
      <c r="JN5" s="121"/>
      <c r="JP5" s="73" t="s">
        <v>645</v>
      </c>
      <c r="JW5" s="135">
        <v>42212.692962962959</v>
      </c>
      <c r="JX5" s="135">
        <v>42212.695011574076</v>
      </c>
      <c r="JY5" s="72" t="s">
        <v>1382</v>
      </c>
      <c r="KL5" s="141" t="s">
        <v>1184</v>
      </c>
      <c r="KM5" s="70" t="s">
        <v>74</v>
      </c>
      <c r="KO5" s="71">
        <v>1000</v>
      </c>
      <c r="KP5" s="72" t="s">
        <v>994</v>
      </c>
      <c r="KR5" s="70" t="s">
        <v>1009</v>
      </c>
      <c r="KS5" s="218" t="s">
        <v>1353</v>
      </c>
      <c r="KV5" s="70" t="s">
        <v>1352</v>
      </c>
      <c r="KW5" s="72" t="s">
        <v>993</v>
      </c>
      <c r="KX5" s="69" t="s">
        <v>1176</v>
      </c>
      <c r="KY5" s="69" t="s">
        <v>1176</v>
      </c>
      <c r="KZ5" s="71" t="s">
        <v>652</v>
      </c>
      <c r="LA5" s="71" t="s">
        <v>652</v>
      </c>
      <c r="LB5" s="145" t="s">
        <v>1192</v>
      </c>
      <c r="LC5" s="145" t="s">
        <v>1192</v>
      </c>
      <c r="LD5" s="69" t="s">
        <v>1178</v>
      </c>
      <c r="LE5" s="69" t="s">
        <v>1179</v>
      </c>
      <c r="LF5" s="69" t="s">
        <v>1180</v>
      </c>
      <c r="LH5" s="69" t="s">
        <v>1186</v>
      </c>
      <c r="LI5" s="69" t="s">
        <v>1179</v>
      </c>
      <c r="LJ5" s="69" t="s">
        <v>1180</v>
      </c>
      <c r="LK5" s="70"/>
      <c r="LL5" s="72">
        <v>4812</v>
      </c>
      <c r="LM5" s="144" t="str">
        <f>HYPERLINK("C:\SVN\SALT ADMIN 525\Projects\SALT\Snapshots\HappyPath_SingleProduct_AUS_IN-MU-LT-J27201\2015630\182358\Iterator_2\HappyPath_SingleProduct_AUS2.xlsx","Snapshot")</f>
        <v>Snapshot</v>
      </c>
      <c r="LN5" s="72">
        <v>4812</v>
      </c>
      <c r="LO5" s="72">
        <v>23</v>
      </c>
      <c r="LP5" s="72" t="s">
        <v>1338</v>
      </c>
      <c r="LQ5" s="142" t="s">
        <v>1185</v>
      </c>
      <c r="LR5" s="73" t="s">
        <v>194</v>
      </c>
      <c r="LS5" s="70">
        <v>10</v>
      </c>
      <c r="LT5" s="70">
        <v>2016</v>
      </c>
      <c r="LU5" s="72">
        <v>222</v>
      </c>
      <c r="LV5" s="72">
        <v>15</v>
      </c>
      <c r="LW5" s="72" t="s">
        <v>459</v>
      </c>
      <c r="LX5" s="72">
        <v>1980</v>
      </c>
      <c r="LY5" s="70" t="b">
        <v>0</v>
      </c>
      <c r="LZ5" s="70" t="s">
        <v>78</v>
      </c>
      <c r="MA5" s="70" t="s">
        <v>474</v>
      </c>
      <c r="MB5" s="70">
        <v>111111</v>
      </c>
      <c r="MC5" s="70">
        <v>111111</v>
      </c>
      <c r="MD5" s="70">
        <v>18</v>
      </c>
      <c r="ME5" s="70" t="s">
        <v>443</v>
      </c>
      <c r="MF5" s="70">
        <v>2016</v>
      </c>
      <c r="MG5" s="70" t="s">
        <v>1027</v>
      </c>
      <c r="MH5" s="70" t="s">
        <v>1381</v>
      </c>
      <c r="MI5" s="139" t="s">
        <v>1357</v>
      </c>
      <c r="MO5" s="72" t="s">
        <v>1191</v>
      </c>
      <c r="MP5" s="115" t="s">
        <v>1076</v>
      </c>
      <c r="MQ5" s="72" t="s">
        <v>462</v>
      </c>
      <c r="MR5" s="72" t="s">
        <v>1182</v>
      </c>
      <c r="MW5" s="224" t="s">
        <v>1183</v>
      </c>
      <c r="MX5" s="72" t="s">
        <v>58</v>
      </c>
      <c r="MY5" s="115" t="s">
        <v>1076</v>
      </c>
      <c r="MZ5" s="72" t="s">
        <v>22</v>
      </c>
      <c r="NA5" s="71" t="s">
        <v>1341</v>
      </c>
      <c r="NC5" s="140" t="s">
        <v>1117</v>
      </c>
      <c r="ND5" s="144" t="str">
        <f>HYPERLINK("C:\SVN\SALT ADMIN 525\Projects\SALT\Snapshots\HappyPath_SingleProduct_AUS_IN-MU-LT-J27201\2015630\182358\Iterator_2\Merge.html","Result")</f>
        <v>Result</v>
      </c>
      <c r="NE5" s="72" t="s">
        <v>1058</v>
      </c>
    </row>
    <row r="6" spans="1:370" s="72" customFormat="1" ht="15" customHeight="1">
      <c r="A6" s="131"/>
      <c r="B6" s="132">
        <v>3</v>
      </c>
      <c r="C6" s="133" t="s">
        <v>1378</v>
      </c>
      <c r="D6" s="72" t="s">
        <v>1058</v>
      </c>
      <c r="E6" s="72" t="s">
        <v>1340</v>
      </c>
      <c r="F6" s="134" t="str">
        <f>HYPERLINK("C:\SVN\SALT ADMIN 525\Projects\SALT\Snapshots\HappyPath_SingleProduct_UK_IN-MU-LT-J27423\2015727\194233\Iterator_3\HappyPath_SingleProduct_UK3.xlsx","Snapshot")</f>
        <v>Snapshot</v>
      </c>
      <c r="G6" s="134" t="str">
        <f>HYPERLINK("C:\SVN\SALT ADMIN 525\Projects\SALT\Snapshots\HappyPath_SingleProduct_UK_IN-MU-LT-J27423\2015727\194233\Iterator_3\Merge.html","Result")</f>
        <v>Result</v>
      </c>
      <c r="M6" s="72" t="s">
        <v>1187</v>
      </c>
      <c r="N6" s="72">
        <v>9</v>
      </c>
      <c r="O6" s="72">
        <v>1987</v>
      </c>
      <c r="P6" s="72" t="s">
        <v>1187</v>
      </c>
      <c r="Q6" s="72">
        <v>9</v>
      </c>
      <c r="R6" s="72">
        <v>2028</v>
      </c>
      <c r="T6" s="73" t="s">
        <v>488</v>
      </c>
      <c r="U6" s="72">
        <v>10</v>
      </c>
      <c r="V6" s="72">
        <v>2020</v>
      </c>
      <c r="BL6" s="73" t="s">
        <v>1169</v>
      </c>
      <c r="EF6" s="72">
        <v>8</v>
      </c>
      <c r="EG6" s="72" t="s">
        <v>1170</v>
      </c>
      <c r="EH6" s="72">
        <v>1988</v>
      </c>
      <c r="EI6" s="69">
        <v>9</v>
      </c>
      <c r="EJ6" s="69" t="s">
        <v>1195</v>
      </c>
      <c r="EK6" s="72">
        <v>2028</v>
      </c>
      <c r="EL6" s="73">
        <v>546</v>
      </c>
      <c r="EM6" s="72" t="s">
        <v>446</v>
      </c>
      <c r="EN6" s="72">
        <v>23456723</v>
      </c>
      <c r="EO6" s="73">
        <v>60000</v>
      </c>
      <c r="EP6" s="72" t="s">
        <v>1172</v>
      </c>
      <c r="EQ6" s="72">
        <v>10</v>
      </c>
      <c r="ER6" s="72">
        <v>2018</v>
      </c>
      <c r="EY6" s="73" t="s">
        <v>1189</v>
      </c>
      <c r="GI6" s="72">
        <v>600</v>
      </c>
      <c r="GJ6" s="139">
        <v>674.99</v>
      </c>
      <c r="GK6" s="136"/>
      <c r="GL6" s="137" t="s">
        <v>1173</v>
      </c>
      <c r="GO6" s="73" t="s">
        <v>488</v>
      </c>
      <c r="GQ6" s="73" t="s">
        <v>497</v>
      </c>
      <c r="GR6" s="73" t="s">
        <v>463</v>
      </c>
      <c r="GS6" s="138"/>
      <c r="GT6" s="72">
        <v>900</v>
      </c>
      <c r="GV6" s="139"/>
      <c r="HD6" s="135">
        <v>41757.952361111114</v>
      </c>
      <c r="HE6" s="135">
        <v>41757.956608796296</v>
      </c>
      <c r="HH6" s="140" t="s">
        <v>1175</v>
      </c>
      <c r="HI6" s="72" t="s">
        <v>435</v>
      </c>
      <c r="HJ6" s="73" t="s">
        <v>436</v>
      </c>
      <c r="HO6" s="139"/>
      <c r="HQ6" s="72" t="s">
        <v>437</v>
      </c>
      <c r="HR6" s="72" t="s">
        <v>1194</v>
      </c>
      <c r="HS6" s="72" t="s">
        <v>444</v>
      </c>
      <c r="HT6" s="72" t="s">
        <v>464</v>
      </c>
      <c r="HU6" s="73" t="s">
        <v>441</v>
      </c>
      <c r="HV6" s="72" t="s">
        <v>442</v>
      </c>
      <c r="HW6" s="74" t="s">
        <v>466</v>
      </c>
      <c r="HX6" s="72" t="s">
        <v>78</v>
      </c>
      <c r="HY6" s="73" t="s">
        <v>1111</v>
      </c>
      <c r="IA6" s="72">
        <v>123456</v>
      </c>
      <c r="IB6" s="72">
        <v>123456</v>
      </c>
      <c r="IC6" s="72">
        <v>11</v>
      </c>
      <c r="ID6" s="72" t="s">
        <v>443</v>
      </c>
      <c r="IE6" s="72">
        <v>2037</v>
      </c>
      <c r="IF6" s="72" t="s">
        <v>445</v>
      </c>
      <c r="IG6" s="73" t="s">
        <v>498</v>
      </c>
      <c r="IH6" s="73" t="s">
        <v>498</v>
      </c>
      <c r="II6" s="145" t="s">
        <v>1192</v>
      </c>
      <c r="IJ6" s="145" t="s">
        <v>1192</v>
      </c>
      <c r="IK6" s="72" t="s">
        <v>446</v>
      </c>
      <c r="IL6" s="72" t="s">
        <v>499</v>
      </c>
      <c r="IM6" s="72" t="s">
        <v>499</v>
      </c>
      <c r="IN6" s="73" t="s">
        <v>485</v>
      </c>
      <c r="IO6" s="73" t="s">
        <v>450</v>
      </c>
      <c r="IP6" s="73" t="s">
        <v>194</v>
      </c>
      <c r="IR6" s="72" t="s">
        <v>464</v>
      </c>
      <c r="IS6" s="72">
        <v>108</v>
      </c>
      <c r="IT6" s="72">
        <v>10</v>
      </c>
      <c r="IU6" s="72">
        <v>2021</v>
      </c>
      <c r="IV6" s="73" t="s">
        <v>449</v>
      </c>
      <c r="IW6" s="73" t="s">
        <v>488</v>
      </c>
      <c r="IX6" s="73"/>
      <c r="IY6" s="73"/>
      <c r="IZ6" s="73"/>
      <c r="JB6" s="73" t="s">
        <v>448</v>
      </c>
      <c r="JC6" s="73" t="s">
        <v>449</v>
      </c>
      <c r="JD6" s="73">
        <v>546</v>
      </c>
      <c r="JM6" s="121"/>
      <c r="JN6" s="121"/>
      <c r="JP6" s="73" t="s">
        <v>645</v>
      </c>
      <c r="JW6" s="135">
        <v>42212.821215277778</v>
      </c>
      <c r="JX6" s="135">
        <v>42212.823900462965</v>
      </c>
      <c r="JY6" s="72" t="s">
        <v>1385</v>
      </c>
      <c r="KL6" s="141" t="s">
        <v>1184</v>
      </c>
      <c r="KM6" s="70" t="s">
        <v>74</v>
      </c>
      <c r="KO6" s="71">
        <v>1000</v>
      </c>
      <c r="KP6" s="72" t="s">
        <v>994</v>
      </c>
      <c r="KR6" s="70" t="s">
        <v>1009</v>
      </c>
      <c r="KS6" s="218" t="s">
        <v>1353</v>
      </c>
      <c r="KV6" s="70" t="s">
        <v>1352</v>
      </c>
      <c r="KW6" s="72" t="s">
        <v>993</v>
      </c>
      <c r="KX6" s="72" t="s">
        <v>1194</v>
      </c>
      <c r="KY6" s="72" t="s">
        <v>464</v>
      </c>
      <c r="KZ6" s="71" t="s">
        <v>652</v>
      </c>
      <c r="LA6" s="71" t="s">
        <v>652</v>
      </c>
      <c r="LB6" s="145" t="s">
        <v>1192</v>
      </c>
      <c r="LC6" s="145" t="s">
        <v>1192</v>
      </c>
      <c r="LD6" s="70" t="s">
        <v>741</v>
      </c>
      <c r="LE6" s="70" t="s">
        <v>741</v>
      </c>
      <c r="LF6" s="70" t="s">
        <v>741</v>
      </c>
      <c r="LM6" s="144" t="str">
        <f>HYPERLINK("C:\SVN\SALT ADMIN 525\Projects\SALT\Snapshots\HappyPath_SingleProduct_AUS_IN-MU-LT-J27201\201571\154636\Iterator_3\HappyPath_SingleProduct_AUS3.xlsx","Snapshot")</f>
        <v>Snapshot</v>
      </c>
      <c r="LN6" s="72">
        <v>4812</v>
      </c>
      <c r="LO6" s="72">
        <v>23</v>
      </c>
      <c r="LP6" s="72" t="s">
        <v>1338</v>
      </c>
      <c r="LQ6" s="142" t="s">
        <v>1185</v>
      </c>
      <c r="LR6" s="73" t="s">
        <v>194</v>
      </c>
      <c r="LS6" s="70">
        <v>10</v>
      </c>
      <c r="LT6" s="70">
        <v>2016</v>
      </c>
      <c r="LU6" s="72">
        <v>222</v>
      </c>
      <c r="LV6" s="72">
        <v>15</v>
      </c>
      <c r="LW6" s="72" t="s">
        <v>459</v>
      </c>
      <c r="LX6" s="72">
        <v>1980</v>
      </c>
      <c r="LY6" s="70" t="b">
        <v>1</v>
      </c>
      <c r="LZ6" s="70" t="s">
        <v>78</v>
      </c>
      <c r="MA6" s="70" t="s">
        <v>474</v>
      </c>
      <c r="MB6" s="70">
        <v>111111</v>
      </c>
      <c r="MC6" s="70">
        <v>111111</v>
      </c>
      <c r="MD6" s="70">
        <v>18</v>
      </c>
      <c r="ME6" s="70" t="s">
        <v>443</v>
      </c>
      <c r="MF6" s="70">
        <v>2016</v>
      </c>
      <c r="MG6" s="70" t="s">
        <v>1027</v>
      </c>
      <c r="MH6" s="73" t="s">
        <v>1384</v>
      </c>
      <c r="MI6" s="139" t="s">
        <v>1357</v>
      </c>
      <c r="MN6" s="73"/>
      <c r="MO6" s="72" t="s">
        <v>1196</v>
      </c>
      <c r="MP6" s="115" t="s">
        <v>1076</v>
      </c>
      <c r="MQ6" s="72" t="s">
        <v>462</v>
      </c>
      <c r="MR6" s="72" t="s">
        <v>1182</v>
      </c>
      <c r="MW6" s="139" t="s">
        <v>1193</v>
      </c>
      <c r="MX6" s="72" t="s">
        <v>58</v>
      </c>
      <c r="MY6" s="115" t="s">
        <v>1076</v>
      </c>
      <c r="MZ6" s="72" t="s">
        <v>22</v>
      </c>
      <c r="NA6" s="71" t="s">
        <v>1341</v>
      </c>
      <c r="NC6" s="140" t="s">
        <v>1117</v>
      </c>
      <c r="ND6" s="144" t="str">
        <f>HYPERLINK("C:\SVN\SALT ADMIN 525\Projects\SALT\Snapshots\HappyPath_SingleProduct_AUS_IN-MU-LT-J27201\201571\154636\Iterator_3\Merge.html","Result")</f>
        <v>Result</v>
      </c>
      <c r="NE6" s="72" t="s">
        <v>1058</v>
      </c>
    </row>
    <row r="7" spans="1:370" s="72" customFormat="1" ht="15" customHeight="1">
      <c r="A7" s="131"/>
      <c r="B7" s="132">
        <v>4</v>
      </c>
      <c r="C7" s="133" t="s">
        <v>1378</v>
      </c>
      <c r="D7" s="72" t="s">
        <v>1058</v>
      </c>
      <c r="E7" s="72" t="s">
        <v>1340</v>
      </c>
      <c r="F7" s="134" t="str">
        <f>HYPERLINK("C:\SVN\SALT ADMIN 525\Projects\SALT\Snapshots\HappyPath_SingleProduct_UK_IN-MU-LT-J27423\2015728\14307\Iterator_4\HappyPath_SingleProduct_UK4.xlsx","Snapshot")</f>
        <v>Snapshot</v>
      </c>
      <c r="G7" s="134" t="str">
        <f>HYPERLINK("C:\SVN\SALT ADMIN 525\Projects\SALT\Snapshots\HappyPath_SingleProduct_UK_IN-MU-LT-J27423\2015728\14307\Iterator_4\Merge.html","Result")</f>
        <v>Result</v>
      </c>
      <c r="M7" s="72" t="s">
        <v>443</v>
      </c>
      <c r="N7" s="72">
        <v>10</v>
      </c>
      <c r="O7" s="72">
        <v>1988</v>
      </c>
      <c r="P7" s="72" t="s">
        <v>443</v>
      </c>
      <c r="Q7" s="72">
        <v>10</v>
      </c>
      <c r="R7" s="72">
        <v>2029</v>
      </c>
      <c r="T7" s="73" t="s">
        <v>488</v>
      </c>
      <c r="U7" s="72">
        <v>10</v>
      </c>
      <c r="V7" s="72">
        <v>2021</v>
      </c>
      <c r="BL7" s="73" t="s">
        <v>1169</v>
      </c>
      <c r="EF7" s="72">
        <v>3</v>
      </c>
      <c r="EG7" s="72" t="s">
        <v>1170</v>
      </c>
      <c r="EH7" s="72">
        <v>1988</v>
      </c>
      <c r="EI7" s="69">
        <v>1</v>
      </c>
      <c r="EJ7" s="69" t="s">
        <v>1171</v>
      </c>
      <c r="EK7" s="72">
        <v>2020</v>
      </c>
      <c r="EL7" s="73">
        <v>123</v>
      </c>
      <c r="EM7" s="72" t="s">
        <v>446</v>
      </c>
      <c r="EN7" s="72">
        <v>23456723</v>
      </c>
      <c r="EO7" s="73">
        <v>60000</v>
      </c>
      <c r="EP7" s="72" t="s">
        <v>1172</v>
      </c>
      <c r="EQ7" s="72">
        <v>10</v>
      </c>
      <c r="ER7" s="72">
        <v>2018</v>
      </c>
      <c r="EY7" s="73" t="s">
        <v>74</v>
      </c>
      <c r="GI7" s="72">
        <v>440</v>
      </c>
      <c r="GJ7" s="139">
        <v>703.44</v>
      </c>
      <c r="GK7" s="136"/>
      <c r="GL7" s="137" t="s">
        <v>1173</v>
      </c>
      <c r="GO7" s="73" t="s">
        <v>488</v>
      </c>
      <c r="GQ7" s="73" t="s">
        <v>497</v>
      </c>
      <c r="GR7" s="73" t="s">
        <v>69</v>
      </c>
      <c r="GS7" s="138"/>
      <c r="GT7" s="72">
        <v>1200</v>
      </c>
      <c r="GV7" s="139"/>
      <c r="HD7" s="135">
        <v>41757.956655092596</v>
      </c>
      <c r="HE7" s="135">
        <v>41757.960833333331</v>
      </c>
      <c r="HH7" s="140" t="s">
        <v>1175</v>
      </c>
      <c r="HI7" s="72" t="s">
        <v>435</v>
      </c>
      <c r="HJ7" s="73" t="s">
        <v>436</v>
      </c>
      <c r="HO7" s="139"/>
      <c r="HQ7" s="72" t="s">
        <v>437</v>
      </c>
      <c r="HR7" s="72" t="s">
        <v>464</v>
      </c>
      <c r="HS7" s="72" t="s">
        <v>444</v>
      </c>
      <c r="HT7" s="72" t="s">
        <v>1197</v>
      </c>
      <c r="HU7" s="73" t="s">
        <v>441</v>
      </c>
      <c r="HV7" s="72" t="s">
        <v>442</v>
      </c>
      <c r="HW7" s="74" t="s">
        <v>1198</v>
      </c>
      <c r="HX7" s="72" t="s">
        <v>78</v>
      </c>
      <c r="HY7" s="73" t="s">
        <v>1111</v>
      </c>
      <c r="IA7" s="72">
        <v>123456</v>
      </c>
      <c r="IB7" s="72">
        <v>123456</v>
      </c>
      <c r="IC7" s="72">
        <v>11</v>
      </c>
      <c r="ID7" s="72" t="s">
        <v>443</v>
      </c>
      <c r="IE7" s="72">
        <v>2037</v>
      </c>
      <c r="IF7" s="72" t="s">
        <v>445</v>
      </c>
      <c r="IG7" s="73" t="s">
        <v>498</v>
      </c>
      <c r="IH7" s="73" t="s">
        <v>498</v>
      </c>
      <c r="II7" s="145" t="s">
        <v>1192</v>
      </c>
      <c r="IJ7" s="145" t="s">
        <v>1192</v>
      </c>
      <c r="IK7" s="72" t="s">
        <v>446</v>
      </c>
      <c r="IL7" s="72" t="s">
        <v>499</v>
      </c>
      <c r="IM7" s="72" t="s">
        <v>499</v>
      </c>
      <c r="IN7" s="73" t="s">
        <v>485</v>
      </c>
      <c r="IO7" s="73" t="s">
        <v>450</v>
      </c>
      <c r="IP7" s="73" t="s">
        <v>194</v>
      </c>
      <c r="IR7" s="72" t="s">
        <v>439</v>
      </c>
      <c r="IS7" s="72">
        <v>108</v>
      </c>
      <c r="IT7" s="72">
        <v>10</v>
      </c>
      <c r="IU7" s="72">
        <v>2021</v>
      </c>
      <c r="IV7" s="73" t="s">
        <v>449</v>
      </c>
      <c r="IW7" s="73" t="s">
        <v>488</v>
      </c>
      <c r="IX7" s="73"/>
      <c r="IY7" s="73"/>
      <c r="IZ7" s="73"/>
      <c r="JB7" s="73" t="s">
        <v>448</v>
      </c>
      <c r="JC7" s="73" t="s">
        <v>449</v>
      </c>
      <c r="JD7" s="73">
        <v>123</v>
      </c>
      <c r="JM7" s="121"/>
      <c r="JN7" s="121"/>
      <c r="JP7" s="73" t="s">
        <v>645</v>
      </c>
      <c r="JW7" s="135">
        <v>42213.604247685187</v>
      </c>
      <c r="JX7" s="135">
        <v>42213.607627314814</v>
      </c>
      <c r="JY7" s="72" t="s">
        <v>1388</v>
      </c>
      <c r="KL7" s="141" t="s">
        <v>1184</v>
      </c>
      <c r="KM7" s="70" t="s">
        <v>74</v>
      </c>
      <c r="KO7" s="71">
        <v>1000</v>
      </c>
      <c r="KP7" s="72" t="s">
        <v>994</v>
      </c>
      <c r="KR7" s="70" t="s">
        <v>1009</v>
      </c>
      <c r="KS7" s="218" t="s">
        <v>1353</v>
      </c>
      <c r="KV7" s="70" t="s">
        <v>1352</v>
      </c>
      <c r="KW7" s="72" t="s">
        <v>993</v>
      </c>
      <c r="KX7" s="72" t="s">
        <v>464</v>
      </c>
      <c r="KY7" s="72" t="s">
        <v>1197</v>
      </c>
      <c r="KZ7" s="71" t="s">
        <v>652</v>
      </c>
      <c r="LA7" s="71" t="s">
        <v>652</v>
      </c>
      <c r="LB7" s="145" t="s">
        <v>1192</v>
      </c>
      <c r="LC7" s="145" t="s">
        <v>1192</v>
      </c>
      <c r="LD7" s="70" t="s">
        <v>741</v>
      </c>
      <c r="LE7" s="70" t="s">
        <v>741</v>
      </c>
      <c r="LF7" s="70" t="s">
        <v>741</v>
      </c>
      <c r="LM7" s="144" t="str">
        <f>HYPERLINK("C:\SVN\SALT ADMIN 525\Projects\SALT\Snapshots\HappyPath_SingleProduct_AUS_IN-MU-LT-J27201\201571\154922\Iterator_4\HappyPath_SingleProduct_AUS4.xlsx","Snapshot")</f>
        <v>Snapshot</v>
      </c>
      <c r="LN7" s="72">
        <v>4812</v>
      </c>
      <c r="LO7" s="72">
        <v>23</v>
      </c>
      <c r="LP7" s="72" t="s">
        <v>1338</v>
      </c>
      <c r="LQ7" s="142" t="s">
        <v>1185</v>
      </c>
      <c r="LR7" s="73" t="s">
        <v>194</v>
      </c>
      <c r="LS7" s="70">
        <v>10</v>
      </c>
      <c r="LT7" s="70">
        <v>2016</v>
      </c>
      <c r="LU7" s="72">
        <v>222</v>
      </c>
      <c r="LV7" s="72">
        <v>15</v>
      </c>
      <c r="LW7" s="72" t="s">
        <v>459</v>
      </c>
      <c r="LX7" s="72">
        <v>1980</v>
      </c>
      <c r="LY7" s="70" t="b">
        <v>1</v>
      </c>
      <c r="LZ7" s="70" t="s">
        <v>78</v>
      </c>
      <c r="MA7" s="70" t="s">
        <v>474</v>
      </c>
      <c r="MB7" s="70">
        <v>111111</v>
      </c>
      <c r="MC7" s="70">
        <v>111111</v>
      </c>
      <c r="MD7" s="70">
        <v>18</v>
      </c>
      <c r="ME7" s="70" t="s">
        <v>443</v>
      </c>
      <c r="MF7" s="70">
        <v>2016</v>
      </c>
      <c r="MG7" s="70" t="s">
        <v>1027</v>
      </c>
      <c r="MH7" s="73" t="s">
        <v>1387</v>
      </c>
      <c r="MI7" s="139" t="s">
        <v>1357</v>
      </c>
      <c r="MN7" s="73"/>
      <c r="MO7" s="72" t="s">
        <v>1071</v>
      </c>
      <c r="MP7" s="115" t="s">
        <v>1076</v>
      </c>
      <c r="MQ7" s="72" t="s">
        <v>462</v>
      </c>
      <c r="MR7" s="72" t="s">
        <v>1182</v>
      </c>
      <c r="MW7" s="139" t="s">
        <v>1193</v>
      </c>
      <c r="MX7" s="72" t="s">
        <v>58</v>
      </c>
      <c r="MY7" s="115" t="s">
        <v>1076</v>
      </c>
      <c r="MZ7" s="72" t="s">
        <v>22</v>
      </c>
      <c r="NA7" s="71" t="s">
        <v>1341</v>
      </c>
      <c r="NC7" s="140" t="s">
        <v>1117</v>
      </c>
      <c r="ND7" s="144" t="str">
        <f>HYPERLINK("C:\SVN\SALT ADMIN 525\Projects\SALT\Snapshots\HappyPath_SingleProduct_AUS_IN-MU-LT-J27201\201571\154922\Iterator_4\Merge.html","Result")</f>
        <v>Result</v>
      </c>
      <c r="NE7" s="72" t="s">
        <v>1058</v>
      </c>
    </row>
    <row r="8" spans="1:370" s="72" customFormat="1" ht="15" customHeight="1">
      <c r="A8" s="131"/>
      <c r="B8" s="132">
        <v>5</v>
      </c>
      <c r="C8" s="133" t="s">
        <v>1378</v>
      </c>
      <c r="D8" s="72" t="s">
        <v>1058</v>
      </c>
      <c r="E8" s="73" t="s">
        <v>1340</v>
      </c>
      <c r="F8" s="134" t="str">
        <f>HYPERLINK("C:\SVN\SALT ADMIN 525\Projects\SALT\Snapshots\HappyPath_SingleProduct_AUS_IN-MU-LT-J27423\2015723\15519\Iterator_5\HappyPath_SingleProduct_AUS5.xlsx","Snapshot")</f>
        <v>Snapshot</v>
      </c>
      <c r="G8" s="134" t="str">
        <f>HYPERLINK("C:\SVN\SALT ADMIN 525\Projects\SALT\Snapshots\HappyPath_SingleProduct_AUS_IN-MU-LT-J27423\2015723\15519\Iterator_5\Merge.html","Result")</f>
        <v>Result</v>
      </c>
      <c r="M8" s="72" t="s">
        <v>454</v>
      </c>
      <c r="N8" s="72">
        <v>11</v>
      </c>
      <c r="O8" s="72">
        <v>1989</v>
      </c>
      <c r="P8" s="72" t="s">
        <v>454</v>
      </c>
      <c r="Q8" s="72">
        <v>11</v>
      </c>
      <c r="R8" s="72">
        <v>2030</v>
      </c>
      <c r="T8" s="73" t="s">
        <v>488</v>
      </c>
      <c r="U8" s="72">
        <v>10</v>
      </c>
      <c r="V8" s="72">
        <v>2022</v>
      </c>
      <c r="BL8" s="73" t="s">
        <v>1169</v>
      </c>
      <c r="EF8" s="72">
        <v>9</v>
      </c>
      <c r="EG8" s="72" t="s">
        <v>1170</v>
      </c>
      <c r="EH8" s="72">
        <v>1988</v>
      </c>
      <c r="EI8" s="69">
        <v>8</v>
      </c>
      <c r="EJ8" s="69" t="s">
        <v>1188</v>
      </c>
      <c r="EK8" s="72">
        <v>2027</v>
      </c>
      <c r="EL8" s="73">
        <v>123</v>
      </c>
      <c r="EM8" s="72" t="s">
        <v>446</v>
      </c>
      <c r="EN8" s="72">
        <v>23456723</v>
      </c>
      <c r="EO8" s="73">
        <v>60000</v>
      </c>
      <c r="EP8" s="72" t="s">
        <v>1172</v>
      </c>
      <c r="EQ8" s="72">
        <v>10</v>
      </c>
      <c r="ER8" s="72">
        <v>2018</v>
      </c>
      <c r="EY8" s="72" t="s">
        <v>729</v>
      </c>
      <c r="GI8" s="139">
        <v>500</v>
      </c>
      <c r="GJ8" s="139">
        <v>575.9</v>
      </c>
      <c r="GK8" s="136"/>
      <c r="GL8" s="137" t="s">
        <v>1173</v>
      </c>
      <c r="GO8" s="73" t="s">
        <v>488</v>
      </c>
      <c r="GQ8" s="73" t="s">
        <v>665</v>
      </c>
      <c r="GR8" s="73" t="s">
        <v>68</v>
      </c>
      <c r="GS8" s="138"/>
      <c r="GT8" s="72">
        <v>1250</v>
      </c>
      <c r="GV8" s="139"/>
      <c r="HD8" s="135">
        <v>41757.960868055554</v>
      </c>
      <c r="HE8" s="135">
        <v>41757.965162037035</v>
      </c>
      <c r="HH8" s="140" t="s">
        <v>1175</v>
      </c>
      <c r="HI8" s="72" t="s">
        <v>435</v>
      </c>
      <c r="HJ8" s="73" t="s">
        <v>436</v>
      </c>
      <c r="HO8" s="139"/>
      <c r="HQ8" s="72" t="s">
        <v>437</v>
      </c>
      <c r="HR8" s="72" t="s">
        <v>1197</v>
      </c>
      <c r="HS8" s="72" t="s">
        <v>444</v>
      </c>
      <c r="HT8" s="72" t="s">
        <v>465</v>
      </c>
      <c r="HU8" s="73" t="s">
        <v>441</v>
      </c>
      <c r="HV8" s="72" t="s">
        <v>442</v>
      </c>
      <c r="HW8" s="74" t="s">
        <v>1200</v>
      </c>
      <c r="HX8" s="72" t="s">
        <v>78</v>
      </c>
      <c r="HY8" s="73" t="s">
        <v>1111</v>
      </c>
      <c r="IA8" s="72">
        <v>123456</v>
      </c>
      <c r="IB8" s="72">
        <v>123456</v>
      </c>
      <c r="IC8" s="72">
        <v>11</v>
      </c>
      <c r="ID8" s="72" t="s">
        <v>443</v>
      </c>
      <c r="IE8" s="72">
        <v>2037</v>
      </c>
      <c r="IF8" s="72" t="s">
        <v>445</v>
      </c>
      <c r="IG8" s="73" t="s">
        <v>498</v>
      </c>
      <c r="IH8" s="73" t="s">
        <v>498</v>
      </c>
      <c r="II8" s="145" t="s">
        <v>1192</v>
      </c>
      <c r="IJ8" s="145" t="s">
        <v>1192</v>
      </c>
      <c r="IK8" s="72" t="s">
        <v>446</v>
      </c>
      <c r="IL8" s="72" t="s">
        <v>499</v>
      </c>
      <c r="IM8" s="72" t="s">
        <v>499</v>
      </c>
      <c r="IN8" s="73" t="s">
        <v>485</v>
      </c>
      <c r="IO8" s="73" t="s">
        <v>450</v>
      </c>
      <c r="IP8" s="73" t="s">
        <v>194</v>
      </c>
      <c r="IR8" s="72" t="s">
        <v>439</v>
      </c>
      <c r="IS8" s="72">
        <v>108</v>
      </c>
      <c r="IT8" s="72">
        <v>10</v>
      </c>
      <c r="IU8" s="72">
        <v>2021</v>
      </c>
      <c r="IV8" s="73" t="s">
        <v>449</v>
      </c>
      <c r="IW8" s="73" t="s">
        <v>488</v>
      </c>
      <c r="IX8" s="73"/>
      <c r="IY8" s="73"/>
      <c r="IZ8" s="73"/>
      <c r="JB8" s="73" t="s">
        <v>448</v>
      </c>
      <c r="JC8" s="73" t="s">
        <v>449</v>
      </c>
      <c r="JD8" s="73">
        <v>456</v>
      </c>
      <c r="JM8" s="121"/>
      <c r="JN8" s="121"/>
      <c r="JP8" s="73" t="s">
        <v>645</v>
      </c>
      <c r="JW8" s="135">
        <v>42208.660520833335</v>
      </c>
      <c r="JX8" s="135">
        <v>42208.662488425929</v>
      </c>
      <c r="JY8" s="72" t="s">
        <v>1360</v>
      </c>
      <c r="KL8" s="141" t="s">
        <v>1184</v>
      </c>
      <c r="KM8" s="70" t="s">
        <v>440</v>
      </c>
      <c r="KO8" s="71">
        <v>1200</v>
      </c>
      <c r="KQ8" s="72" t="s">
        <v>994</v>
      </c>
      <c r="KR8" s="70" t="s">
        <v>1009</v>
      </c>
      <c r="KS8" s="218" t="s">
        <v>1353</v>
      </c>
      <c r="KV8" s="70" t="s">
        <v>1352</v>
      </c>
      <c r="KW8" s="72" t="s">
        <v>993</v>
      </c>
      <c r="KX8" s="72" t="s">
        <v>1197</v>
      </c>
      <c r="KY8" s="72" t="s">
        <v>439</v>
      </c>
      <c r="KZ8" s="71" t="s">
        <v>652</v>
      </c>
      <c r="LA8" s="71" t="s">
        <v>652</v>
      </c>
      <c r="LB8" s="145" t="s">
        <v>1192</v>
      </c>
      <c r="LC8" s="145" t="s">
        <v>1192</v>
      </c>
      <c r="LD8" s="70" t="s">
        <v>741</v>
      </c>
      <c r="LE8" s="70" t="s">
        <v>741</v>
      </c>
      <c r="LF8" s="70" t="s">
        <v>741</v>
      </c>
      <c r="LM8" s="144" t="str">
        <f>HYPERLINK("C:\SVN\SALT ADMIN 525\Projects\SALT\Snapshots\HappyPath_SingleProduct_AUS_IN-MU-LT-J27201\201571\155154\Iterator_5\HappyPath_SingleProduct_AUS5.xlsx","Snapshot")</f>
        <v>Snapshot</v>
      </c>
      <c r="LN8" s="72">
        <v>4812</v>
      </c>
      <c r="LO8" s="72">
        <v>23</v>
      </c>
      <c r="LP8" s="72" t="s">
        <v>1338</v>
      </c>
      <c r="LQ8" s="142" t="s">
        <v>1185</v>
      </c>
      <c r="LR8" s="73" t="s">
        <v>194</v>
      </c>
      <c r="LS8" s="70">
        <v>10</v>
      </c>
      <c r="LT8" s="70">
        <v>2016</v>
      </c>
      <c r="LU8" s="72">
        <v>222</v>
      </c>
      <c r="LV8" s="72">
        <v>15</v>
      </c>
      <c r="LW8" s="72" t="s">
        <v>459</v>
      </c>
      <c r="LX8" s="72">
        <v>1980</v>
      </c>
      <c r="LY8" s="70" t="b">
        <v>1</v>
      </c>
      <c r="LZ8" s="70" t="s">
        <v>78</v>
      </c>
      <c r="MA8" s="70" t="s">
        <v>474</v>
      </c>
      <c r="MB8" s="70">
        <v>111111</v>
      </c>
      <c r="MC8" s="70">
        <v>111111</v>
      </c>
      <c r="MD8" s="70">
        <v>18</v>
      </c>
      <c r="ME8" s="70" t="s">
        <v>443</v>
      </c>
      <c r="MF8" s="70">
        <v>2016</v>
      </c>
      <c r="MG8" s="70" t="s">
        <v>1027</v>
      </c>
      <c r="MH8" s="73" t="s">
        <v>1359</v>
      </c>
      <c r="MI8" s="139" t="s">
        <v>1351</v>
      </c>
      <c r="MN8" s="73"/>
      <c r="MO8" s="72" t="s">
        <v>1199</v>
      </c>
      <c r="MP8" s="115" t="s">
        <v>1076</v>
      </c>
      <c r="MQ8" s="72" t="s">
        <v>462</v>
      </c>
      <c r="MR8" s="72" t="s">
        <v>1182</v>
      </c>
      <c r="MW8" s="139" t="s">
        <v>1201</v>
      </c>
      <c r="MX8" s="72" t="s">
        <v>58</v>
      </c>
      <c r="MY8" s="115" t="s">
        <v>1076</v>
      </c>
      <c r="MZ8" s="72" t="s">
        <v>22</v>
      </c>
      <c r="NA8" s="71" t="s">
        <v>1341</v>
      </c>
      <c r="NC8" s="140" t="s">
        <v>1117</v>
      </c>
      <c r="ND8" s="144" t="str">
        <f>HYPERLINK("C:\SVN\SALT ADMIN 525\Projects\SALT\Snapshots\HappyPath_SingleProduct_AUS_IN-MU-LT-J27201\201571\155154\Iterator_5\Merge.html","Result")</f>
        <v>Result</v>
      </c>
      <c r="NE8" s="72" t="s">
        <v>1058</v>
      </c>
    </row>
    <row r="9" spans="1:370" s="72" customFormat="1" ht="15" customHeight="1">
      <c r="A9" s="131"/>
      <c r="B9" s="132">
        <v>6</v>
      </c>
      <c r="C9" s="133" t="s">
        <v>1378</v>
      </c>
      <c r="D9" s="72" t="s">
        <v>1058</v>
      </c>
      <c r="E9" s="72" t="s">
        <v>1340</v>
      </c>
      <c r="F9" s="134" t="str">
        <f>HYPERLINK("C:\SVN\SALT ADMIN 525\Projects\SALT\Snapshots\HappyPath_SingleProduct_UK_IN-MU-LT-J27423\2015729\131818\Iterator_6\HappyPath_SingleProduct_UK6.xlsx","Snapshot")</f>
        <v>Snapshot</v>
      </c>
      <c r="G9" s="134" t="str">
        <f>HYPERLINK("C:\SVN\SALT ADMIN 525\Projects\SALT\Snapshots\HappyPath_SingleProduct_UK_IN-MU-LT-J27423\2015729\131818\Iterator_6\Merge.html","Result")</f>
        <v>Result</v>
      </c>
      <c r="M9" s="72" t="s">
        <v>1202</v>
      </c>
      <c r="N9" s="72">
        <v>12</v>
      </c>
      <c r="O9" s="72">
        <v>1990</v>
      </c>
      <c r="P9" s="72" t="s">
        <v>1202</v>
      </c>
      <c r="Q9" s="72">
        <v>12</v>
      </c>
      <c r="R9" s="72">
        <v>2031</v>
      </c>
      <c r="T9" s="73" t="s">
        <v>488</v>
      </c>
      <c r="U9" s="72">
        <v>10</v>
      </c>
      <c r="V9" s="72">
        <v>2023</v>
      </c>
      <c r="BL9" s="73" t="s">
        <v>1169</v>
      </c>
      <c r="EF9" s="72">
        <v>5</v>
      </c>
      <c r="EG9" s="72" t="s">
        <v>1170</v>
      </c>
      <c r="EH9" s="72">
        <v>1988</v>
      </c>
      <c r="EI9" s="69">
        <v>9</v>
      </c>
      <c r="EJ9" s="69" t="s">
        <v>1195</v>
      </c>
      <c r="EK9" s="72">
        <v>2028</v>
      </c>
      <c r="EL9" s="73">
        <v>456</v>
      </c>
      <c r="EM9" s="72" t="s">
        <v>455</v>
      </c>
      <c r="EN9" s="72">
        <v>23456723</v>
      </c>
      <c r="EO9" s="73">
        <v>60000</v>
      </c>
      <c r="EP9" s="72" t="s">
        <v>1172</v>
      </c>
      <c r="EQ9" s="72">
        <v>10</v>
      </c>
      <c r="ER9" s="72">
        <v>2018</v>
      </c>
      <c r="EY9" s="73" t="s">
        <v>74</v>
      </c>
      <c r="GI9" s="139">
        <v>660</v>
      </c>
      <c r="GJ9" s="139">
        <v>1055.1600000000001</v>
      </c>
      <c r="GK9" s="136"/>
      <c r="GL9" s="137" t="s">
        <v>1173</v>
      </c>
      <c r="GO9" s="73" t="s">
        <v>488</v>
      </c>
      <c r="GQ9" s="73" t="s">
        <v>497</v>
      </c>
      <c r="GR9" s="73" t="s">
        <v>69</v>
      </c>
      <c r="GS9" s="138"/>
      <c r="GT9" s="72">
        <v>1000</v>
      </c>
      <c r="GV9" s="139"/>
      <c r="HD9" s="135">
        <v>41757.965208333335</v>
      </c>
      <c r="HE9" s="135">
        <v>41757.969421296293</v>
      </c>
      <c r="HH9" s="140" t="s">
        <v>1175</v>
      </c>
      <c r="HI9" s="72" t="s">
        <v>435</v>
      </c>
      <c r="HJ9" s="73" t="s">
        <v>436</v>
      </c>
      <c r="HO9" s="139"/>
      <c r="HQ9" s="72" t="s">
        <v>437</v>
      </c>
      <c r="HR9" s="72" t="s">
        <v>465</v>
      </c>
      <c r="HS9" s="72" t="s">
        <v>444</v>
      </c>
      <c r="HT9" s="72" t="s">
        <v>1204</v>
      </c>
      <c r="HU9" s="73" t="s">
        <v>441</v>
      </c>
      <c r="HV9" s="72" t="s">
        <v>442</v>
      </c>
      <c r="HW9" s="74" t="s">
        <v>1205</v>
      </c>
      <c r="HX9" s="72" t="s">
        <v>78</v>
      </c>
      <c r="HY9" s="73" t="s">
        <v>1111</v>
      </c>
      <c r="IA9" s="72">
        <v>123456</v>
      </c>
      <c r="IB9" s="72">
        <v>123456</v>
      </c>
      <c r="IC9" s="72">
        <v>11</v>
      </c>
      <c r="ID9" s="72" t="s">
        <v>443</v>
      </c>
      <c r="IE9" s="72">
        <v>2037</v>
      </c>
      <c r="IF9" s="72" t="s">
        <v>445</v>
      </c>
      <c r="IG9" s="73" t="s">
        <v>498</v>
      </c>
      <c r="IH9" s="73" t="s">
        <v>498</v>
      </c>
      <c r="II9" s="145" t="s">
        <v>1192</v>
      </c>
      <c r="IJ9" s="145" t="s">
        <v>1192</v>
      </c>
      <c r="IK9" s="72" t="s">
        <v>446</v>
      </c>
      <c r="IL9" s="72" t="s">
        <v>499</v>
      </c>
      <c r="IM9" s="72" t="s">
        <v>499</v>
      </c>
      <c r="IN9" s="73" t="s">
        <v>485</v>
      </c>
      <c r="IO9" s="73" t="s">
        <v>450</v>
      </c>
      <c r="IP9" s="73" t="s">
        <v>194</v>
      </c>
      <c r="IR9" s="72" t="s">
        <v>439</v>
      </c>
      <c r="IS9" s="72">
        <v>108</v>
      </c>
      <c r="IT9" s="72">
        <v>10</v>
      </c>
      <c r="IU9" s="72">
        <v>2021</v>
      </c>
      <c r="IV9" s="73" t="s">
        <v>449</v>
      </c>
      <c r="IW9" s="73" t="s">
        <v>488</v>
      </c>
      <c r="IX9" s="73"/>
      <c r="IY9" s="73"/>
      <c r="IZ9" s="73"/>
      <c r="JB9" s="73" t="s">
        <v>448</v>
      </c>
      <c r="JC9" s="73" t="s">
        <v>449</v>
      </c>
      <c r="JD9" s="73">
        <v>546</v>
      </c>
      <c r="JM9" s="121"/>
      <c r="JN9" s="121"/>
      <c r="JP9" s="73" t="s">
        <v>645</v>
      </c>
      <c r="JW9" s="135">
        <v>42214.554375</v>
      </c>
      <c r="JX9" s="135">
        <v>42214.556423611109</v>
      </c>
      <c r="JY9" s="72" t="s">
        <v>1382</v>
      </c>
      <c r="KL9" s="141" t="s">
        <v>1184</v>
      </c>
      <c r="KM9" s="70" t="s">
        <v>1206</v>
      </c>
      <c r="KO9" s="71">
        <v>1000</v>
      </c>
      <c r="KP9" s="72" t="s">
        <v>994</v>
      </c>
      <c r="KR9" s="70" t="s">
        <v>1009</v>
      </c>
      <c r="KS9" s="218" t="s">
        <v>1353</v>
      </c>
      <c r="KV9" s="70" t="s">
        <v>1352</v>
      </c>
      <c r="KW9" s="72" t="s">
        <v>993</v>
      </c>
      <c r="KX9" s="72" t="s">
        <v>465</v>
      </c>
      <c r="KY9" s="72" t="s">
        <v>439</v>
      </c>
      <c r="KZ9" s="71" t="s">
        <v>652</v>
      </c>
      <c r="LA9" s="71" t="s">
        <v>652</v>
      </c>
      <c r="LB9" s="145" t="s">
        <v>1192</v>
      </c>
      <c r="LC9" s="145" t="s">
        <v>1192</v>
      </c>
      <c r="LD9" s="70" t="s">
        <v>741</v>
      </c>
      <c r="LE9" s="70" t="s">
        <v>741</v>
      </c>
      <c r="LF9" s="70" t="s">
        <v>741</v>
      </c>
      <c r="LM9" s="144" t="str">
        <f>HYPERLINK("C:\SVN\SALT ADMIN 525\Projects\SALT\Snapshots\HappyPath_SingleProduct_AUS_IN-MU-LT-J27201\201577\153251\Iterator_6\HappyPath_SingleProduct_AUS6.xlsx","Snapshot")</f>
        <v>Snapshot</v>
      </c>
      <c r="LN9" s="72">
        <v>4812</v>
      </c>
      <c r="LO9" s="72">
        <v>23</v>
      </c>
      <c r="LP9" s="72" t="s">
        <v>1338</v>
      </c>
      <c r="LQ9" s="142" t="s">
        <v>1185</v>
      </c>
      <c r="LR9" s="73" t="s">
        <v>194</v>
      </c>
      <c r="LS9" s="70">
        <v>10</v>
      </c>
      <c r="LT9" s="70">
        <v>2016</v>
      </c>
      <c r="LU9" s="72">
        <v>222</v>
      </c>
      <c r="LV9" s="72">
        <v>15</v>
      </c>
      <c r="LW9" s="72" t="s">
        <v>459</v>
      </c>
      <c r="LX9" s="72">
        <v>1980</v>
      </c>
      <c r="LY9" s="70" t="b">
        <v>1</v>
      </c>
      <c r="LZ9" s="70" t="s">
        <v>78</v>
      </c>
      <c r="MA9" s="70" t="s">
        <v>474</v>
      </c>
      <c r="MB9" s="70">
        <v>111111</v>
      </c>
      <c r="MC9" s="70">
        <v>111111</v>
      </c>
      <c r="MD9" s="70">
        <v>18</v>
      </c>
      <c r="ME9" s="70" t="s">
        <v>443</v>
      </c>
      <c r="MF9" s="70">
        <v>2016</v>
      </c>
      <c r="MG9" s="70" t="s">
        <v>1027</v>
      </c>
      <c r="MH9" s="73" t="s">
        <v>1395</v>
      </c>
      <c r="MI9" s="139" t="s">
        <v>1361</v>
      </c>
      <c r="MN9" s="73"/>
      <c r="MO9" s="72" t="s">
        <v>1203</v>
      </c>
      <c r="MP9" s="115" t="s">
        <v>1076</v>
      </c>
      <c r="MQ9" s="72" t="s">
        <v>462</v>
      </c>
      <c r="MR9" s="72" t="s">
        <v>1182</v>
      </c>
      <c r="MW9" s="224" t="s">
        <v>1193</v>
      </c>
      <c r="MX9" s="72" t="s">
        <v>58</v>
      </c>
      <c r="MY9" s="115" t="s">
        <v>1076</v>
      </c>
      <c r="MZ9" s="72" t="s">
        <v>22</v>
      </c>
      <c r="NA9" s="71" t="s">
        <v>1341</v>
      </c>
      <c r="NC9" s="140" t="s">
        <v>1117</v>
      </c>
      <c r="ND9" s="144" t="str">
        <f>HYPERLINK("C:\SVN\SALT ADMIN 525\Projects\SALT\Snapshots\HappyPath_SingleProduct_AUS_IN-MU-LT-J27201\201577\153251\Iterator_6\Merge.html","Result")</f>
        <v>Result</v>
      </c>
      <c r="NE9" s="72" t="s">
        <v>1058</v>
      </c>
    </row>
    <row r="10" spans="1:370" s="72" customFormat="1" ht="15" customHeight="1">
      <c r="A10" s="131"/>
      <c r="B10" s="132">
        <v>7</v>
      </c>
      <c r="C10" s="133" t="s">
        <v>1378</v>
      </c>
      <c r="D10" s="72" t="s">
        <v>1058</v>
      </c>
      <c r="E10" s="72" t="s">
        <v>1340</v>
      </c>
      <c r="F10" s="134" t="str">
        <f>HYPERLINK("C:\SVN\SALT ADMIN 525\Projects\SALT\Snapshots\HappyPath_SingleProduct_UK_IN-MU-LT-J27423\201585\16523\Iterator_7\HappyPath_SingleProduct_UK7.xlsx","Snapshot")</f>
        <v>Snapshot</v>
      </c>
      <c r="G10" s="134" t="str">
        <f>HYPERLINK("C:\SVN\SALT ADMIN 525\Projects\SALT\Snapshots\HappyPath_SingleProduct_UK_IN-MU-LT-J27423\201585\16523\Iterator_7\Merge.html","Result")</f>
        <v>Result</v>
      </c>
      <c r="M10" s="72" t="s">
        <v>467</v>
      </c>
      <c r="N10" s="72">
        <v>13</v>
      </c>
      <c r="O10" s="72">
        <v>1987</v>
      </c>
      <c r="P10" s="72" t="s">
        <v>467</v>
      </c>
      <c r="Q10" s="72">
        <v>13</v>
      </c>
      <c r="R10" s="72">
        <v>2032</v>
      </c>
      <c r="T10" s="73" t="s">
        <v>488</v>
      </c>
      <c r="U10" s="72">
        <v>10</v>
      </c>
      <c r="V10" s="72">
        <v>2018</v>
      </c>
      <c r="BL10" s="73" t="s">
        <v>1169</v>
      </c>
      <c r="EF10" s="72">
        <v>6</v>
      </c>
      <c r="EG10" s="72" t="s">
        <v>1170</v>
      </c>
      <c r="EH10" s="72">
        <v>1988</v>
      </c>
      <c r="EI10" s="69">
        <v>8</v>
      </c>
      <c r="EJ10" s="69" t="s">
        <v>1188</v>
      </c>
      <c r="EK10" s="72">
        <v>2027</v>
      </c>
      <c r="EL10" s="73">
        <v>546</v>
      </c>
      <c r="EM10" s="72" t="s">
        <v>455</v>
      </c>
      <c r="EN10" s="72">
        <v>23456723</v>
      </c>
      <c r="EO10" s="73">
        <v>60000</v>
      </c>
      <c r="EP10" s="72" t="s">
        <v>1172</v>
      </c>
      <c r="EQ10" s="72">
        <v>10</v>
      </c>
      <c r="ER10" s="72">
        <v>2018</v>
      </c>
      <c r="EY10" s="73" t="s">
        <v>74</v>
      </c>
      <c r="GI10" s="139">
        <v>520</v>
      </c>
      <c r="GJ10" s="139">
        <v>831.33</v>
      </c>
      <c r="GK10" s="136"/>
      <c r="GL10" s="137" t="s">
        <v>1173</v>
      </c>
      <c r="GO10" s="73" t="s">
        <v>488</v>
      </c>
      <c r="GQ10" s="73" t="s">
        <v>665</v>
      </c>
      <c r="GR10" s="73" t="s">
        <v>69</v>
      </c>
      <c r="GS10" s="138"/>
      <c r="GT10" s="72">
        <v>800</v>
      </c>
      <c r="HD10" s="135">
        <v>41757.969467592593</v>
      </c>
      <c r="HE10" s="135">
        <v>41757.973761574074</v>
      </c>
      <c r="HH10" s="140" t="s">
        <v>1175</v>
      </c>
      <c r="HI10" s="72" t="s">
        <v>435</v>
      </c>
      <c r="HJ10" s="73" t="s">
        <v>436</v>
      </c>
      <c r="HO10" s="139"/>
      <c r="HQ10" s="72" t="s">
        <v>437</v>
      </c>
      <c r="HR10" s="72" t="s">
        <v>1204</v>
      </c>
      <c r="HS10" s="72" t="s">
        <v>444</v>
      </c>
      <c r="HT10" s="72" t="s">
        <v>1207</v>
      </c>
      <c r="HU10" s="73" t="s">
        <v>441</v>
      </c>
      <c r="HV10" s="72" t="s">
        <v>442</v>
      </c>
      <c r="HW10" s="74" t="s">
        <v>1208</v>
      </c>
      <c r="HX10" s="72" t="s">
        <v>78</v>
      </c>
      <c r="HY10" s="73" t="s">
        <v>1111</v>
      </c>
      <c r="IA10" s="72">
        <v>123456</v>
      </c>
      <c r="IB10" s="72">
        <v>123456</v>
      </c>
      <c r="IC10" s="72">
        <v>11</v>
      </c>
      <c r="ID10" s="72" t="s">
        <v>443</v>
      </c>
      <c r="IE10" s="72">
        <v>2037</v>
      </c>
      <c r="IF10" s="72" t="s">
        <v>445</v>
      </c>
      <c r="IG10" s="73" t="s">
        <v>498</v>
      </c>
      <c r="IH10" s="73" t="s">
        <v>498</v>
      </c>
      <c r="II10" s="145" t="s">
        <v>1192</v>
      </c>
      <c r="IJ10" s="145" t="s">
        <v>1192</v>
      </c>
      <c r="IK10" s="72" t="s">
        <v>446</v>
      </c>
      <c r="IL10" s="72" t="s">
        <v>499</v>
      </c>
      <c r="IM10" s="72" t="s">
        <v>499</v>
      </c>
      <c r="IN10" s="73" t="s">
        <v>485</v>
      </c>
      <c r="IO10" s="73" t="s">
        <v>450</v>
      </c>
      <c r="IP10" s="73" t="s">
        <v>194</v>
      </c>
      <c r="IR10" s="72" t="s">
        <v>439</v>
      </c>
      <c r="IS10" s="72">
        <v>108</v>
      </c>
      <c r="IT10" s="72">
        <v>10</v>
      </c>
      <c r="IU10" s="72">
        <v>2021</v>
      </c>
      <c r="IV10" s="73" t="s">
        <v>449</v>
      </c>
      <c r="IW10" s="73" t="s">
        <v>488</v>
      </c>
      <c r="IX10" s="73"/>
      <c r="IY10" s="73"/>
      <c r="IZ10" s="73"/>
      <c r="JB10" s="73" t="s">
        <v>448</v>
      </c>
      <c r="JC10" s="73" t="s">
        <v>449</v>
      </c>
      <c r="JD10" s="73">
        <v>123</v>
      </c>
      <c r="JM10" s="121"/>
      <c r="JN10" s="121"/>
      <c r="JP10" s="73" t="s">
        <v>645</v>
      </c>
      <c r="JW10" s="135">
        <v>42221.670405092591</v>
      </c>
      <c r="JX10" s="135">
        <v>42221.672569444447</v>
      </c>
      <c r="JY10" s="72" t="s">
        <v>1042</v>
      </c>
      <c r="KL10" s="141" t="s">
        <v>1184</v>
      </c>
      <c r="KM10" s="70" t="s">
        <v>1137</v>
      </c>
      <c r="KO10" s="71">
        <v>1000</v>
      </c>
      <c r="KQ10" s="72" t="s">
        <v>994</v>
      </c>
      <c r="KR10" s="70" t="s">
        <v>1009</v>
      </c>
      <c r="KS10" s="218" t="s">
        <v>1353</v>
      </c>
      <c r="KV10" s="70" t="s">
        <v>1352</v>
      </c>
      <c r="KW10" s="72" t="s">
        <v>993</v>
      </c>
      <c r="KX10" s="72" t="s">
        <v>1204</v>
      </c>
      <c r="KY10" s="72" t="s">
        <v>439</v>
      </c>
      <c r="KZ10" s="71" t="s">
        <v>652</v>
      </c>
      <c r="LA10" s="71" t="s">
        <v>652</v>
      </c>
      <c r="LB10" s="145" t="s">
        <v>1192</v>
      </c>
      <c r="LC10" s="145" t="s">
        <v>1192</v>
      </c>
      <c r="LD10" s="70" t="s">
        <v>741</v>
      </c>
      <c r="LE10" s="70" t="s">
        <v>741</v>
      </c>
      <c r="LF10" s="70" t="s">
        <v>741</v>
      </c>
      <c r="LM10" s="144" t="str">
        <f>HYPERLINK("C:\SVN\SALT ADMIN 525\Projects\SALT\Snapshots\HappyPath_SingleProduct_AUS_IN-MU-LT-J27201\201578\195141\Iterator_7\HappyPath_SingleProduct_AUS7.xlsx","Snapshot")</f>
        <v>Snapshot</v>
      </c>
      <c r="LN10" s="72">
        <v>4812</v>
      </c>
      <c r="LO10" s="72">
        <v>23</v>
      </c>
      <c r="LP10" s="72" t="s">
        <v>1338</v>
      </c>
      <c r="LQ10" s="142" t="s">
        <v>1185</v>
      </c>
      <c r="LR10" s="73" t="s">
        <v>194</v>
      </c>
      <c r="LS10" s="70">
        <v>10</v>
      </c>
      <c r="LT10" s="70">
        <v>2016</v>
      </c>
      <c r="LU10" s="72">
        <v>222</v>
      </c>
      <c r="LV10" s="72">
        <v>15</v>
      </c>
      <c r="LW10" s="72" t="s">
        <v>459</v>
      </c>
      <c r="LX10" s="72">
        <v>1980</v>
      </c>
      <c r="LY10" s="70" t="b">
        <v>1</v>
      </c>
      <c r="LZ10" s="70" t="s">
        <v>78</v>
      </c>
      <c r="MA10" s="70" t="s">
        <v>474</v>
      </c>
      <c r="MB10" s="70">
        <v>111111</v>
      </c>
      <c r="MC10" s="70">
        <v>111111</v>
      </c>
      <c r="MD10" s="70">
        <v>18</v>
      </c>
      <c r="ME10" s="70" t="s">
        <v>443</v>
      </c>
      <c r="MF10" s="70">
        <v>2016</v>
      </c>
      <c r="MG10" s="70" t="s">
        <v>1027</v>
      </c>
      <c r="MH10" s="73" t="s">
        <v>1400</v>
      </c>
      <c r="MI10" s="139" t="s">
        <v>1398</v>
      </c>
      <c r="MN10" s="73"/>
      <c r="MO10" s="72" t="s">
        <v>1199</v>
      </c>
      <c r="MP10" s="115" t="s">
        <v>1076</v>
      </c>
      <c r="MQ10" s="72" t="s">
        <v>462</v>
      </c>
      <c r="MR10" s="72" t="s">
        <v>1182</v>
      </c>
      <c r="MW10" s="139" t="s">
        <v>1201</v>
      </c>
      <c r="MX10" s="72" t="s">
        <v>58</v>
      </c>
      <c r="MY10" s="115" t="s">
        <v>1076</v>
      </c>
      <c r="MZ10" s="72" t="s">
        <v>22</v>
      </c>
      <c r="NA10" s="71" t="s">
        <v>1341</v>
      </c>
      <c r="NC10" s="140" t="s">
        <v>1117</v>
      </c>
      <c r="ND10" s="144" t="str">
        <f>HYPERLINK("C:\SVN\SALT ADMIN 525\Projects\SALT\Snapshots\HappyPath_SingleProduct_AUS_IN-MU-LT-J27201\201578\195141\Iterator_7\Merge.html","Result")</f>
        <v>Result</v>
      </c>
      <c r="NE10" s="72" t="s">
        <v>1058</v>
      </c>
    </row>
    <row r="11" spans="1:370" s="72" customFormat="1" ht="15" customHeight="1">
      <c r="A11" s="131"/>
      <c r="B11" s="132">
        <v>8</v>
      </c>
      <c r="C11" s="133" t="s">
        <v>1378</v>
      </c>
      <c r="D11" s="72" t="s">
        <v>1058</v>
      </c>
      <c r="E11" s="72" t="s">
        <v>1340</v>
      </c>
      <c r="F11" s="134" t="str">
        <f>HYPERLINK("C:\SVN\SALT ADMIN 525\Projects\SALT\Snapshots\HappyPath_SingleProduct_AUS_IN-MU-LT-J27423\2015723\1601\Iterator_8\HappyPath_SingleProduct_AUS8.xlsx","Snapshot")</f>
        <v>Snapshot</v>
      </c>
      <c r="G11" s="134" t="str">
        <f>HYPERLINK("C:\SVN\SALT ADMIN 525\Projects\SALT\Snapshots\HappyPath_SingleProduct_AUS_IN-MU-LT-J27423\2015723\1601\Iterator_8\Merge.html","Result")</f>
        <v>Result</v>
      </c>
      <c r="M11" s="72" t="s">
        <v>1168</v>
      </c>
      <c r="N11" s="72">
        <v>14</v>
      </c>
      <c r="O11" s="72">
        <v>1988</v>
      </c>
      <c r="P11" s="72" t="s">
        <v>1168</v>
      </c>
      <c r="Q11" s="72">
        <v>14</v>
      </c>
      <c r="R11" s="72">
        <v>2033</v>
      </c>
      <c r="T11" s="73" t="s">
        <v>488</v>
      </c>
      <c r="U11" s="72">
        <v>10</v>
      </c>
      <c r="V11" s="72">
        <v>2019</v>
      </c>
      <c r="BL11" s="73" t="s">
        <v>1169</v>
      </c>
      <c r="EF11" s="72">
        <v>8</v>
      </c>
      <c r="EG11" s="72" t="s">
        <v>1170</v>
      </c>
      <c r="EH11" s="72">
        <v>1988</v>
      </c>
      <c r="EI11" s="69">
        <v>9</v>
      </c>
      <c r="EJ11" s="69" t="s">
        <v>1195</v>
      </c>
      <c r="EK11" s="72">
        <v>2028</v>
      </c>
      <c r="EL11" s="73">
        <v>123</v>
      </c>
      <c r="EM11" s="72" t="s">
        <v>446</v>
      </c>
      <c r="EN11" s="72">
        <v>23456723</v>
      </c>
      <c r="EO11" s="73">
        <v>60000</v>
      </c>
      <c r="EP11" s="72" t="s">
        <v>1172</v>
      </c>
      <c r="EQ11" s="72">
        <v>10</v>
      </c>
      <c r="ER11" s="72">
        <v>2018</v>
      </c>
      <c r="EY11" s="73" t="s">
        <v>729</v>
      </c>
      <c r="GI11" s="72">
        <v>550</v>
      </c>
      <c r="GJ11" s="72">
        <v>633.49</v>
      </c>
      <c r="GK11" s="136"/>
      <c r="GL11" s="137" t="s">
        <v>1173</v>
      </c>
      <c r="GO11" s="73" t="s">
        <v>488</v>
      </c>
      <c r="GQ11" s="73" t="s">
        <v>497</v>
      </c>
      <c r="GR11" s="73" t="s">
        <v>1190</v>
      </c>
      <c r="GS11" s="138"/>
      <c r="GT11" s="72">
        <v>900</v>
      </c>
      <c r="HD11" s="135">
        <v>41757.973807870374</v>
      </c>
      <c r="HE11" s="135">
        <v>41757.977986111109</v>
      </c>
      <c r="HH11" s="140" t="s">
        <v>1175</v>
      </c>
      <c r="HI11" s="72" t="s">
        <v>435</v>
      </c>
      <c r="HJ11" s="73" t="s">
        <v>436</v>
      </c>
      <c r="HQ11" s="72" t="s">
        <v>437</v>
      </c>
      <c r="HR11" s="72" t="s">
        <v>1207</v>
      </c>
      <c r="HS11" s="72" t="s">
        <v>444</v>
      </c>
      <c r="HT11" s="72" t="s">
        <v>1194</v>
      </c>
      <c r="HU11" s="73" t="s">
        <v>441</v>
      </c>
      <c r="HV11" s="72" t="s">
        <v>442</v>
      </c>
      <c r="HW11" s="74" t="s">
        <v>466</v>
      </c>
      <c r="HX11" s="72" t="s">
        <v>78</v>
      </c>
      <c r="HY11" s="73" t="s">
        <v>1111</v>
      </c>
      <c r="IA11" s="72">
        <v>123456</v>
      </c>
      <c r="IB11" s="72">
        <v>123456</v>
      </c>
      <c r="IC11" s="72">
        <v>11</v>
      </c>
      <c r="ID11" s="72" t="s">
        <v>443</v>
      </c>
      <c r="IE11" s="72">
        <v>2037</v>
      </c>
      <c r="IF11" s="72" t="s">
        <v>445</v>
      </c>
      <c r="IG11" s="73" t="s">
        <v>498</v>
      </c>
      <c r="IH11" s="73" t="s">
        <v>498</v>
      </c>
      <c r="II11" s="145" t="s">
        <v>1192</v>
      </c>
      <c r="IJ11" s="145" t="s">
        <v>1192</v>
      </c>
      <c r="IK11" s="72" t="s">
        <v>446</v>
      </c>
      <c r="IL11" s="72" t="s">
        <v>499</v>
      </c>
      <c r="IM11" s="72" t="s">
        <v>499</v>
      </c>
      <c r="IN11" s="73" t="s">
        <v>485</v>
      </c>
      <c r="IO11" s="73" t="s">
        <v>450</v>
      </c>
      <c r="IP11" s="73" t="s">
        <v>194</v>
      </c>
      <c r="IR11" s="72" t="s">
        <v>439</v>
      </c>
      <c r="IS11" s="72">
        <v>108</v>
      </c>
      <c r="IT11" s="72">
        <v>10</v>
      </c>
      <c r="IU11" s="72">
        <v>2021</v>
      </c>
      <c r="IV11" s="73" t="s">
        <v>449</v>
      </c>
      <c r="IW11" s="73" t="s">
        <v>488</v>
      </c>
      <c r="IX11" s="73"/>
      <c r="IY11" s="73"/>
      <c r="IZ11" s="73"/>
      <c r="JB11" s="73" t="s">
        <v>448</v>
      </c>
      <c r="JC11" s="73" t="s">
        <v>449</v>
      </c>
      <c r="JD11" s="73">
        <v>456</v>
      </c>
      <c r="JM11" s="121"/>
      <c r="JN11" s="121"/>
      <c r="JP11" s="73" t="s">
        <v>645</v>
      </c>
      <c r="JW11" s="135">
        <v>42208.666678240741</v>
      </c>
      <c r="JX11" s="135">
        <v>42208.668877314813</v>
      </c>
      <c r="JY11" s="72" t="s">
        <v>1364</v>
      </c>
      <c r="KL11" s="141" t="s">
        <v>1184</v>
      </c>
      <c r="KM11" s="70" t="s">
        <v>440</v>
      </c>
      <c r="KO11" s="71">
        <v>1200</v>
      </c>
      <c r="KP11" s="72" t="s">
        <v>994</v>
      </c>
      <c r="KR11" s="70" t="s">
        <v>1009</v>
      </c>
      <c r="KS11" s="218" t="s">
        <v>1353</v>
      </c>
      <c r="KV11" s="70" t="s">
        <v>1352</v>
      </c>
      <c r="KW11" s="72" t="s">
        <v>993</v>
      </c>
      <c r="KX11" s="72" t="s">
        <v>1207</v>
      </c>
      <c r="KY11" s="72" t="s">
        <v>439</v>
      </c>
      <c r="KZ11" s="71" t="s">
        <v>652</v>
      </c>
      <c r="LA11" s="71" t="s">
        <v>652</v>
      </c>
      <c r="LB11" s="145" t="s">
        <v>1192</v>
      </c>
      <c r="LC11" s="145" t="s">
        <v>1192</v>
      </c>
      <c r="LD11" s="70" t="s">
        <v>741</v>
      </c>
      <c r="LE11" s="70" t="s">
        <v>741</v>
      </c>
      <c r="LF11" s="70" t="s">
        <v>741</v>
      </c>
      <c r="LM11" s="144" t="str">
        <f>HYPERLINK("C:\SVN\SALT ADMIN 525\Projects\SALT\Snapshots\HappyPath_SingleProduct_AUS_IN-MU-LT-J27201\201571\155640\Iterator_8\HappyPath_SingleProduct_AUS8.xlsx","Snapshot")</f>
        <v>Snapshot</v>
      </c>
      <c r="LN11" s="72">
        <v>4812</v>
      </c>
      <c r="LO11" s="72">
        <v>23</v>
      </c>
      <c r="LP11" s="72" t="s">
        <v>1338</v>
      </c>
      <c r="LQ11" s="142" t="s">
        <v>1185</v>
      </c>
      <c r="LR11" s="73" t="s">
        <v>194</v>
      </c>
      <c r="LS11" s="70">
        <v>10</v>
      </c>
      <c r="LT11" s="70">
        <v>2016</v>
      </c>
      <c r="LU11" s="72">
        <v>222</v>
      </c>
      <c r="LV11" s="72">
        <v>15</v>
      </c>
      <c r="LW11" s="72" t="s">
        <v>459</v>
      </c>
      <c r="LX11" s="72">
        <v>1980</v>
      </c>
      <c r="LY11" s="70" t="b">
        <v>1</v>
      </c>
      <c r="LZ11" s="70" t="s">
        <v>78</v>
      </c>
      <c r="MA11" s="70" t="s">
        <v>474</v>
      </c>
      <c r="MB11" s="70">
        <v>111111</v>
      </c>
      <c r="MC11" s="70">
        <v>111111</v>
      </c>
      <c r="MD11" s="70">
        <v>18</v>
      </c>
      <c r="ME11" s="70" t="s">
        <v>443</v>
      </c>
      <c r="MF11" s="70">
        <v>2016</v>
      </c>
      <c r="MG11" s="70" t="s">
        <v>1027</v>
      </c>
      <c r="MH11" s="73" t="s">
        <v>1362</v>
      </c>
      <c r="MI11" s="139" t="s">
        <v>1363</v>
      </c>
      <c r="MN11" s="73"/>
      <c r="MO11" s="72" t="s">
        <v>1071</v>
      </c>
      <c r="MP11" s="115" t="s">
        <v>1076</v>
      </c>
      <c r="MQ11" s="72" t="s">
        <v>462</v>
      </c>
      <c r="MR11" s="72" t="s">
        <v>1182</v>
      </c>
      <c r="MW11" s="139" t="s">
        <v>1193</v>
      </c>
      <c r="MX11" s="72" t="s">
        <v>58</v>
      </c>
      <c r="MY11" s="115" t="s">
        <v>1076</v>
      </c>
      <c r="MZ11" s="72" t="s">
        <v>22</v>
      </c>
      <c r="NA11" s="71" t="s">
        <v>1341</v>
      </c>
      <c r="NC11" s="140" t="s">
        <v>1117</v>
      </c>
      <c r="ND11" s="144" t="str">
        <f>HYPERLINK("C:\SVN\SALT ADMIN 525\Projects\SALT\Snapshots\HappyPath_SingleProduct_AUS_IN-MU-LT-J27201\201571\155640\Iterator_8\Merge.html","Result")</f>
        <v>Result</v>
      </c>
      <c r="NE11" s="72" t="s">
        <v>1058</v>
      </c>
    </row>
    <row r="12" spans="1:370" s="72" customFormat="1" ht="15" customHeight="1">
      <c r="A12" s="131"/>
      <c r="B12" s="132">
        <v>9</v>
      </c>
      <c r="C12" s="133" t="s">
        <v>1378</v>
      </c>
      <c r="D12" s="72" t="s">
        <v>1058</v>
      </c>
      <c r="E12" s="72" t="s">
        <v>1340</v>
      </c>
      <c r="F12" s="134" t="str">
        <f>HYPERLINK("C:\SVN\SALT ADMIN 525\Projects\SALT\Snapshots\HappyPath_SingleProduct_AUS_IN-MU-LT-J27423\2015723\16313\Iterator_9\HappyPath_SingleProduct_AUS9.xlsx","Snapshot")</f>
        <v>Snapshot</v>
      </c>
      <c r="G12" s="134" t="str">
        <f>HYPERLINK("C:\SVN\SALT ADMIN 525\Projects\SALT\Snapshots\HappyPath_SingleProduct_AUS_IN-MU-LT-J27423\2015723\16313\Iterator_9\Merge.html","Result")</f>
        <v>Result</v>
      </c>
      <c r="M12" s="72" t="s">
        <v>468</v>
      </c>
      <c r="N12" s="72">
        <v>15</v>
      </c>
      <c r="O12" s="72">
        <v>1989</v>
      </c>
      <c r="P12" s="72" t="s">
        <v>468</v>
      </c>
      <c r="Q12" s="72">
        <v>15</v>
      </c>
      <c r="R12" s="72">
        <v>2034</v>
      </c>
      <c r="T12" s="73" t="s">
        <v>488</v>
      </c>
      <c r="U12" s="72">
        <v>10</v>
      </c>
      <c r="V12" s="72">
        <v>2020</v>
      </c>
      <c r="BL12" s="73" t="s">
        <v>1169</v>
      </c>
      <c r="EF12" s="72">
        <v>3</v>
      </c>
      <c r="EG12" s="72" t="s">
        <v>1170</v>
      </c>
      <c r="EH12" s="72">
        <v>1988</v>
      </c>
      <c r="EI12" s="69">
        <v>1</v>
      </c>
      <c r="EJ12" s="69" t="s">
        <v>1171</v>
      </c>
      <c r="EK12" s="72">
        <v>2020</v>
      </c>
      <c r="EL12" s="73">
        <v>456</v>
      </c>
      <c r="EM12" s="72" t="s">
        <v>446</v>
      </c>
      <c r="EN12" s="72">
        <v>23456723</v>
      </c>
      <c r="EO12" s="73">
        <v>60000</v>
      </c>
      <c r="EP12" s="72" t="s">
        <v>1172</v>
      </c>
      <c r="EQ12" s="72">
        <v>10</v>
      </c>
      <c r="ER12" s="72">
        <v>2018</v>
      </c>
      <c r="EY12" s="73" t="s">
        <v>74</v>
      </c>
      <c r="GI12" s="139">
        <v>600</v>
      </c>
      <c r="GJ12" s="139">
        <v>959.23</v>
      </c>
      <c r="GK12" s="136"/>
      <c r="GL12" s="137" t="s">
        <v>1173</v>
      </c>
      <c r="GO12" s="73" t="s">
        <v>488</v>
      </c>
      <c r="GQ12" s="73" t="s">
        <v>497</v>
      </c>
      <c r="GR12" s="73" t="s">
        <v>463</v>
      </c>
      <c r="GS12" s="138"/>
      <c r="GT12" s="72">
        <v>1200</v>
      </c>
      <c r="GV12" s="139"/>
      <c r="HD12" s="135">
        <v>41757.978032407409</v>
      </c>
      <c r="HE12" s="135">
        <v>41757.982268518521</v>
      </c>
      <c r="HH12" s="140" t="s">
        <v>1175</v>
      </c>
      <c r="HI12" s="72" t="s">
        <v>435</v>
      </c>
      <c r="HJ12" s="73" t="s">
        <v>436</v>
      </c>
      <c r="HO12" s="139"/>
      <c r="HQ12" s="72" t="s">
        <v>437</v>
      </c>
      <c r="HR12" s="72" t="s">
        <v>1194</v>
      </c>
      <c r="HS12" s="72" t="s">
        <v>444</v>
      </c>
      <c r="HT12" s="72" t="s">
        <v>464</v>
      </c>
      <c r="HU12" s="73" t="s">
        <v>441</v>
      </c>
      <c r="HV12" s="72" t="s">
        <v>442</v>
      </c>
      <c r="HW12" s="74" t="s">
        <v>1198</v>
      </c>
      <c r="HX12" s="72" t="s">
        <v>78</v>
      </c>
      <c r="HY12" s="73" t="s">
        <v>1111</v>
      </c>
      <c r="IA12" s="72">
        <v>123456</v>
      </c>
      <c r="IB12" s="72">
        <v>123456</v>
      </c>
      <c r="IC12" s="72">
        <v>11</v>
      </c>
      <c r="ID12" s="72" t="s">
        <v>443</v>
      </c>
      <c r="IE12" s="72">
        <v>2037</v>
      </c>
      <c r="IF12" s="72" t="s">
        <v>445</v>
      </c>
      <c r="IG12" s="73" t="s">
        <v>498</v>
      </c>
      <c r="IH12" s="73" t="s">
        <v>498</v>
      </c>
      <c r="II12" s="145" t="s">
        <v>1192</v>
      </c>
      <c r="IJ12" s="145" t="s">
        <v>1192</v>
      </c>
      <c r="IK12" s="72" t="s">
        <v>446</v>
      </c>
      <c r="IL12" s="72" t="s">
        <v>499</v>
      </c>
      <c r="IM12" s="72" t="s">
        <v>499</v>
      </c>
      <c r="IN12" s="73" t="s">
        <v>485</v>
      </c>
      <c r="IO12" s="73" t="s">
        <v>450</v>
      </c>
      <c r="IP12" s="73" t="s">
        <v>194</v>
      </c>
      <c r="IR12" s="72" t="s">
        <v>439</v>
      </c>
      <c r="IS12" s="72">
        <v>108</v>
      </c>
      <c r="IT12" s="72">
        <v>10</v>
      </c>
      <c r="IU12" s="72">
        <v>2021</v>
      </c>
      <c r="IV12" s="73" t="s">
        <v>449</v>
      </c>
      <c r="IW12" s="73" t="s">
        <v>488</v>
      </c>
      <c r="IX12" s="73"/>
      <c r="IY12" s="73"/>
      <c r="IZ12" s="73"/>
      <c r="JB12" s="73" t="s">
        <v>448</v>
      </c>
      <c r="JC12" s="73" t="s">
        <v>449</v>
      </c>
      <c r="JD12" s="73">
        <v>546</v>
      </c>
      <c r="JM12" s="121"/>
      <c r="JN12" s="121"/>
      <c r="JP12" s="73" t="s">
        <v>645</v>
      </c>
      <c r="JW12" s="135">
        <v>42208.668900462966</v>
      </c>
      <c r="JX12" s="135">
        <v>42208.670972222222</v>
      </c>
      <c r="JY12" s="72" t="s">
        <v>1358</v>
      </c>
      <c r="KL12" s="141" t="s">
        <v>1184</v>
      </c>
      <c r="KM12" s="70" t="s">
        <v>1137</v>
      </c>
      <c r="KO12" s="71">
        <v>1000</v>
      </c>
      <c r="KP12" s="72" t="s">
        <v>994</v>
      </c>
      <c r="KR12" s="70" t="s">
        <v>1009</v>
      </c>
      <c r="KS12" s="218" t="s">
        <v>1353</v>
      </c>
      <c r="KV12" s="70" t="s">
        <v>1352</v>
      </c>
      <c r="KW12" s="72" t="s">
        <v>993</v>
      </c>
      <c r="KX12" s="72" t="s">
        <v>1194</v>
      </c>
      <c r="KY12" s="72" t="s">
        <v>439</v>
      </c>
      <c r="KZ12" s="71" t="s">
        <v>652</v>
      </c>
      <c r="LA12" s="71" t="s">
        <v>652</v>
      </c>
      <c r="LB12" s="145" t="s">
        <v>1192</v>
      </c>
      <c r="LC12" s="145" t="s">
        <v>1192</v>
      </c>
      <c r="LD12" s="70" t="s">
        <v>741</v>
      </c>
      <c r="LE12" s="70" t="s">
        <v>741</v>
      </c>
      <c r="LF12" s="70" t="s">
        <v>741</v>
      </c>
      <c r="LM12" s="144" t="str">
        <f>HYPERLINK("C:\SVN\SALT ADMIN 525\Projects\SALT\Snapshots\HappyPath_SingleProduct_AUS_IN-MU-LT-J27201\201571\15591\Iterator_9\HappyPath_SingleProduct_AUS9.xlsx","Snapshot")</f>
        <v>Snapshot</v>
      </c>
      <c r="LN12" s="72">
        <v>4812</v>
      </c>
      <c r="LO12" s="72">
        <v>23</v>
      </c>
      <c r="LP12" s="72" t="s">
        <v>1338</v>
      </c>
      <c r="LQ12" s="142" t="s">
        <v>1185</v>
      </c>
      <c r="LR12" s="73" t="s">
        <v>194</v>
      </c>
      <c r="LS12" s="70">
        <v>10</v>
      </c>
      <c r="LT12" s="70">
        <v>2016</v>
      </c>
      <c r="LU12" s="72">
        <v>222</v>
      </c>
      <c r="LV12" s="72">
        <v>15</v>
      </c>
      <c r="LW12" s="72" t="s">
        <v>459</v>
      </c>
      <c r="LX12" s="72">
        <v>1980</v>
      </c>
      <c r="LY12" s="70" t="b">
        <v>1</v>
      </c>
      <c r="LZ12" s="70" t="s">
        <v>78</v>
      </c>
      <c r="MA12" s="70" t="s">
        <v>474</v>
      </c>
      <c r="MB12" s="70">
        <v>111111</v>
      </c>
      <c r="MC12" s="70">
        <v>111111</v>
      </c>
      <c r="MD12" s="70">
        <v>18</v>
      </c>
      <c r="ME12" s="70" t="s">
        <v>443</v>
      </c>
      <c r="MF12" s="70">
        <v>2016</v>
      </c>
      <c r="MG12" s="70" t="s">
        <v>1027</v>
      </c>
      <c r="MH12" s="73" t="s">
        <v>1365</v>
      </c>
      <c r="MI12" s="139" t="s">
        <v>1354</v>
      </c>
      <c r="MN12" s="73"/>
      <c r="MO12" s="72" t="s">
        <v>1209</v>
      </c>
      <c r="MP12" s="115" t="s">
        <v>1076</v>
      </c>
      <c r="MQ12" s="72" t="s">
        <v>462</v>
      </c>
      <c r="MR12" s="72" t="s">
        <v>1182</v>
      </c>
      <c r="MW12" s="139" t="s">
        <v>1193</v>
      </c>
      <c r="MX12" s="72" t="s">
        <v>58</v>
      </c>
      <c r="MY12" s="115" t="s">
        <v>1076</v>
      </c>
      <c r="MZ12" s="72" t="s">
        <v>22</v>
      </c>
      <c r="NA12" s="71" t="s">
        <v>1341</v>
      </c>
      <c r="NC12" s="140" t="s">
        <v>1117</v>
      </c>
      <c r="ND12" s="144" t="str">
        <f>HYPERLINK("C:\SVN\SALT ADMIN 525\Projects\SALT\Snapshots\HappyPath_SingleProduct_AUS_IN-MU-LT-J27201\201571\15591\Iterator_9\Merge.html","Result")</f>
        <v>Result</v>
      </c>
      <c r="NE12" s="72" t="s">
        <v>1058</v>
      </c>
    </row>
    <row r="13" spans="1:370" s="72" customFormat="1" ht="15" customHeight="1">
      <c r="A13" s="131"/>
      <c r="B13" s="132">
        <v>10</v>
      </c>
      <c r="C13" s="133" t="s">
        <v>1378</v>
      </c>
      <c r="D13" s="72" t="s">
        <v>1058</v>
      </c>
      <c r="E13" s="72" t="s">
        <v>1340</v>
      </c>
      <c r="F13" s="134" t="str">
        <f>HYPERLINK("C:\SVN\SALT ADMIN 525\Projects\SALT\Snapshots\HappyPath_SingleProduct_AUS_IN-MU-LT-J27423\2015723\16613\Iterator_10\HappyPath_SingleProduct_AUS10.xlsx","Snapshot")</f>
        <v>Snapshot</v>
      </c>
      <c r="G13" s="134" t="str">
        <f>HYPERLINK("C:\SVN\SALT ADMIN 525\Projects\SALT\Snapshots\HappyPath_SingleProduct_AUS_IN-MU-LT-J27423\2015723\16613\Iterator_10\Merge.html","Result")</f>
        <v>Result</v>
      </c>
      <c r="M13" s="72" t="s">
        <v>442</v>
      </c>
      <c r="N13" s="72">
        <v>16</v>
      </c>
      <c r="O13" s="72">
        <v>1990</v>
      </c>
      <c r="P13" s="72" t="s">
        <v>442</v>
      </c>
      <c r="Q13" s="72">
        <v>16</v>
      </c>
      <c r="R13" s="72">
        <v>2035</v>
      </c>
      <c r="T13" s="73" t="s">
        <v>488</v>
      </c>
      <c r="U13" s="72">
        <v>10</v>
      </c>
      <c r="V13" s="72">
        <v>2021</v>
      </c>
      <c r="BL13" s="73" t="s">
        <v>1169</v>
      </c>
      <c r="EF13" s="72">
        <v>9</v>
      </c>
      <c r="EG13" s="72" t="s">
        <v>1170</v>
      </c>
      <c r="EH13" s="72">
        <v>1988</v>
      </c>
      <c r="EI13" s="69">
        <v>8</v>
      </c>
      <c r="EJ13" s="69" t="s">
        <v>1188</v>
      </c>
      <c r="EK13" s="72">
        <v>2027</v>
      </c>
      <c r="EL13" s="73">
        <v>546</v>
      </c>
      <c r="EM13" s="72" t="s">
        <v>446</v>
      </c>
      <c r="EN13" s="72">
        <v>23456723</v>
      </c>
      <c r="EO13" s="73">
        <v>60000</v>
      </c>
      <c r="EP13" s="72" t="s">
        <v>1172</v>
      </c>
      <c r="EQ13" s="72">
        <v>10</v>
      </c>
      <c r="ER13" s="72">
        <v>2018</v>
      </c>
      <c r="EY13" s="73" t="s">
        <v>74</v>
      </c>
      <c r="GI13" s="139">
        <v>450</v>
      </c>
      <c r="GJ13" s="139">
        <v>719.42</v>
      </c>
      <c r="GK13" s="136"/>
      <c r="GL13" s="137" t="s">
        <v>1173</v>
      </c>
      <c r="GO13" s="73" t="s">
        <v>488</v>
      </c>
      <c r="GQ13" s="73" t="s">
        <v>497</v>
      </c>
      <c r="GR13" s="73" t="s">
        <v>69</v>
      </c>
      <c r="GS13" s="138"/>
      <c r="GT13" s="72">
        <v>1250</v>
      </c>
      <c r="GV13" s="139"/>
      <c r="HD13" s="135">
        <v>41757.982314814813</v>
      </c>
      <c r="HE13" s="135">
        <v>41757.986585648148</v>
      </c>
      <c r="HH13" s="140" t="s">
        <v>1175</v>
      </c>
      <c r="HI13" s="72" t="s">
        <v>435</v>
      </c>
      <c r="HJ13" s="73" t="s">
        <v>436</v>
      </c>
      <c r="HO13" s="139"/>
      <c r="HQ13" s="72" t="s">
        <v>437</v>
      </c>
      <c r="HR13" s="72" t="s">
        <v>1211</v>
      </c>
      <c r="HS13" s="72" t="s">
        <v>444</v>
      </c>
      <c r="HT13" s="72" t="s">
        <v>1197</v>
      </c>
      <c r="HU13" s="73" t="s">
        <v>441</v>
      </c>
      <c r="HV13" s="72" t="s">
        <v>442</v>
      </c>
      <c r="HW13" s="74" t="s">
        <v>1208</v>
      </c>
      <c r="HX13" s="72" t="s">
        <v>78</v>
      </c>
      <c r="HY13" s="73" t="s">
        <v>1111</v>
      </c>
      <c r="IA13" s="72">
        <v>123456</v>
      </c>
      <c r="IB13" s="72">
        <v>123456</v>
      </c>
      <c r="IC13" s="72">
        <v>11</v>
      </c>
      <c r="ID13" s="72" t="s">
        <v>443</v>
      </c>
      <c r="IE13" s="72">
        <v>2037</v>
      </c>
      <c r="IF13" s="72" t="s">
        <v>445</v>
      </c>
      <c r="IG13" s="73" t="s">
        <v>498</v>
      </c>
      <c r="IH13" s="73" t="s">
        <v>498</v>
      </c>
      <c r="II13" s="145" t="s">
        <v>1192</v>
      </c>
      <c r="IJ13" s="145" t="s">
        <v>1192</v>
      </c>
      <c r="IK13" s="72" t="s">
        <v>446</v>
      </c>
      <c r="IL13" s="72" t="s">
        <v>499</v>
      </c>
      <c r="IM13" s="72" t="s">
        <v>499</v>
      </c>
      <c r="IN13" s="73" t="s">
        <v>485</v>
      </c>
      <c r="IO13" s="73" t="s">
        <v>450</v>
      </c>
      <c r="IP13" s="73" t="s">
        <v>194</v>
      </c>
      <c r="IR13" s="72" t="s">
        <v>439</v>
      </c>
      <c r="IS13" s="72">
        <v>108</v>
      </c>
      <c r="IT13" s="72">
        <v>10</v>
      </c>
      <c r="IU13" s="72">
        <v>2021</v>
      </c>
      <c r="IV13" s="73" t="s">
        <v>449</v>
      </c>
      <c r="IW13" s="73" t="s">
        <v>488</v>
      </c>
      <c r="IX13" s="73"/>
      <c r="IY13" s="73"/>
      <c r="IZ13" s="73"/>
      <c r="JB13" s="73" t="s">
        <v>448</v>
      </c>
      <c r="JC13" s="73" t="s">
        <v>449</v>
      </c>
      <c r="JD13" s="73">
        <v>123</v>
      </c>
      <c r="JM13" s="121"/>
      <c r="JN13" s="121"/>
      <c r="JP13" s="73" t="s">
        <v>645</v>
      </c>
      <c r="JW13" s="135">
        <v>42208.670983796299</v>
      </c>
      <c r="JX13" s="135">
        <v>42208.673043981478</v>
      </c>
      <c r="JY13" s="72" t="s">
        <v>723</v>
      </c>
      <c r="KL13" s="141" t="s">
        <v>1184</v>
      </c>
      <c r="KM13" s="70" t="s">
        <v>74</v>
      </c>
      <c r="KO13" s="71">
        <v>1000</v>
      </c>
      <c r="KP13" s="72" t="s">
        <v>994</v>
      </c>
      <c r="KR13" s="70" t="s">
        <v>1009</v>
      </c>
      <c r="KS13" s="218" t="s">
        <v>1353</v>
      </c>
      <c r="KV13" s="70" t="s">
        <v>1352</v>
      </c>
      <c r="KW13" s="72" t="s">
        <v>993</v>
      </c>
      <c r="KX13" s="72" t="s">
        <v>1211</v>
      </c>
      <c r="KY13" s="72" t="s">
        <v>439</v>
      </c>
      <c r="KZ13" s="71" t="s">
        <v>652</v>
      </c>
      <c r="LA13" s="71" t="s">
        <v>652</v>
      </c>
      <c r="LB13" s="145" t="s">
        <v>1192</v>
      </c>
      <c r="LC13" s="145" t="s">
        <v>1192</v>
      </c>
      <c r="LD13" s="70" t="s">
        <v>741</v>
      </c>
      <c r="LE13" s="70" t="s">
        <v>741</v>
      </c>
      <c r="LF13" s="70" t="s">
        <v>741</v>
      </c>
      <c r="LM13" s="144" t="str">
        <f>HYPERLINK("C:\SVN\SALT ADMIN 525\Projects\SALT\Snapshots\HappyPath_SingleProduct_AUS_IN-MU-LT-J27201\201572\141225\Iterator_10\HappyPath_SingleProduct_AUS10.xlsx","Snapshot")</f>
        <v>Snapshot</v>
      </c>
      <c r="LN13" s="72">
        <v>4812</v>
      </c>
      <c r="LO13" s="72">
        <v>23</v>
      </c>
      <c r="LP13" s="72" t="s">
        <v>1338</v>
      </c>
      <c r="LQ13" s="142" t="s">
        <v>1185</v>
      </c>
      <c r="LR13" s="73" t="s">
        <v>194</v>
      </c>
      <c r="LS13" s="70">
        <v>10</v>
      </c>
      <c r="LT13" s="70">
        <v>2016</v>
      </c>
      <c r="LU13" s="72">
        <v>222</v>
      </c>
      <c r="LV13" s="72">
        <v>15</v>
      </c>
      <c r="LW13" s="72" t="s">
        <v>459</v>
      </c>
      <c r="LX13" s="72">
        <v>1980</v>
      </c>
      <c r="LY13" s="70" t="b">
        <v>1</v>
      </c>
      <c r="LZ13" s="70" t="s">
        <v>78</v>
      </c>
      <c r="MA13" s="70" t="s">
        <v>474</v>
      </c>
      <c r="MB13" s="70">
        <v>111111</v>
      </c>
      <c r="MC13" s="70">
        <v>111111</v>
      </c>
      <c r="MD13" s="70">
        <v>18</v>
      </c>
      <c r="ME13" s="70" t="s">
        <v>443</v>
      </c>
      <c r="MF13" s="70">
        <v>2016</v>
      </c>
      <c r="MG13" s="70" t="s">
        <v>1027</v>
      </c>
      <c r="MH13" s="73" t="s">
        <v>1366</v>
      </c>
      <c r="MI13" s="139" t="s">
        <v>1357</v>
      </c>
      <c r="MN13" s="73"/>
      <c r="MO13" s="72" t="s">
        <v>1210</v>
      </c>
      <c r="MP13" s="115" t="s">
        <v>1076</v>
      </c>
      <c r="MQ13" s="72" t="s">
        <v>462</v>
      </c>
      <c r="MR13" s="72" t="s">
        <v>1182</v>
      </c>
      <c r="MW13" s="139" t="s">
        <v>1193</v>
      </c>
      <c r="MX13" s="72" t="s">
        <v>58</v>
      </c>
      <c r="MY13" s="115" t="s">
        <v>1076</v>
      </c>
      <c r="MZ13" s="72" t="s">
        <v>22</v>
      </c>
      <c r="NA13" s="71" t="s">
        <v>1341</v>
      </c>
      <c r="NC13" s="140" t="s">
        <v>1117</v>
      </c>
      <c r="ND13" s="144" t="str">
        <f>HYPERLINK("C:\SVN\SALT ADMIN 525\Projects\SALT\Snapshots\HappyPath_SingleProduct_AUS_IN-MU-LT-J27201\201572\141225\Iterator_10\Merge.html","Result")</f>
        <v>Result</v>
      </c>
      <c r="NE13" s="146" t="s">
        <v>1058</v>
      </c>
    </row>
    <row r="14" spans="1:370" s="148" customFormat="1" ht="15" customHeight="1">
      <c r="A14" s="89"/>
      <c r="B14" s="147">
        <v>11</v>
      </c>
      <c r="C14" s="133" t="s">
        <v>1378</v>
      </c>
      <c r="D14" s="148" t="s">
        <v>1069</v>
      </c>
      <c r="E14" s="148" t="s">
        <v>1340</v>
      </c>
      <c r="F14" s="157" t="s">
        <v>1374</v>
      </c>
      <c r="G14" s="157"/>
      <c r="H14" s="72"/>
      <c r="I14" s="72"/>
      <c r="J14" s="72"/>
      <c r="K14" s="72"/>
      <c r="L14" s="72"/>
      <c r="M14" s="72" t="s">
        <v>1202</v>
      </c>
      <c r="N14" s="72">
        <v>17</v>
      </c>
      <c r="O14" s="72">
        <v>1987</v>
      </c>
      <c r="P14" s="72" t="s">
        <v>1202</v>
      </c>
      <c r="Q14" s="72">
        <v>17</v>
      </c>
      <c r="R14" s="72">
        <v>2036</v>
      </c>
      <c r="S14" s="72"/>
      <c r="T14" s="73" t="s">
        <v>488</v>
      </c>
      <c r="U14" s="72">
        <v>10</v>
      </c>
      <c r="V14" s="72">
        <v>2022</v>
      </c>
      <c r="W14" s="72"/>
      <c r="X14" s="72"/>
      <c r="Y14" s="72"/>
      <c r="Z14" s="72"/>
      <c r="AA14" s="72"/>
      <c r="AB14" s="72"/>
      <c r="AC14" s="72"/>
      <c r="AD14" s="72"/>
      <c r="AE14" s="72"/>
      <c r="AF14" s="72"/>
      <c r="AG14" s="72"/>
      <c r="AH14" s="72"/>
      <c r="AI14" s="72"/>
      <c r="AJ14" s="72"/>
      <c r="AK14" s="72"/>
      <c r="AL14" s="72"/>
      <c r="AM14" s="72"/>
      <c r="AN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3" t="s">
        <v>1169</v>
      </c>
      <c r="BM14" s="72"/>
      <c r="BN14" s="72"/>
      <c r="BO14" s="72"/>
      <c r="BP14" s="72"/>
      <c r="BQ14" s="72"/>
      <c r="BR14" s="72"/>
      <c r="BS14" s="72"/>
      <c r="BT14" s="72"/>
      <c r="BU14" s="72"/>
      <c r="BV14" s="72"/>
      <c r="BW14" s="72"/>
      <c r="BX14" s="72"/>
      <c r="BY14" s="72"/>
      <c r="BZ14" s="72"/>
      <c r="CA14" s="72"/>
      <c r="CB14" s="72"/>
      <c r="CC14" s="72"/>
      <c r="CD14" s="72"/>
      <c r="CE14" s="72"/>
      <c r="CF14" s="72"/>
      <c r="CG14" s="72"/>
      <c r="CH14" s="72"/>
      <c r="CI14" s="72"/>
      <c r="CJ14" s="72"/>
      <c r="CK14" s="72"/>
      <c r="CL14" s="72"/>
      <c r="CM14" s="72"/>
      <c r="CN14" s="72"/>
      <c r="CO14" s="72"/>
      <c r="CP14" s="72"/>
      <c r="CQ14" s="72"/>
      <c r="CR14" s="72"/>
      <c r="CS14" s="72"/>
      <c r="CT14" s="72"/>
      <c r="CU14" s="72"/>
      <c r="CV14" s="72"/>
      <c r="CW14" s="72"/>
      <c r="CX14" s="72"/>
      <c r="CY14" s="72"/>
      <c r="CZ14" s="72"/>
      <c r="DA14" s="72"/>
      <c r="DB14" s="72"/>
      <c r="DC14" s="72"/>
      <c r="DD14" s="72"/>
      <c r="DE14" s="72"/>
      <c r="DF14" s="72"/>
      <c r="DG14" s="72"/>
      <c r="DH14" s="72"/>
      <c r="DI14" s="72"/>
      <c r="DJ14" s="72"/>
      <c r="DK14" s="72"/>
      <c r="DL14" s="72"/>
      <c r="DM14" s="72"/>
      <c r="DN14" s="72"/>
      <c r="DO14" s="72"/>
      <c r="DP14" s="72"/>
      <c r="DQ14" s="72"/>
      <c r="DR14" s="72"/>
      <c r="DS14" s="72"/>
      <c r="DT14" s="72"/>
      <c r="DU14" s="72"/>
      <c r="DV14" s="72"/>
      <c r="DW14" s="72"/>
      <c r="DX14" s="72"/>
      <c r="DY14" s="72"/>
      <c r="DZ14" s="72"/>
      <c r="EA14" s="72"/>
      <c r="EB14" s="72"/>
      <c r="EC14" s="72"/>
      <c r="ED14" s="72"/>
      <c r="EE14" s="72"/>
      <c r="EF14" s="72">
        <v>5</v>
      </c>
      <c r="EG14" s="72" t="s">
        <v>1170</v>
      </c>
      <c r="EH14" s="72">
        <v>1988</v>
      </c>
      <c r="EI14" s="69">
        <v>9</v>
      </c>
      <c r="EJ14" s="69" t="s">
        <v>1195</v>
      </c>
      <c r="EK14" s="72">
        <v>2028</v>
      </c>
      <c r="EL14" s="73">
        <v>123</v>
      </c>
      <c r="EM14" s="72" t="s">
        <v>446</v>
      </c>
      <c r="EN14" s="72">
        <v>23456723</v>
      </c>
      <c r="EO14" s="73">
        <v>60000</v>
      </c>
      <c r="EP14" s="72" t="s">
        <v>1172</v>
      </c>
      <c r="EQ14" s="72">
        <v>10</v>
      </c>
      <c r="ER14" s="72">
        <v>2018</v>
      </c>
      <c r="ES14" s="72"/>
      <c r="EV14" s="72"/>
      <c r="EW14" s="72"/>
      <c r="EX14" s="72"/>
      <c r="EY14" s="72" t="s">
        <v>462</v>
      </c>
      <c r="EZ14" s="146"/>
      <c r="FA14" s="146"/>
      <c r="FB14" s="146"/>
      <c r="FC14" s="146"/>
      <c r="FD14" s="146"/>
      <c r="FE14" s="146"/>
      <c r="FF14" s="146"/>
      <c r="FG14" s="146"/>
      <c r="FH14" s="146"/>
      <c r="FI14" s="146"/>
      <c r="FJ14" s="146"/>
      <c r="FK14" s="146"/>
      <c r="FL14" s="146"/>
      <c r="FM14" s="146"/>
      <c r="FN14" s="146"/>
      <c r="FO14" s="146"/>
      <c r="FP14" s="146"/>
      <c r="FQ14" s="146"/>
      <c r="FR14" s="146"/>
      <c r="FS14" s="146"/>
      <c r="FT14" s="146"/>
      <c r="FU14" s="146"/>
      <c r="FV14" s="146"/>
      <c r="FW14" s="146"/>
      <c r="FX14" s="146"/>
      <c r="FY14" s="146"/>
      <c r="GC14" s="72"/>
      <c r="GD14" s="72"/>
      <c r="GE14" s="72"/>
      <c r="GF14" s="72"/>
      <c r="GG14" s="72"/>
      <c r="GH14" s="72"/>
      <c r="GI14" s="139">
        <v>300</v>
      </c>
      <c r="GJ14" s="139">
        <v>286.39999999999998</v>
      </c>
      <c r="GK14" s="136"/>
      <c r="GL14" s="137" t="s">
        <v>1173</v>
      </c>
      <c r="GM14" s="72"/>
      <c r="GN14" s="72"/>
      <c r="GO14" s="73" t="s">
        <v>488</v>
      </c>
      <c r="GP14" s="72"/>
      <c r="GQ14" s="140" t="s">
        <v>497</v>
      </c>
      <c r="GR14" s="140" t="s">
        <v>463</v>
      </c>
      <c r="GS14" s="149"/>
      <c r="GT14" s="146">
        <v>1000</v>
      </c>
      <c r="GU14" s="150"/>
      <c r="GV14" s="151"/>
      <c r="GW14" s="72"/>
      <c r="GX14" s="72"/>
      <c r="GY14" s="72"/>
      <c r="GZ14" s="72"/>
      <c r="HA14" s="72"/>
      <c r="HB14" s="72"/>
      <c r="HC14" s="72"/>
      <c r="HD14" s="135">
        <v>41757.986631944441</v>
      </c>
      <c r="HE14" s="135">
        <v>41757.991273148145</v>
      </c>
      <c r="HH14" s="140" t="s">
        <v>1175</v>
      </c>
      <c r="HI14" s="146" t="s">
        <v>435</v>
      </c>
      <c r="HJ14" s="140" t="s">
        <v>436</v>
      </c>
      <c r="HK14" s="146"/>
      <c r="HL14" s="146"/>
      <c r="HO14" s="152"/>
      <c r="HQ14" s="146" t="s">
        <v>437</v>
      </c>
      <c r="HR14" s="146" t="s">
        <v>438</v>
      </c>
      <c r="HS14" s="146" t="s">
        <v>444</v>
      </c>
      <c r="HT14" s="146" t="s">
        <v>439</v>
      </c>
      <c r="HU14" s="140" t="s">
        <v>441</v>
      </c>
      <c r="HV14" s="146" t="s">
        <v>442</v>
      </c>
      <c r="HW14" s="153" t="s">
        <v>1208</v>
      </c>
      <c r="HX14" s="146" t="s">
        <v>78</v>
      </c>
      <c r="HY14" s="140" t="s">
        <v>1111</v>
      </c>
      <c r="HZ14" s="146"/>
      <c r="IA14" s="146">
        <v>123456</v>
      </c>
      <c r="IB14" s="146">
        <v>123456</v>
      </c>
      <c r="IC14" s="146">
        <v>11</v>
      </c>
      <c r="ID14" s="146" t="s">
        <v>443</v>
      </c>
      <c r="IE14" s="146">
        <v>2037</v>
      </c>
      <c r="IF14" s="146" t="s">
        <v>445</v>
      </c>
      <c r="IG14" s="140" t="s">
        <v>498</v>
      </c>
      <c r="IH14" s="140" t="s">
        <v>498</v>
      </c>
      <c r="II14" s="145" t="s">
        <v>1192</v>
      </c>
      <c r="IJ14" s="145" t="s">
        <v>1192</v>
      </c>
      <c r="IK14" s="146" t="s">
        <v>446</v>
      </c>
      <c r="IL14" s="146" t="s">
        <v>499</v>
      </c>
      <c r="IM14" s="146" t="s">
        <v>499</v>
      </c>
      <c r="IN14" s="140" t="s">
        <v>485</v>
      </c>
      <c r="IO14" s="140"/>
      <c r="IP14" s="140"/>
      <c r="IQ14" s="146"/>
      <c r="IR14" s="146" t="s">
        <v>439</v>
      </c>
      <c r="IS14" s="146">
        <v>108</v>
      </c>
      <c r="IT14" s="146">
        <v>10</v>
      </c>
      <c r="IU14" s="146">
        <v>2021</v>
      </c>
      <c r="IV14" s="140" t="s">
        <v>449</v>
      </c>
      <c r="IW14" s="140" t="s">
        <v>488</v>
      </c>
      <c r="IX14" s="140"/>
      <c r="IY14" s="140"/>
      <c r="IZ14" s="140"/>
      <c r="JA14" s="146"/>
      <c r="JB14" s="140" t="s">
        <v>448</v>
      </c>
      <c r="JC14" s="140" t="s">
        <v>449</v>
      </c>
      <c r="JD14" s="140">
        <v>456</v>
      </c>
      <c r="JG14" s="146"/>
      <c r="JH14" s="146"/>
      <c r="JI14" s="72"/>
      <c r="JJ14" s="72"/>
      <c r="JK14" s="72"/>
      <c r="JL14" s="72"/>
      <c r="JM14" s="121"/>
      <c r="JN14" s="121"/>
      <c r="JO14" s="72"/>
      <c r="JP14" s="140" t="s">
        <v>1144</v>
      </c>
      <c r="JQ14" s="72"/>
      <c r="JR14" s="72"/>
      <c r="JS14" s="72"/>
      <c r="JT14" s="72"/>
      <c r="JU14" s="72"/>
      <c r="JV14" s="72"/>
      <c r="JW14" s="135">
        <v>42208.673067129632</v>
      </c>
      <c r="JX14" s="135">
        <v>42208.675057870372</v>
      </c>
      <c r="JY14" s="72" t="s">
        <v>1368</v>
      </c>
      <c r="JZ14" s="72"/>
      <c r="KA14" s="72"/>
      <c r="KB14" s="72"/>
      <c r="KC14" s="72"/>
      <c r="KD14" s="72"/>
      <c r="KE14" s="72"/>
      <c r="KF14" s="72"/>
      <c r="KG14" s="72"/>
      <c r="KH14" s="72"/>
      <c r="KI14" s="72"/>
      <c r="KJ14" s="72"/>
      <c r="KK14" s="72"/>
      <c r="KL14" s="141" t="s">
        <v>1184</v>
      </c>
      <c r="KM14" s="90" t="s">
        <v>440</v>
      </c>
      <c r="KO14" s="71">
        <v>1200</v>
      </c>
      <c r="KP14" s="148" t="s">
        <v>994</v>
      </c>
      <c r="KR14" s="155" t="s">
        <v>1213</v>
      </c>
      <c r="KS14" s="218" t="s">
        <v>1353</v>
      </c>
      <c r="KV14" s="70" t="s">
        <v>1352</v>
      </c>
      <c r="KW14" s="72" t="s">
        <v>993</v>
      </c>
      <c r="KX14" s="148" t="s">
        <v>438</v>
      </c>
      <c r="KY14" s="148" t="s">
        <v>1197</v>
      </c>
      <c r="KZ14" s="91" t="s">
        <v>652</v>
      </c>
      <c r="LA14" s="91" t="s">
        <v>652</v>
      </c>
      <c r="LB14" s="145" t="s">
        <v>1192</v>
      </c>
      <c r="LC14" s="145" t="s">
        <v>1192</v>
      </c>
      <c r="LD14" s="90" t="s">
        <v>741</v>
      </c>
      <c r="LE14" s="90" t="s">
        <v>741</v>
      </c>
      <c r="LF14" s="90" t="s">
        <v>741</v>
      </c>
      <c r="LM14" s="156" t="str">
        <f>HYPERLINK("C:\SVN\SALT ADMIN 525\Projects\SALT\Snapshots\HappyPath_SingleProduct_AUS_IN-MU-LT-J27201\2015630\205234\Iterator_11\HappyPath_SingleProduct_AUS11.xlsx","Snapshot")</f>
        <v>Snapshot</v>
      </c>
      <c r="LN14" s="148">
        <v>4812</v>
      </c>
      <c r="LO14" s="72">
        <v>23</v>
      </c>
      <c r="LP14" s="72" t="s">
        <v>1338</v>
      </c>
      <c r="LQ14" s="154"/>
      <c r="LV14" s="72">
        <v>15</v>
      </c>
      <c r="LW14" s="72" t="s">
        <v>459</v>
      </c>
      <c r="LX14" s="72">
        <v>1980</v>
      </c>
      <c r="LY14" s="70" t="b">
        <v>1</v>
      </c>
      <c r="LZ14" s="70" t="s">
        <v>78</v>
      </c>
      <c r="MA14" s="70" t="s">
        <v>474</v>
      </c>
      <c r="MB14" s="70">
        <v>111111</v>
      </c>
      <c r="MC14" s="70">
        <v>111111</v>
      </c>
      <c r="MD14" s="70">
        <v>18</v>
      </c>
      <c r="ME14" s="70" t="s">
        <v>443</v>
      </c>
      <c r="MF14" s="70">
        <v>2016</v>
      </c>
      <c r="MG14" s="70" t="s">
        <v>1027</v>
      </c>
      <c r="MH14" s="155" t="s">
        <v>1124</v>
      </c>
      <c r="MI14" s="152" t="s">
        <v>1367</v>
      </c>
      <c r="MJ14" s="72"/>
      <c r="MK14" s="72"/>
      <c r="ML14" s="72"/>
      <c r="MM14" s="72"/>
      <c r="MN14" s="140"/>
      <c r="MO14" s="72" t="s">
        <v>1212</v>
      </c>
      <c r="MP14" s="115" t="s">
        <v>1076</v>
      </c>
      <c r="MQ14" s="146" t="s">
        <v>462</v>
      </c>
      <c r="MR14" s="72" t="s">
        <v>1182</v>
      </c>
      <c r="MV14" s="72"/>
      <c r="MW14" s="139" t="s">
        <v>1193</v>
      </c>
      <c r="MX14" s="148" t="s">
        <v>58</v>
      </c>
      <c r="MY14" s="115" t="s">
        <v>1076</v>
      </c>
      <c r="MZ14" s="148" t="s">
        <v>22</v>
      </c>
      <c r="NA14" s="71" t="s">
        <v>1341</v>
      </c>
      <c r="NC14" s="140" t="s">
        <v>1117</v>
      </c>
      <c r="ND14" s="156" t="str">
        <f>HYPERLINK("C:\SVN\SALT ADMIN 525\Projects\SALT\Snapshots\HappyPath_SingleProduct_AUS_IN-MU-LT-J27201\2015630\205234\Iterator_11\Merge.html","Result")</f>
        <v>Result</v>
      </c>
      <c r="NE14" s="146" t="s">
        <v>1058</v>
      </c>
    </row>
    <row r="15" spans="1:370" s="148" customFormat="1" ht="15" customHeight="1">
      <c r="A15" s="89"/>
      <c r="B15" s="147">
        <v>12</v>
      </c>
      <c r="C15" s="133" t="s">
        <v>1378</v>
      </c>
      <c r="D15" s="148" t="s">
        <v>1069</v>
      </c>
      <c r="E15" s="148" t="s">
        <v>1340</v>
      </c>
      <c r="F15" s="157"/>
      <c r="G15" s="157"/>
      <c r="H15" s="72"/>
      <c r="I15" s="72"/>
      <c r="J15" s="72"/>
      <c r="K15" s="72"/>
      <c r="L15" s="72"/>
      <c r="M15" s="72" t="s">
        <v>1202</v>
      </c>
      <c r="N15" s="72">
        <v>17</v>
      </c>
      <c r="O15" s="72">
        <v>1987</v>
      </c>
      <c r="P15" s="72" t="s">
        <v>1202</v>
      </c>
      <c r="Q15" s="72">
        <v>17</v>
      </c>
      <c r="R15" s="72">
        <v>2036</v>
      </c>
      <c r="S15" s="72"/>
      <c r="T15" s="73" t="s">
        <v>488</v>
      </c>
      <c r="U15" s="72">
        <v>10</v>
      </c>
      <c r="V15" s="72">
        <v>2022</v>
      </c>
      <c r="W15" s="72"/>
      <c r="X15" s="72"/>
      <c r="Y15" s="72"/>
      <c r="Z15" s="72"/>
      <c r="AA15" s="72"/>
      <c r="AB15" s="72"/>
      <c r="AC15" s="72"/>
      <c r="AD15" s="72"/>
      <c r="AE15" s="72"/>
      <c r="AF15" s="72"/>
      <c r="AG15" s="72"/>
      <c r="AH15" s="72"/>
      <c r="AI15" s="72"/>
      <c r="AJ15" s="72"/>
      <c r="AK15" s="72"/>
      <c r="AL15" s="72"/>
      <c r="AM15" s="72"/>
      <c r="AN15" s="72"/>
      <c r="AO15" s="72"/>
      <c r="AP15" s="72"/>
      <c r="AQ15" s="72"/>
      <c r="AR15" s="72"/>
      <c r="AS15" s="72"/>
      <c r="AT15" s="72"/>
      <c r="AU15" s="72"/>
      <c r="AV15" s="72"/>
      <c r="AW15" s="72"/>
      <c r="AX15" s="72"/>
      <c r="AY15" s="72"/>
      <c r="AZ15" s="72"/>
      <c r="BA15" s="72"/>
      <c r="BB15" s="72"/>
      <c r="BC15" s="72"/>
      <c r="BD15" s="72"/>
      <c r="BE15" s="72"/>
      <c r="BF15" s="72"/>
      <c r="BG15" s="72"/>
      <c r="BH15" s="72"/>
      <c r="BI15" s="72"/>
      <c r="BJ15" s="72"/>
      <c r="BK15" s="72"/>
      <c r="BL15" s="73" t="s">
        <v>1169</v>
      </c>
      <c r="BM15" s="72"/>
      <c r="BN15" s="72"/>
      <c r="BO15" s="72"/>
      <c r="BP15" s="72"/>
      <c r="BQ15" s="72"/>
      <c r="BR15" s="72"/>
      <c r="BS15" s="72"/>
      <c r="BT15" s="72"/>
      <c r="BU15" s="72"/>
      <c r="BV15" s="72"/>
      <c r="BW15" s="72"/>
      <c r="BX15" s="72"/>
      <c r="BY15" s="72"/>
      <c r="BZ15" s="72"/>
      <c r="CA15" s="72"/>
      <c r="CB15" s="72"/>
      <c r="CC15" s="72"/>
      <c r="CD15" s="72"/>
      <c r="CE15" s="72"/>
      <c r="CF15" s="72"/>
      <c r="CG15" s="72"/>
      <c r="CH15" s="72"/>
      <c r="CI15" s="72"/>
      <c r="CJ15" s="72"/>
      <c r="CK15" s="72"/>
      <c r="CL15" s="72"/>
      <c r="CM15" s="72"/>
      <c r="CN15" s="72"/>
      <c r="CO15" s="72"/>
      <c r="CP15" s="72"/>
      <c r="CQ15" s="72"/>
      <c r="CR15" s="72"/>
      <c r="CS15" s="72"/>
      <c r="CT15" s="72"/>
      <c r="CU15" s="72"/>
      <c r="CV15" s="72"/>
      <c r="CW15" s="72"/>
      <c r="CX15" s="72"/>
      <c r="CY15" s="72"/>
      <c r="CZ15" s="72"/>
      <c r="DA15" s="72"/>
      <c r="DB15" s="72"/>
      <c r="DC15" s="72"/>
      <c r="DD15" s="72"/>
      <c r="DE15" s="72"/>
      <c r="DF15" s="72"/>
      <c r="DG15" s="72"/>
      <c r="DH15" s="72"/>
      <c r="DI15" s="72"/>
      <c r="DJ15" s="72"/>
      <c r="DK15" s="72"/>
      <c r="DL15" s="72"/>
      <c r="DM15" s="72"/>
      <c r="DN15" s="72"/>
      <c r="DO15" s="72"/>
      <c r="DP15" s="72"/>
      <c r="DQ15" s="72"/>
      <c r="DR15" s="72"/>
      <c r="DS15" s="72"/>
      <c r="DT15" s="72"/>
      <c r="DU15" s="72"/>
      <c r="DV15" s="72"/>
      <c r="DW15" s="72"/>
      <c r="DX15" s="72"/>
      <c r="DY15" s="72"/>
      <c r="DZ15" s="72"/>
      <c r="EA15" s="72"/>
      <c r="EB15" s="72"/>
      <c r="EC15" s="72"/>
      <c r="ED15" s="72"/>
      <c r="EE15" s="72"/>
      <c r="EF15" s="72">
        <v>6</v>
      </c>
      <c r="EG15" s="72" t="s">
        <v>1170</v>
      </c>
      <c r="EH15" s="72">
        <v>1988</v>
      </c>
      <c r="EI15" s="69">
        <v>8</v>
      </c>
      <c r="EJ15" s="69" t="s">
        <v>1188</v>
      </c>
      <c r="EK15" s="72">
        <v>2027</v>
      </c>
      <c r="EL15" s="73">
        <v>456</v>
      </c>
      <c r="EM15" s="72" t="s">
        <v>446</v>
      </c>
      <c r="EN15" s="72">
        <v>23456723</v>
      </c>
      <c r="EO15" s="73">
        <v>60000</v>
      </c>
      <c r="EP15" s="72" t="s">
        <v>1172</v>
      </c>
      <c r="EQ15" s="72">
        <v>10</v>
      </c>
      <c r="ER15" s="72">
        <v>2018</v>
      </c>
      <c r="ES15" s="72"/>
      <c r="EV15" s="72"/>
      <c r="EW15" s="72"/>
      <c r="EX15" s="72"/>
      <c r="EY15" s="73" t="s">
        <v>729</v>
      </c>
      <c r="EZ15" s="146"/>
      <c r="FA15" s="146"/>
      <c r="FB15" s="146"/>
      <c r="FC15" s="146"/>
      <c r="FD15" s="146"/>
      <c r="FE15" s="146"/>
      <c r="FF15" s="146"/>
      <c r="FG15" s="146"/>
      <c r="FH15" s="146"/>
      <c r="FI15" s="146"/>
      <c r="FJ15" s="146"/>
      <c r="FK15" s="146"/>
      <c r="FL15" s="146"/>
      <c r="FM15" s="146"/>
      <c r="FN15" s="146"/>
      <c r="FO15" s="146"/>
      <c r="FP15" s="146"/>
      <c r="FQ15" s="146"/>
      <c r="FR15" s="146"/>
      <c r="FS15" s="146"/>
      <c r="FT15" s="146"/>
      <c r="FU15" s="146"/>
      <c r="FV15" s="146"/>
      <c r="FW15" s="146"/>
      <c r="FX15" s="146"/>
      <c r="FY15" s="146"/>
      <c r="GC15" s="72"/>
      <c r="GD15" s="72"/>
      <c r="GE15" s="72"/>
      <c r="GF15" s="72"/>
      <c r="GG15" s="72"/>
      <c r="GH15" s="72"/>
      <c r="GI15" s="139">
        <v>400</v>
      </c>
      <c r="GJ15" s="139">
        <v>381.86</v>
      </c>
      <c r="GK15" s="136"/>
      <c r="GL15" s="137" t="s">
        <v>1173</v>
      </c>
      <c r="GM15" s="72"/>
      <c r="GN15" s="72"/>
      <c r="GO15" s="73" t="s">
        <v>488</v>
      </c>
      <c r="GP15" s="72"/>
      <c r="GQ15" s="140" t="s">
        <v>497</v>
      </c>
      <c r="GR15" s="140" t="s">
        <v>69</v>
      </c>
      <c r="GS15" s="149"/>
      <c r="GT15" s="146">
        <v>800</v>
      </c>
      <c r="GU15" s="150"/>
      <c r="GV15" s="146"/>
      <c r="GW15" s="72"/>
      <c r="GX15" s="72"/>
      <c r="GY15" s="72"/>
      <c r="GZ15" s="72"/>
      <c r="HA15" s="72"/>
      <c r="HB15" s="72"/>
      <c r="HC15" s="72"/>
      <c r="HD15" s="135">
        <v>41757.991319444445</v>
      </c>
      <c r="HE15" s="135">
        <v>41757.995671296296</v>
      </c>
      <c r="HH15" s="140" t="s">
        <v>1175</v>
      </c>
      <c r="HI15" s="146" t="s">
        <v>435</v>
      </c>
      <c r="HJ15" s="140" t="s">
        <v>436</v>
      </c>
      <c r="HK15" s="146"/>
      <c r="HL15" s="146"/>
      <c r="HO15" s="152"/>
      <c r="HQ15" s="146" t="s">
        <v>437</v>
      </c>
      <c r="HR15" s="146" t="s">
        <v>438</v>
      </c>
      <c r="HS15" s="146" t="s">
        <v>444</v>
      </c>
      <c r="HT15" s="146" t="s">
        <v>439</v>
      </c>
      <c r="HU15" s="140" t="s">
        <v>441</v>
      </c>
      <c r="HV15" s="146" t="s">
        <v>442</v>
      </c>
      <c r="HW15" s="153" t="s">
        <v>1208</v>
      </c>
      <c r="HX15" s="146" t="s">
        <v>78</v>
      </c>
      <c r="HY15" s="140" t="s">
        <v>1111</v>
      </c>
      <c r="HZ15" s="146"/>
      <c r="IA15" s="146">
        <v>123456</v>
      </c>
      <c r="IB15" s="146">
        <v>123456</v>
      </c>
      <c r="IC15" s="146">
        <v>11</v>
      </c>
      <c r="ID15" s="146" t="s">
        <v>443</v>
      </c>
      <c r="IE15" s="146">
        <v>2037</v>
      </c>
      <c r="IF15" s="146" t="s">
        <v>445</v>
      </c>
      <c r="IG15" s="140" t="s">
        <v>498</v>
      </c>
      <c r="IH15" s="140" t="s">
        <v>498</v>
      </c>
      <c r="II15" s="145" t="s">
        <v>1192</v>
      </c>
      <c r="IJ15" s="145" t="s">
        <v>1192</v>
      </c>
      <c r="IK15" s="146" t="s">
        <v>446</v>
      </c>
      <c r="IL15" s="146" t="s">
        <v>499</v>
      </c>
      <c r="IM15" s="146" t="s">
        <v>499</v>
      </c>
      <c r="IN15" s="140" t="s">
        <v>485</v>
      </c>
      <c r="IO15" s="140"/>
      <c r="IP15" s="140"/>
      <c r="IQ15" s="146"/>
      <c r="IR15" s="146" t="s">
        <v>439</v>
      </c>
      <c r="IS15" s="146">
        <v>108</v>
      </c>
      <c r="IT15" s="146">
        <v>10</v>
      </c>
      <c r="IU15" s="146">
        <v>2021</v>
      </c>
      <c r="IV15" s="140" t="s">
        <v>449</v>
      </c>
      <c r="IW15" s="140" t="s">
        <v>488</v>
      </c>
      <c r="IX15" s="140"/>
      <c r="IY15" s="140"/>
      <c r="IZ15" s="140"/>
      <c r="JA15" s="146"/>
      <c r="JB15" s="140" t="s">
        <v>448</v>
      </c>
      <c r="JC15" s="140" t="s">
        <v>449</v>
      </c>
      <c r="JD15" s="140">
        <v>456</v>
      </c>
      <c r="JG15" s="146"/>
      <c r="JH15" s="146"/>
      <c r="JI15" s="72"/>
      <c r="JJ15" s="72"/>
      <c r="JK15" s="72"/>
      <c r="JL15" s="72"/>
      <c r="JM15" s="121"/>
      <c r="JN15" s="121"/>
      <c r="JO15" s="72"/>
      <c r="JP15" s="140" t="s">
        <v>1144</v>
      </c>
      <c r="JQ15" s="72"/>
      <c r="JR15" s="72"/>
      <c r="JS15" s="72"/>
      <c r="JT15" s="72"/>
      <c r="JU15" s="72"/>
      <c r="JV15" s="72"/>
      <c r="JW15" s="135">
        <v>42208.675081018519</v>
      </c>
      <c r="JX15" s="135">
        <v>42208.67695601852</v>
      </c>
      <c r="JY15" s="72" t="s">
        <v>1370</v>
      </c>
      <c r="JZ15" s="72"/>
      <c r="KA15" s="72"/>
      <c r="KB15" s="72"/>
      <c r="KC15" s="72"/>
      <c r="KD15" s="72"/>
      <c r="KE15" s="73"/>
      <c r="KF15" s="72"/>
      <c r="KG15" s="72"/>
      <c r="KH15" s="72"/>
      <c r="KI15" s="72"/>
      <c r="KJ15" s="72"/>
      <c r="KK15" s="72"/>
      <c r="KL15" s="141" t="s">
        <v>1184</v>
      </c>
      <c r="KM15" s="90" t="s">
        <v>1206</v>
      </c>
      <c r="KO15" s="71">
        <v>1000</v>
      </c>
      <c r="KP15" s="148" t="s">
        <v>994</v>
      </c>
      <c r="KR15" s="155" t="s">
        <v>1213</v>
      </c>
      <c r="KS15" s="218" t="s">
        <v>1353</v>
      </c>
      <c r="KV15" s="70" t="s">
        <v>1352</v>
      </c>
      <c r="KW15" s="72" t="s">
        <v>993</v>
      </c>
      <c r="KX15" s="148" t="s">
        <v>438</v>
      </c>
      <c r="KY15" s="148" t="s">
        <v>1197</v>
      </c>
      <c r="KZ15" s="91" t="s">
        <v>652</v>
      </c>
      <c r="LA15" s="91" t="s">
        <v>652</v>
      </c>
      <c r="LB15" s="145" t="s">
        <v>1192</v>
      </c>
      <c r="LC15" s="145" t="s">
        <v>1192</v>
      </c>
      <c r="LD15" s="90" t="s">
        <v>741</v>
      </c>
      <c r="LE15" s="90" t="s">
        <v>741</v>
      </c>
      <c r="LF15" s="90" t="s">
        <v>741</v>
      </c>
      <c r="LM15" s="156" t="str">
        <f>HYPERLINK("C:\SVN\SALT ADMIN 525\Projects\SALT\Snapshots\HappyPath_SingleProduct_AUS_IN-MU-LT-J27201\2015630\205423\Iterator_12\HappyPath_SingleProduct_AUS12.xlsx","Snapshot")</f>
        <v>Snapshot</v>
      </c>
      <c r="LN15" s="148">
        <v>4812</v>
      </c>
      <c r="LO15" s="72">
        <v>23</v>
      </c>
      <c r="LP15" s="72" t="s">
        <v>1338</v>
      </c>
      <c r="LQ15" s="154"/>
      <c r="LV15" s="72">
        <v>15</v>
      </c>
      <c r="LW15" s="72" t="s">
        <v>459</v>
      </c>
      <c r="LX15" s="72">
        <v>1980</v>
      </c>
      <c r="LY15" s="70" t="b">
        <v>1</v>
      </c>
      <c r="LZ15" s="70" t="s">
        <v>78</v>
      </c>
      <c r="MA15" s="70" t="s">
        <v>474</v>
      </c>
      <c r="MB15" s="70">
        <v>111111</v>
      </c>
      <c r="MC15" s="70">
        <v>111111</v>
      </c>
      <c r="MD15" s="70">
        <v>18</v>
      </c>
      <c r="ME15" s="70" t="s">
        <v>443</v>
      </c>
      <c r="MF15" s="70">
        <v>2016</v>
      </c>
      <c r="MG15" s="70" t="s">
        <v>1027</v>
      </c>
      <c r="MH15" s="155" t="s">
        <v>1126</v>
      </c>
      <c r="MI15" s="152" t="s">
        <v>1369</v>
      </c>
      <c r="MJ15" s="72"/>
      <c r="MK15" s="72"/>
      <c r="ML15" s="72"/>
      <c r="MM15" s="72"/>
      <c r="MN15" s="140"/>
      <c r="MO15" s="72" t="s">
        <v>1214</v>
      </c>
      <c r="MP15" s="115" t="s">
        <v>1076</v>
      </c>
      <c r="MQ15" s="146" t="s">
        <v>462</v>
      </c>
      <c r="MR15" s="72" t="s">
        <v>1182</v>
      </c>
      <c r="MV15" s="72"/>
      <c r="MW15" s="139" t="s">
        <v>1193</v>
      </c>
      <c r="MX15" s="148" t="s">
        <v>58</v>
      </c>
      <c r="MY15" s="115" t="s">
        <v>1076</v>
      </c>
      <c r="MZ15" s="148" t="s">
        <v>22</v>
      </c>
      <c r="NA15" s="71" t="s">
        <v>1341</v>
      </c>
      <c r="NC15" s="140" t="s">
        <v>1117</v>
      </c>
      <c r="ND15" s="156" t="str">
        <f>HYPERLINK("C:\SVN\SALT ADMIN 525\Projects\SALT\Snapshots\HappyPath_SingleProduct_AUS_IN-MU-LT-J27201\2015630\205423\Iterator_12\Merge.html","Result")</f>
        <v>Result</v>
      </c>
      <c r="NE15" s="148" t="s">
        <v>1058</v>
      </c>
    </row>
    <row r="16" spans="1:370" s="148" customFormat="1" ht="15" customHeight="1">
      <c r="A16" s="89"/>
      <c r="B16" s="147">
        <v>13</v>
      </c>
      <c r="C16" s="133" t="s">
        <v>1378</v>
      </c>
      <c r="D16" s="148" t="s">
        <v>1069</v>
      </c>
      <c r="E16" s="148" t="s">
        <v>1340</v>
      </c>
      <c r="F16" s="157"/>
      <c r="G16" s="157"/>
      <c r="H16" s="72"/>
      <c r="I16" s="72"/>
      <c r="J16" s="72"/>
      <c r="K16" s="72"/>
      <c r="L16" s="72"/>
      <c r="M16" s="72" t="s">
        <v>1202</v>
      </c>
      <c r="N16" s="72">
        <v>17</v>
      </c>
      <c r="O16" s="72">
        <v>1987</v>
      </c>
      <c r="P16" s="72" t="s">
        <v>1202</v>
      </c>
      <c r="Q16" s="72">
        <v>17</v>
      </c>
      <c r="R16" s="72">
        <v>2036</v>
      </c>
      <c r="S16" s="72"/>
      <c r="T16" s="73" t="s">
        <v>488</v>
      </c>
      <c r="U16" s="72">
        <v>10</v>
      </c>
      <c r="V16" s="72">
        <v>2022</v>
      </c>
      <c r="W16" s="72"/>
      <c r="X16" s="72"/>
      <c r="Y16" s="72"/>
      <c r="Z16" s="72"/>
      <c r="AA16" s="72"/>
      <c r="AB16" s="72"/>
      <c r="AC16" s="72"/>
      <c r="AD16" s="72"/>
      <c r="AE16" s="72"/>
      <c r="AF16" s="72"/>
      <c r="AG16" s="72"/>
      <c r="AH16" s="72"/>
      <c r="AI16" s="72"/>
      <c r="AJ16" s="72"/>
      <c r="AK16" s="72"/>
      <c r="AL16" s="72"/>
      <c r="AM16" s="72"/>
      <c r="AN16" s="72"/>
      <c r="AO16" s="72"/>
      <c r="AP16" s="72"/>
      <c r="AQ16" s="72"/>
      <c r="AR16" s="72"/>
      <c r="AS16" s="72"/>
      <c r="AT16" s="72"/>
      <c r="AU16" s="72"/>
      <c r="AV16" s="72"/>
      <c r="AW16" s="72"/>
      <c r="AX16" s="72"/>
      <c r="AY16" s="72"/>
      <c r="AZ16" s="72"/>
      <c r="BA16" s="72"/>
      <c r="BB16" s="72"/>
      <c r="BC16" s="72"/>
      <c r="BD16" s="72"/>
      <c r="BE16" s="72"/>
      <c r="BF16" s="72"/>
      <c r="BG16" s="72"/>
      <c r="BH16" s="72"/>
      <c r="BI16" s="72"/>
      <c r="BJ16" s="72"/>
      <c r="BK16" s="72"/>
      <c r="BL16" s="73" t="s">
        <v>1169</v>
      </c>
      <c r="BM16" s="72"/>
      <c r="BN16" s="72"/>
      <c r="BO16" s="72"/>
      <c r="BP16" s="72"/>
      <c r="BQ16" s="72"/>
      <c r="BR16" s="72"/>
      <c r="BS16" s="72"/>
      <c r="BT16" s="72"/>
      <c r="BU16" s="72"/>
      <c r="BV16" s="72"/>
      <c r="BW16" s="72"/>
      <c r="BX16" s="72"/>
      <c r="BY16" s="72"/>
      <c r="BZ16" s="72"/>
      <c r="CA16" s="72"/>
      <c r="CB16" s="72"/>
      <c r="CC16" s="72"/>
      <c r="CD16" s="72"/>
      <c r="CE16" s="72"/>
      <c r="CF16" s="72"/>
      <c r="CG16" s="72"/>
      <c r="CH16" s="72"/>
      <c r="CI16" s="72"/>
      <c r="CJ16" s="72"/>
      <c r="CK16" s="72"/>
      <c r="CL16" s="72"/>
      <c r="CM16" s="72"/>
      <c r="CN16" s="72"/>
      <c r="CO16" s="72"/>
      <c r="CP16" s="72"/>
      <c r="CQ16" s="72"/>
      <c r="CR16" s="72"/>
      <c r="CS16" s="72"/>
      <c r="CT16" s="72"/>
      <c r="CU16" s="72"/>
      <c r="CV16" s="72"/>
      <c r="CW16" s="72"/>
      <c r="CX16" s="72"/>
      <c r="CY16" s="72"/>
      <c r="CZ16" s="72"/>
      <c r="DA16" s="72"/>
      <c r="DB16" s="72"/>
      <c r="DC16" s="72"/>
      <c r="DD16" s="72"/>
      <c r="DE16" s="72"/>
      <c r="DF16" s="72"/>
      <c r="DG16" s="72"/>
      <c r="DH16" s="72"/>
      <c r="DI16" s="72"/>
      <c r="DJ16" s="72"/>
      <c r="DK16" s="72"/>
      <c r="DL16" s="72"/>
      <c r="DM16" s="72"/>
      <c r="DN16" s="72"/>
      <c r="DO16" s="72"/>
      <c r="DP16" s="72"/>
      <c r="DQ16" s="72"/>
      <c r="DR16" s="72"/>
      <c r="DS16" s="72"/>
      <c r="DT16" s="72"/>
      <c r="DU16" s="72"/>
      <c r="DV16" s="72"/>
      <c r="DW16" s="72"/>
      <c r="DX16" s="72"/>
      <c r="DY16" s="72"/>
      <c r="DZ16" s="72"/>
      <c r="EA16" s="72"/>
      <c r="EB16" s="72"/>
      <c r="EC16" s="72"/>
      <c r="ED16" s="72"/>
      <c r="EE16" s="72"/>
      <c r="EF16" s="72">
        <v>8</v>
      </c>
      <c r="EG16" s="72" t="s">
        <v>1170</v>
      </c>
      <c r="EH16" s="72">
        <v>1988</v>
      </c>
      <c r="EI16" s="69">
        <v>9</v>
      </c>
      <c r="EJ16" s="69" t="s">
        <v>1195</v>
      </c>
      <c r="EK16" s="72">
        <v>2028</v>
      </c>
      <c r="EL16" s="73">
        <v>546</v>
      </c>
      <c r="EM16" s="72" t="s">
        <v>446</v>
      </c>
      <c r="EN16" s="72">
        <v>23456723</v>
      </c>
      <c r="EO16" s="73">
        <v>60000</v>
      </c>
      <c r="EP16" s="72" t="s">
        <v>1172</v>
      </c>
      <c r="EQ16" s="72">
        <v>10</v>
      </c>
      <c r="ER16" s="72">
        <v>2018</v>
      </c>
      <c r="ES16" s="72"/>
      <c r="EV16" s="72"/>
      <c r="EW16" s="72"/>
      <c r="EX16" s="72"/>
      <c r="EY16" s="72" t="s">
        <v>462</v>
      </c>
      <c r="EZ16" s="146"/>
      <c r="FA16" s="146"/>
      <c r="FB16" s="146"/>
      <c r="FC16" s="146"/>
      <c r="FD16" s="146"/>
      <c r="FE16" s="146"/>
      <c r="FF16" s="146"/>
      <c r="FG16" s="146"/>
      <c r="FH16" s="146"/>
      <c r="FI16" s="146"/>
      <c r="FJ16" s="146"/>
      <c r="FK16" s="146"/>
      <c r="FL16" s="146"/>
      <c r="FM16" s="146"/>
      <c r="FN16" s="146"/>
      <c r="FO16" s="146"/>
      <c r="FP16" s="146"/>
      <c r="FQ16" s="146"/>
      <c r="FR16" s="146"/>
      <c r="FS16" s="146"/>
      <c r="FT16" s="146"/>
      <c r="FU16" s="146"/>
      <c r="FV16" s="146"/>
      <c r="FW16" s="146"/>
      <c r="FX16" s="146"/>
      <c r="FY16" s="146"/>
      <c r="GC16" s="72"/>
      <c r="GD16" s="72"/>
      <c r="GE16" s="72"/>
      <c r="GF16" s="72"/>
      <c r="GG16" s="72"/>
      <c r="GH16" s="72"/>
      <c r="GI16" s="139">
        <v>450</v>
      </c>
      <c r="GJ16" s="139">
        <v>429.59</v>
      </c>
      <c r="GK16" s="136"/>
      <c r="GL16" s="137" t="s">
        <v>1173</v>
      </c>
      <c r="GM16" s="72"/>
      <c r="GN16" s="72"/>
      <c r="GO16" s="73" t="s">
        <v>488</v>
      </c>
      <c r="GP16" s="72"/>
      <c r="GQ16" s="140" t="s">
        <v>497</v>
      </c>
      <c r="GR16" s="140" t="s">
        <v>463</v>
      </c>
      <c r="GS16" s="149"/>
      <c r="GT16" s="146">
        <v>900</v>
      </c>
      <c r="GU16" s="150"/>
      <c r="GV16" s="151"/>
      <c r="GW16" s="72"/>
      <c r="GX16" s="72"/>
      <c r="GY16" s="72"/>
      <c r="GZ16" s="72"/>
      <c r="HA16" s="72"/>
      <c r="HB16" s="72"/>
      <c r="HC16" s="72"/>
      <c r="HD16" s="135">
        <v>41757.995717592596</v>
      </c>
      <c r="HE16" s="135">
        <v>41757.999803240738</v>
      </c>
      <c r="HH16" s="140" t="s">
        <v>1175</v>
      </c>
      <c r="HI16" s="146" t="s">
        <v>435</v>
      </c>
      <c r="HJ16" s="140" t="s">
        <v>436</v>
      </c>
      <c r="HK16" s="146"/>
      <c r="HL16" s="146"/>
      <c r="HO16" s="152"/>
      <c r="HQ16" s="146" t="s">
        <v>437</v>
      </c>
      <c r="HR16" s="146" t="s">
        <v>438</v>
      </c>
      <c r="HS16" s="146" t="s">
        <v>444</v>
      </c>
      <c r="HT16" s="146" t="s">
        <v>439</v>
      </c>
      <c r="HU16" s="140" t="s">
        <v>441</v>
      </c>
      <c r="HV16" s="146" t="s">
        <v>442</v>
      </c>
      <c r="HW16" s="153" t="s">
        <v>1208</v>
      </c>
      <c r="HX16" s="146" t="s">
        <v>78</v>
      </c>
      <c r="HY16" s="140" t="s">
        <v>1111</v>
      </c>
      <c r="HZ16" s="146"/>
      <c r="IA16" s="146">
        <v>123456</v>
      </c>
      <c r="IB16" s="146">
        <v>123456</v>
      </c>
      <c r="IC16" s="146">
        <v>11</v>
      </c>
      <c r="ID16" s="146" t="s">
        <v>443</v>
      </c>
      <c r="IE16" s="146">
        <v>2037</v>
      </c>
      <c r="IF16" s="146" t="s">
        <v>445</v>
      </c>
      <c r="IG16" s="140" t="s">
        <v>498</v>
      </c>
      <c r="IH16" s="140" t="s">
        <v>498</v>
      </c>
      <c r="II16" s="145" t="s">
        <v>1192</v>
      </c>
      <c r="IJ16" s="145" t="s">
        <v>1192</v>
      </c>
      <c r="IK16" s="146" t="s">
        <v>446</v>
      </c>
      <c r="IL16" s="146" t="s">
        <v>499</v>
      </c>
      <c r="IM16" s="146" t="s">
        <v>499</v>
      </c>
      <c r="IN16" s="140" t="s">
        <v>485</v>
      </c>
      <c r="IO16" s="140"/>
      <c r="IP16" s="140"/>
      <c r="IQ16" s="146"/>
      <c r="IR16" s="146" t="s">
        <v>439</v>
      </c>
      <c r="IS16" s="146">
        <v>108</v>
      </c>
      <c r="IT16" s="146">
        <v>10</v>
      </c>
      <c r="IU16" s="146">
        <v>2021</v>
      </c>
      <c r="IV16" s="140" t="s">
        <v>449</v>
      </c>
      <c r="IW16" s="140" t="s">
        <v>488</v>
      </c>
      <c r="IX16" s="140"/>
      <c r="IY16" s="140"/>
      <c r="IZ16" s="140"/>
      <c r="JA16" s="146"/>
      <c r="JB16" s="140" t="s">
        <v>448</v>
      </c>
      <c r="JC16" s="140" t="s">
        <v>449</v>
      </c>
      <c r="JD16" s="140">
        <v>456</v>
      </c>
      <c r="JG16" s="146"/>
      <c r="JH16" s="146"/>
      <c r="JI16" s="72"/>
      <c r="JJ16" s="72"/>
      <c r="JK16" s="72"/>
      <c r="JL16" s="72"/>
      <c r="JM16" s="121"/>
      <c r="JN16" s="121"/>
      <c r="JO16" s="72"/>
      <c r="JP16" s="140" t="s">
        <v>1144</v>
      </c>
      <c r="JQ16" s="72"/>
      <c r="JR16" s="72"/>
      <c r="JS16" s="72"/>
      <c r="JT16" s="72"/>
      <c r="JU16" s="72"/>
      <c r="JV16" s="72"/>
      <c r="JW16" s="135">
        <v>42208.676979166667</v>
      </c>
      <c r="JX16" s="135">
        <v>42208.678993055553</v>
      </c>
      <c r="JY16" s="72" t="s">
        <v>1372</v>
      </c>
      <c r="JZ16" s="72"/>
      <c r="KA16" s="72"/>
      <c r="KB16" s="72"/>
      <c r="KC16" s="72"/>
      <c r="KD16" s="72"/>
      <c r="KE16" s="72"/>
      <c r="KF16" s="72"/>
      <c r="KG16" s="72"/>
      <c r="KH16" s="72"/>
      <c r="KI16" s="72"/>
      <c r="KJ16" s="72"/>
      <c r="KK16" s="72"/>
      <c r="KL16" s="141" t="s">
        <v>1184</v>
      </c>
      <c r="KM16" s="90" t="s">
        <v>1137</v>
      </c>
      <c r="KO16" s="71">
        <v>1000</v>
      </c>
      <c r="KP16" s="148" t="s">
        <v>994</v>
      </c>
      <c r="KR16" s="155" t="s">
        <v>1213</v>
      </c>
      <c r="KS16" s="218" t="s">
        <v>1353</v>
      </c>
      <c r="KV16" s="70" t="s">
        <v>1352</v>
      </c>
      <c r="KW16" s="72" t="s">
        <v>993</v>
      </c>
      <c r="KX16" s="148" t="s">
        <v>438</v>
      </c>
      <c r="KY16" s="148" t="s">
        <v>439</v>
      </c>
      <c r="KZ16" s="91" t="s">
        <v>652</v>
      </c>
      <c r="LA16" s="91" t="s">
        <v>652</v>
      </c>
      <c r="LB16" s="145" t="s">
        <v>1192</v>
      </c>
      <c r="LC16" s="145" t="s">
        <v>1192</v>
      </c>
      <c r="LD16" s="90" t="s">
        <v>741</v>
      </c>
      <c r="LE16" s="90" t="s">
        <v>741</v>
      </c>
      <c r="LF16" s="90" t="s">
        <v>741</v>
      </c>
      <c r="LM16" s="156" t="str">
        <f>HYPERLINK("C:\SVN\SALT ADMIN 525\Projects\SALT\Snapshots\HappyPath_SingleProduct_AUS_IN-MU-LT-J27201\2015630\205614\Iterator_13\HappyPath_SingleProduct_AUS13.xlsx","Snapshot")</f>
        <v>Snapshot</v>
      </c>
      <c r="LN16" s="148">
        <v>4812</v>
      </c>
      <c r="LO16" s="72">
        <v>23</v>
      </c>
      <c r="LP16" s="72" t="s">
        <v>1338</v>
      </c>
      <c r="LQ16" s="154"/>
      <c r="LV16" s="72">
        <v>15</v>
      </c>
      <c r="LW16" s="72" t="s">
        <v>459</v>
      </c>
      <c r="LX16" s="72">
        <v>1980</v>
      </c>
      <c r="LY16" s="70" t="b">
        <v>1</v>
      </c>
      <c r="LZ16" s="70" t="s">
        <v>78</v>
      </c>
      <c r="MA16" s="70" t="s">
        <v>474</v>
      </c>
      <c r="MB16" s="70">
        <v>111111</v>
      </c>
      <c r="MC16" s="70">
        <v>111111</v>
      </c>
      <c r="MD16" s="70">
        <v>18</v>
      </c>
      <c r="ME16" s="70" t="s">
        <v>443</v>
      </c>
      <c r="MF16" s="70">
        <v>2016</v>
      </c>
      <c r="MG16" s="70" t="s">
        <v>1027</v>
      </c>
      <c r="MH16" s="155" t="s">
        <v>1127</v>
      </c>
      <c r="MI16" s="152" t="s">
        <v>1371</v>
      </c>
      <c r="MJ16" s="72"/>
      <c r="MK16" s="72"/>
      <c r="ML16" s="72"/>
      <c r="MM16" s="72"/>
      <c r="MN16" s="140"/>
      <c r="MO16" s="72" t="s">
        <v>1043</v>
      </c>
      <c r="MP16" s="115" t="s">
        <v>1076</v>
      </c>
      <c r="MQ16" s="146" t="s">
        <v>462</v>
      </c>
      <c r="MR16" s="72" t="s">
        <v>1182</v>
      </c>
      <c r="MV16" s="72"/>
      <c r="MW16" s="139" t="s">
        <v>1193</v>
      </c>
      <c r="MX16" s="148" t="s">
        <v>58</v>
      </c>
      <c r="MY16" s="115" t="s">
        <v>1076</v>
      </c>
      <c r="MZ16" s="148" t="s">
        <v>22</v>
      </c>
      <c r="NA16" s="71" t="s">
        <v>1341</v>
      </c>
      <c r="NC16" s="140" t="s">
        <v>1117</v>
      </c>
      <c r="ND16" s="156" t="str">
        <f>HYPERLINK("C:\SVN\SALT ADMIN 525\Projects\SALT\Snapshots\HappyPath_SingleProduct_AUS_IN-MU-LT-J27201\2015630\205614\Iterator_13\Merge.html","Result")</f>
        <v>Result</v>
      </c>
      <c r="NE16" s="148" t="s">
        <v>1058</v>
      </c>
    </row>
    <row r="17" spans="1:369" s="148" customFormat="1" ht="15" customHeight="1">
      <c r="A17" s="89"/>
      <c r="B17" s="147">
        <v>14</v>
      </c>
      <c r="C17" s="133" t="s">
        <v>1378</v>
      </c>
      <c r="D17" s="148" t="s">
        <v>1069</v>
      </c>
      <c r="E17" s="148" t="s">
        <v>1340</v>
      </c>
      <c r="F17" s="157" t="s">
        <v>1373</v>
      </c>
      <c r="G17" s="157"/>
      <c r="H17" s="72"/>
      <c r="I17" s="72"/>
      <c r="J17" s="72"/>
      <c r="K17" s="72"/>
      <c r="L17" s="72"/>
      <c r="M17" s="72" t="s">
        <v>1202</v>
      </c>
      <c r="N17" s="72">
        <v>17</v>
      </c>
      <c r="O17" s="72">
        <v>1987</v>
      </c>
      <c r="P17" s="72" t="s">
        <v>1202</v>
      </c>
      <c r="Q17" s="72">
        <v>17</v>
      </c>
      <c r="R17" s="72">
        <v>2036</v>
      </c>
      <c r="S17" s="72"/>
      <c r="T17" s="73" t="s">
        <v>488</v>
      </c>
      <c r="U17" s="72">
        <v>10</v>
      </c>
      <c r="V17" s="72">
        <v>2022</v>
      </c>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72"/>
      <c r="BB17" s="72"/>
      <c r="BC17" s="72"/>
      <c r="BD17" s="72"/>
      <c r="BE17" s="72"/>
      <c r="BF17" s="72"/>
      <c r="BG17" s="72"/>
      <c r="BH17" s="72"/>
      <c r="BI17" s="72"/>
      <c r="BJ17" s="72"/>
      <c r="BK17" s="72"/>
      <c r="BL17" s="73" t="s">
        <v>1169</v>
      </c>
      <c r="BM17" s="72"/>
      <c r="BN17" s="72"/>
      <c r="BO17" s="72"/>
      <c r="BP17" s="72"/>
      <c r="BQ17" s="72"/>
      <c r="BR17" s="72"/>
      <c r="BS17" s="72"/>
      <c r="BT17" s="72"/>
      <c r="BU17" s="72"/>
      <c r="BV17" s="72"/>
      <c r="BW17" s="72"/>
      <c r="BX17" s="72"/>
      <c r="BY17" s="72"/>
      <c r="BZ17" s="72"/>
      <c r="CA17" s="72"/>
      <c r="CB17" s="72"/>
      <c r="CC17" s="72"/>
      <c r="CD17" s="72"/>
      <c r="CE17" s="72"/>
      <c r="CF17" s="72"/>
      <c r="CG17" s="72"/>
      <c r="CH17" s="72"/>
      <c r="CI17" s="72"/>
      <c r="CJ17" s="72"/>
      <c r="CK17" s="72"/>
      <c r="CL17" s="72"/>
      <c r="CM17" s="72"/>
      <c r="CN17" s="72"/>
      <c r="CO17" s="72"/>
      <c r="CP17" s="72"/>
      <c r="CQ17" s="72"/>
      <c r="CR17" s="72"/>
      <c r="CS17" s="72"/>
      <c r="CT17" s="72"/>
      <c r="CU17" s="72"/>
      <c r="CV17" s="72"/>
      <c r="CW17" s="72"/>
      <c r="CX17" s="72"/>
      <c r="CY17" s="72"/>
      <c r="CZ17" s="72"/>
      <c r="DA17" s="72"/>
      <c r="DB17" s="72"/>
      <c r="DC17" s="72"/>
      <c r="DD17" s="72"/>
      <c r="DE17" s="72"/>
      <c r="DF17" s="72"/>
      <c r="DG17" s="72"/>
      <c r="DH17" s="72"/>
      <c r="DI17" s="72"/>
      <c r="DJ17" s="72"/>
      <c r="DK17" s="72"/>
      <c r="DL17" s="72"/>
      <c r="DM17" s="72"/>
      <c r="DN17" s="72"/>
      <c r="DO17" s="72"/>
      <c r="DP17" s="72"/>
      <c r="DQ17" s="72"/>
      <c r="DR17" s="72"/>
      <c r="DS17" s="72"/>
      <c r="DT17" s="72"/>
      <c r="DU17" s="72"/>
      <c r="DV17" s="72"/>
      <c r="DW17" s="72"/>
      <c r="DX17" s="72"/>
      <c r="DY17" s="72"/>
      <c r="DZ17" s="72"/>
      <c r="EA17" s="72"/>
      <c r="EB17" s="72"/>
      <c r="EC17" s="72"/>
      <c r="ED17" s="72"/>
      <c r="EE17" s="72"/>
      <c r="EF17" s="72">
        <v>3</v>
      </c>
      <c r="EG17" s="72" t="s">
        <v>1170</v>
      </c>
      <c r="EH17" s="72">
        <v>1988</v>
      </c>
      <c r="EI17" s="69">
        <v>1</v>
      </c>
      <c r="EJ17" s="69" t="s">
        <v>1171</v>
      </c>
      <c r="EK17" s="72">
        <v>2020</v>
      </c>
      <c r="EL17" s="73">
        <v>123</v>
      </c>
      <c r="EM17" s="72" t="s">
        <v>446</v>
      </c>
      <c r="EN17" s="72">
        <v>23456723</v>
      </c>
      <c r="EO17" s="73">
        <v>60000</v>
      </c>
      <c r="EP17" s="72" t="s">
        <v>1172</v>
      </c>
      <c r="EQ17" s="72">
        <v>10</v>
      </c>
      <c r="ER17" s="72">
        <v>2018</v>
      </c>
      <c r="ES17" s="72"/>
      <c r="EV17" s="72"/>
      <c r="EW17" s="72"/>
      <c r="EX17" s="72"/>
      <c r="EY17" s="73" t="s">
        <v>74</v>
      </c>
      <c r="EZ17" s="146"/>
      <c r="FA17" s="146"/>
      <c r="FB17" s="146"/>
      <c r="FC17" s="146"/>
      <c r="FD17" s="146"/>
      <c r="FE17" s="146"/>
      <c r="FF17" s="146"/>
      <c r="FG17" s="146"/>
      <c r="FH17" s="146"/>
      <c r="FI17" s="146"/>
      <c r="FJ17" s="146"/>
      <c r="FK17" s="146"/>
      <c r="FL17" s="146"/>
      <c r="FM17" s="146"/>
      <c r="FN17" s="146"/>
      <c r="FO17" s="146"/>
      <c r="FP17" s="146"/>
      <c r="FQ17" s="146"/>
      <c r="FR17" s="146"/>
      <c r="FS17" s="146"/>
      <c r="FT17" s="146"/>
      <c r="FU17" s="146"/>
      <c r="FV17" s="146"/>
      <c r="FW17" s="146"/>
      <c r="FX17" s="146"/>
      <c r="FY17" s="146"/>
      <c r="GC17" s="72"/>
      <c r="GD17" s="72"/>
      <c r="GE17" s="72"/>
      <c r="GF17" s="72"/>
      <c r="GG17" s="72"/>
      <c r="GH17" s="72"/>
      <c r="GI17" s="139">
        <v>500</v>
      </c>
      <c r="GJ17" s="139">
        <v>477.33</v>
      </c>
      <c r="GK17" s="136"/>
      <c r="GL17" s="137" t="s">
        <v>1173</v>
      </c>
      <c r="GM17" s="72"/>
      <c r="GN17" s="72"/>
      <c r="GO17" s="73" t="s">
        <v>488</v>
      </c>
      <c r="GP17" s="72"/>
      <c r="GQ17" s="140" t="s">
        <v>497</v>
      </c>
      <c r="GR17" s="140" t="s">
        <v>69</v>
      </c>
      <c r="GS17" s="149"/>
      <c r="GT17" s="146">
        <v>1200</v>
      </c>
      <c r="GU17" s="150"/>
      <c r="GV17" s="151"/>
      <c r="GW17" s="72"/>
      <c r="GX17" s="72"/>
      <c r="GY17" s="72"/>
      <c r="GZ17" s="72"/>
      <c r="HA17" s="72"/>
      <c r="HB17" s="72"/>
      <c r="HC17" s="72"/>
      <c r="HD17" s="135">
        <v>41757.999837962961</v>
      </c>
      <c r="HE17" s="135">
        <v>41758.004247685189</v>
      </c>
      <c r="HH17" s="140" t="s">
        <v>1175</v>
      </c>
      <c r="HI17" s="146" t="s">
        <v>435</v>
      </c>
      <c r="HJ17" s="140" t="s">
        <v>436</v>
      </c>
      <c r="HK17" s="146"/>
      <c r="HL17" s="146"/>
      <c r="HO17" s="152"/>
      <c r="HQ17" s="146" t="s">
        <v>437</v>
      </c>
      <c r="HR17" s="146" t="s">
        <v>438</v>
      </c>
      <c r="HS17" s="146" t="s">
        <v>444</v>
      </c>
      <c r="HT17" s="146" t="s">
        <v>439</v>
      </c>
      <c r="HU17" s="140" t="s">
        <v>441</v>
      </c>
      <c r="HV17" s="146" t="s">
        <v>442</v>
      </c>
      <c r="HW17" s="153" t="s">
        <v>1208</v>
      </c>
      <c r="HX17" s="146" t="s">
        <v>78</v>
      </c>
      <c r="HY17" s="140" t="s">
        <v>1111</v>
      </c>
      <c r="HZ17" s="146"/>
      <c r="IA17" s="146">
        <v>123456</v>
      </c>
      <c r="IB17" s="146">
        <v>123456</v>
      </c>
      <c r="IC17" s="146">
        <v>11</v>
      </c>
      <c r="ID17" s="146" t="s">
        <v>443</v>
      </c>
      <c r="IE17" s="146">
        <v>2037</v>
      </c>
      <c r="IF17" s="146" t="s">
        <v>445</v>
      </c>
      <c r="IG17" s="140" t="s">
        <v>498</v>
      </c>
      <c r="IH17" s="140" t="s">
        <v>498</v>
      </c>
      <c r="II17" s="145" t="s">
        <v>1192</v>
      </c>
      <c r="IJ17" s="145" t="s">
        <v>1192</v>
      </c>
      <c r="IK17" s="146" t="s">
        <v>446</v>
      </c>
      <c r="IL17" s="146" t="s">
        <v>499</v>
      </c>
      <c r="IM17" s="146" t="s">
        <v>499</v>
      </c>
      <c r="IN17" s="140" t="s">
        <v>485</v>
      </c>
      <c r="IO17" s="140"/>
      <c r="IP17" s="140"/>
      <c r="IQ17" s="146"/>
      <c r="IR17" s="146" t="s">
        <v>439</v>
      </c>
      <c r="IS17" s="146">
        <v>108</v>
      </c>
      <c r="IT17" s="146">
        <v>10</v>
      </c>
      <c r="IU17" s="146">
        <v>2021</v>
      </c>
      <c r="IV17" s="140" t="s">
        <v>449</v>
      </c>
      <c r="IW17" s="140" t="s">
        <v>488</v>
      </c>
      <c r="IX17" s="140"/>
      <c r="IY17" s="140"/>
      <c r="IZ17" s="140"/>
      <c r="JA17" s="146"/>
      <c r="JB17" s="140" t="s">
        <v>448</v>
      </c>
      <c r="JC17" s="140" t="s">
        <v>449</v>
      </c>
      <c r="JD17" s="140">
        <v>456</v>
      </c>
      <c r="JG17" s="146"/>
      <c r="JH17" s="146"/>
      <c r="JI17" s="72"/>
      <c r="JJ17" s="72"/>
      <c r="JK17" s="72"/>
      <c r="JL17" s="72"/>
      <c r="JM17" s="121"/>
      <c r="JN17" s="121"/>
      <c r="JO17" s="72"/>
      <c r="JP17" s="140" t="s">
        <v>1144</v>
      </c>
      <c r="JQ17" s="72"/>
      <c r="JR17" s="72"/>
      <c r="JS17" s="72"/>
      <c r="JT17" s="72"/>
      <c r="JU17" s="72"/>
      <c r="JV17" s="72"/>
      <c r="JW17" s="135">
        <v>42207.817141203705</v>
      </c>
      <c r="JX17" s="135">
        <v>42207.818749999999</v>
      </c>
      <c r="JY17" s="72" t="s">
        <v>1093</v>
      </c>
      <c r="JZ17" s="72"/>
      <c r="KA17" s="72"/>
      <c r="KB17" s="72"/>
      <c r="KC17" s="72"/>
      <c r="KD17" s="72"/>
      <c r="KE17" s="72"/>
      <c r="KF17" s="72"/>
      <c r="KG17" s="72"/>
      <c r="KH17" s="72"/>
      <c r="KI17" s="72"/>
      <c r="KJ17" s="72"/>
      <c r="KK17" s="72"/>
      <c r="KL17" s="141" t="s">
        <v>1184</v>
      </c>
      <c r="KM17" s="90" t="s">
        <v>74</v>
      </c>
      <c r="KO17" s="71">
        <v>1000</v>
      </c>
      <c r="KP17" s="148" t="s">
        <v>994</v>
      </c>
      <c r="KR17" s="155" t="s">
        <v>1213</v>
      </c>
      <c r="KS17" s="218" t="s">
        <v>1353</v>
      </c>
      <c r="KV17" s="70" t="s">
        <v>1352</v>
      </c>
      <c r="KW17" s="72" t="s">
        <v>993</v>
      </c>
      <c r="KX17" s="148" t="s">
        <v>438</v>
      </c>
      <c r="KY17" s="148" t="s">
        <v>439</v>
      </c>
      <c r="KZ17" s="91" t="s">
        <v>652</v>
      </c>
      <c r="LA17" s="91" t="s">
        <v>652</v>
      </c>
      <c r="LB17" s="145" t="s">
        <v>1192</v>
      </c>
      <c r="LC17" s="145" t="s">
        <v>1192</v>
      </c>
      <c r="LD17" s="90" t="s">
        <v>741</v>
      </c>
      <c r="LE17" s="90" t="s">
        <v>741</v>
      </c>
      <c r="LF17" s="90" t="s">
        <v>741</v>
      </c>
      <c r="LM17" s="157" t="str">
        <f>HYPERLINK("C:\SVN\SALT ADMIN 525\Projects\SALT\Snapshots\HappyPath_SingleProduct_AUS_IN-MU-LT-J27201\201577\172256\Iterator_14\HappyPath_SingleProduct_AUS14.xlsx","Snapshot")</f>
        <v>Snapshot</v>
      </c>
      <c r="LN17" s="148">
        <v>4812</v>
      </c>
      <c r="LO17" s="72">
        <v>23</v>
      </c>
      <c r="LP17" s="72" t="s">
        <v>1338</v>
      </c>
      <c r="LQ17" s="154"/>
      <c r="LV17" s="72">
        <v>15</v>
      </c>
      <c r="LW17" s="72" t="s">
        <v>459</v>
      </c>
      <c r="LX17" s="72">
        <v>1980</v>
      </c>
      <c r="LY17" s="70" t="b">
        <v>1</v>
      </c>
      <c r="LZ17" s="70" t="s">
        <v>78</v>
      </c>
      <c r="MA17" s="70" t="s">
        <v>474</v>
      </c>
      <c r="MB17" s="70">
        <v>111111</v>
      </c>
      <c r="MC17" s="70">
        <v>111111</v>
      </c>
      <c r="MD17" s="70">
        <v>18</v>
      </c>
      <c r="ME17" s="70" t="s">
        <v>443</v>
      </c>
      <c r="MF17" s="70">
        <v>2016</v>
      </c>
      <c r="MG17" s="70" t="s">
        <v>1027</v>
      </c>
      <c r="MH17" s="155" t="s">
        <v>1128</v>
      </c>
      <c r="MI17" s="152" t="s">
        <v>1345</v>
      </c>
      <c r="MJ17" s="72"/>
      <c r="MK17" s="72"/>
      <c r="ML17" s="72"/>
      <c r="MM17" s="72"/>
      <c r="MN17" s="140"/>
      <c r="MO17" s="72" t="s">
        <v>1174</v>
      </c>
      <c r="MP17" s="115" t="s">
        <v>1076</v>
      </c>
      <c r="MQ17" s="146" t="s">
        <v>462</v>
      </c>
      <c r="MR17" s="72" t="s">
        <v>1182</v>
      </c>
      <c r="MV17" s="72"/>
      <c r="MW17" s="139" t="s">
        <v>1193</v>
      </c>
      <c r="MX17" s="148" t="s">
        <v>58</v>
      </c>
      <c r="MY17" s="115" t="s">
        <v>1076</v>
      </c>
      <c r="MZ17" s="148" t="s">
        <v>22</v>
      </c>
      <c r="NA17" s="71" t="s">
        <v>1341</v>
      </c>
      <c r="NB17" s="156"/>
      <c r="NC17" s="140" t="s">
        <v>1117</v>
      </c>
      <c r="ND17" s="157" t="str">
        <f>HYPERLINK("C:\SVN\SALT ADMIN 525\Projects\SALT\Snapshots\HappyPath_SingleProduct_AUS_IN-MU-LT-J27201\201577\172256\Iterator_14\Merge.html","Result")</f>
        <v>Result</v>
      </c>
      <c r="NE17" s="148" t="s">
        <v>1058</v>
      </c>
    </row>
    <row r="18" spans="1:369" s="159" customFormat="1" ht="15" customHeight="1">
      <c r="A18" s="92"/>
      <c r="B18" s="158">
        <v>15</v>
      </c>
      <c r="C18" s="133" t="s">
        <v>1378</v>
      </c>
      <c r="D18" s="148" t="s">
        <v>1069</v>
      </c>
      <c r="E18" s="159" t="s">
        <v>1340</v>
      </c>
      <c r="F18" s="216"/>
      <c r="G18" s="216"/>
      <c r="H18" s="72"/>
      <c r="I18" s="72"/>
      <c r="J18" s="72"/>
      <c r="K18" s="72"/>
      <c r="L18" s="72"/>
      <c r="M18" s="72"/>
      <c r="N18" s="72"/>
      <c r="O18" s="72"/>
      <c r="P18" s="72"/>
      <c r="Q18" s="72"/>
      <c r="R18" s="72"/>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c r="BT18" s="72"/>
      <c r="BU18" s="72"/>
      <c r="BV18" s="72"/>
      <c r="BW18" s="72"/>
      <c r="BX18" s="72"/>
      <c r="BY18" s="72"/>
      <c r="BZ18" s="72"/>
      <c r="CA18" s="72"/>
      <c r="CB18" s="72"/>
      <c r="CC18" s="72"/>
      <c r="CD18" s="72"/>
      <c r="CE18" s="72"/>
      <c r="CF18" s="72"/>
      <c r="CG18" s="72"/>
      <c r="CH18" s="72"/>
      <c r="CI18" s="72"/>
      <c r="CJ18" s="72"/>
      <c r="CK18" s="72"/>
      <c r="CL18" s="72"/>
      <c r="CM18" s="72"/>
      <c r="CN18" s="72"/>
      <c r="CO18" s="72"/>
      <c r="CP18" s="72"/>
      <c r="CQ18" s="72"/>
      <c r="CR18" s="72"/>
      <c r="CS18" s="72"/>
      <c r="CT18" s="72"/>
      <c r="CU18" s="72"/>
      <c r="CV18" s="72"/>
      <c r="CW18" s="72"/>
      <c r="CX18" s="72"/>
      <c r="CY18" s="72"/>
      <c r="CZ18" s="72"/>
      <c r="DA18" s="72"/>
      <c r="DB18" s="72"/>
      <c r="DC18" s="72"/>
      <c r="DD18" s="72"/>
      <c r="DE18" s="72"/>
      <c r="DF18" s="72"/>
      <c r="DG18" s="72"/>
      <c r="DH18" s="72"/>
      <c r="DI18" s="72"/>
      <c r="DJ18" s="72"/>
      <c r="DK18" s="72"/>
      <c r="DL18" s="72"/>
      <c r="DM18" s="72"/>
      <c r="DN18" s="72"/>
      <c r="DO18" s="72"/>
      <c r="DP18" s="72"/>
      <c r="DQ18" s="72"/>
      <c r="DR18" s="72"/>
      <c r="DS18" s="72"/>
      <c r="DT18" s="72"/>
      <c r="DU18" s="72"/>
      <c r="DV18" s="72"/>
      <c r="DW18" s="72"/>
      <c r="DX18" s="72"/>
      <c r="DY18" s="72"/>
      <c r="DZ18" s="72"/>
      <c r="EA18" s="72"/>
      <c r="EB18" s="72"/>
      <c r="EC18" s="72"/>
      <c r="ED18" s="72"/>
      <c r="EE18" s="72"/>
      <c r="EF18" s="72">
        <v>5</v>
      </c>
      <c r="EG18" s="72" t="s">
        <v>1170</v>
      </c>
      <c r="EH18" s="72">
        <v>1988</v>
      </c>
      <c r="EI18" s="69">
        <v>8</v>
      </c>
      <c r="EJ18" s="69" t="s">
        <v>1188</v>
      </c>
      <c r="EK18" s="72">
        <v>2027</v>
      </c>
      <c r="EL18" s="73">
        <v>123</v>
      </c>
      <c r="EM18" s="72" t="s">
        <v>455</v>
      </c>
      <c r="EN18" s="72">
        <v>23456723</v>
      </c>
      <c r="EO18" s="73">
        <v>60000</v>
      </c>
      <c r="EP18" s="72" t="s">
        <v>1172</v>
      </c>
      <c r="EQ18" s="72">
        <v>10</v>
      </c>
      <c r="ER18" s="72">
        <v>2018</v>
      </c>
      <c r="ES18" s="72"/>
      <c r="ET18" s="148"/>
      <c r="EU18" s="148"/>
      <c r="EV18" s="72"/>
      <c r="EW18" s="72"/>
      <c r="EX18" s="72"/>
      <c r="EY18" s="73" t="s">
        <v>729</v>
      </c>
      <c r="EZ18" s="146"/>
      <c r="FA18" s="146"/>
      <c r="FB18" s="146"/>
      <c r="FC18" s="146"/>
      <c r="FD18" s="146"/>
      <c r="FE18" s="146"/>
      <c r="FF18" s="146"/>
      <c r="FG18" s="146"/>
      <c r="FH18" s="146"/>
      <c r="FI18" s="146"/>
      <c r="FJ18" s="146"/>
      <c r="FK18" s="146"/>
      <c r="FL18" s="146"/>
      <c r="FM18" s="146"/>
      <c r="FN18" s="146"/>
      <c r="FO18" s="146"/>
      <c r="FP18" s="146"/>
      <c r="FQ18" s="146"/>
      <c r="FR18" s="146"/>
      <c r="FS18" s="146"/>
      <c r="FT18" s="146"/>
      <c r="FU18" s="146"/>
      <c r="FV18" s="146"/>
      <c r="FW18" s="146"/>
      <c r="FX18" s="146"/>
      <c r="FY18" s="146"/>
      <c r="GC18" s="72"/>
      <c r="GD18" s="72"/>
      <c r="GE18" s="72"/>
      <c r="GF18" s="72"/>
      <c r="GG18" s="72"/>
      <c r="GH18" s="72"/>
      <c r="GI18" s="72">
        <v>500</v>
      </c>
      <c r="GJ18" s="72">
        <v>477.33</v>
      </c>
      <c r="GK18" s="72"/>
      <c r="GL18" s="137" t="s">
        <v>1173</v>
      </c>
      <c r="GM18" s="72"/>
      <c r="GN18" s="72"/>
      <c r="GO18" s="73" t="s">
        <v>488</v>
      </c>
      <c r="GP18" s="72"/>
      <c r="GQ18" s="140" t="s">
        <v>497</v>
      </c>
      <c r="GR18" s="140" t="s">
        <v>463</v>
      </c>
      <c r="GS18" s="149"/>
      <c r="GT18" s="146">
        <v>1000</v>
      </c>
      <c r="GU18" s="146"/>
      <c r="GV18" s="151"/>
      <c r="GW18" s="72"/>
      <c r="GX18" s="72"/>
      <c r="GY18" s="72"/>
      <c r="GZ18" s="72"/>
      <c r="HA18" s="72"/>
      <c r="HB18" s="72"/>
      <c r="HC18" s="72"/>
      <c r="HD18" s="135">
        <v>41758.004293981481</v>
      </c>
      <c r="HE18" s="135">
        <v>41758.008622685185</v>
      </c>
      <c r="HF18" s="148"/>
      <c r="HG18" s="148"/>
      <c r="HH18" s="140" t="s">
        <v>1175</v>
      </c>
      <c r="HI18" s="146" t="s">
        <v>435</v>
      </c>
      <c r="HJ18" s="140" t="s">
        <v>436</v>
      </c>
      <c r="HK18" s="146"/>
      <c r="HL18" s="146"/>
      <c r="HQ18" s="146" t="s">
        <v>437</v>
      </c>
      <c r="HR18" s="146" t="s">
        <v>438</v>
      </c>
      <c r="HS18" s="146" t="s">
        <v>444</v>
      </c>
      <c r="HT18" s="146" t="s">
        <v>439</v>
      </c>
      <c r="HU18" s="140" t="s">
        <v>441</v>
      </c>
      <c r="HV18" s="146" t="s">
        <v>442</v>
      </c>
      <c r="HW18" s="153" t="s">
        <v>1208</v>
      </c>
      <c r="HX18" s="146" t="s">
        <v>78</v>
      </c>
      <c r="HY18" s="140" t="s">
        <v>1111</v>
      </c>
      <c r="HZ18" s="146"/>
      <c r="IA18" s="146">
        <v>123456</v>
      </c>
      <c r="IB18" s="146">
        <v>123456</v>
      </c>
      <c r="IC18" s="146">
        <v>11</v>
      </c>
      <c r="ID18" s="146" t="s">
        <v>443</v>
      </c>
      <c r="IE18" s="146">
        <v>2037</v>
      </c>
      <c r="IF18" s="146" t="s">
        <v>445</v>
      </c>
      <c r="IG18" s="140" t="s">
        <v>498</v>
      </c>
      <c r="IH18" s="140" t="s">
        <v>498</v>
      </c>
      <c r="II18" s="145" t="s">
        <v>1192</v>
      </c>
      <c r="IJ18" s="145" t="s">
        <v>1192</v>
      </c>
      <c r="IK18" s="146" t="s">
        <v>446</v>
      </c>
      <c r="IL18" s="146" t="s">
        <v>499</v>
      </c>
      <c r="IM18" s="146" t="s">
        <v>499</v>
      </c>
      <c r="IN18" s="140" t="s">
        <v>485</v>
      </c>
      <c r="IO18" s="140"/>
      <c r="IP18" s="140"/>
      <c r="IQ18" s="146"/>
      <c r="IR18" s="146" t="s">
        <v>439</v>
      </c>
      <c r="IS18" s="146">
        <v>108</v>
      </c>
      <c r="IT18" s="146">
        <v>10</v>
      </c>
      <c r="IU18" s="146">
        <v>2021</v>
      </c>
      <c r="IV18" s="140" t="s">
        <v>449</v>
      </c>
      <c r="IW18" s="140" t="s">
        <v>488</v>
      </c>
      <c r="IX18" s="146"/>
      <c r="IY18" s="146"/>
      <c r="IZ18" s="146"/>
      <c r="JA18" s="146"/>
      <c r="JB18" s="140" t="s">
        <v>448</v>
      </c>
      <c r="JC18" s="140" t="s">
        <v>449</v>
      </c>
      <c r="JD18" s="140">
        <v>456</v>
      </c>
      <c r="JE18" s="148"/>
      <c r="JF18" s="148"/>
      <c r="JG18" s="146"/>
      <c r="JH18" s="146"/>
      <c r="JI18" s="72"/>
      <c r="JJ18" s="72"/>
      <c r="JK18" s="72"/>
      <c r="JL18" s="72"/>
      <c r="JM18" s="121"/>
      <c r="JN18" s="121"/>
      <c r="JO18" s="72"/>
      <c r="JP18" s="140" t="s">
        <v>1217</v>
      </c>
      <c r="JQ18" s="72"/>
      <c r="JR18" s="72"/>
      <c r="JS18" s="72"/>
      <c r="JT18" s="72"/>
      <c r="JU18" s="72"/>
      <c r="JV18" s="72"/>
      <c r="JW18" s="135">
        <v>42207.818773148145</v>
      </c>
      <c r="JX18" s="135">
        <v>42207.820370370369</v>
      </c>
      <c r="JY18" s="72" t="s">
        <v>1347</v>
      </c>
      <c r="JZ18" s="72"/>
      <c r="KA18" s="72"/>
      <c r="KB18" s="72"/>
      <c r="KC18" s="72"/>
      <c r="KD18" s="72"/>
      <c r="KE18" s="72"/>
      <c r="KF18" s="72"/>
      <c r="KG18" s="72"/>
      <c r="KH18" s="72"/>
      <c r="KI18" s="72"/>
      <c r="KJ18" s="72"/>
      <c r="KK18" s="72"/>
      <c r="KL18" s="141" t="s">
        <v>1184</v>
      </c>
      <c r="KM18" s="85" t="s">
        <v>1137</v>
      </c>
      <c r="KO18" s="71">
        <v>1000</v>
      </c>
      <c r="KP18" s="159" t="s">
        <v>994</v>
      </c>
      <c r="KR18" s="159" t="s">
        <v>1031</v>
      </c>
      <c r="KS18" s="218" t="s">
        <v>1353</v>
      </c>
      <c r="KV18" s="70" t="s">
        <v>1352</v>
      </c>
      <c r="KW18" s="159" t="s">
        <v>993</v>
      </c>
      <c r="KX18" s="159" t="s">
        <v>438</v>
      </c>
      <c r="KY18" s="159" t="s">
        <v>464</v>
      </c>
      <c r="KZ18" s="93" t="s">
        <v>652</v>
      </c>
      <c r="LA18" s="93" t="s">
        <v>652</v>
      </c>
      <c r="LB18" s="145" t="s">
        <v>1192</v>
      </c>
      <c r="LC18" s="145" t="s">
        <v>1192</v>
      </c>
      <c r="LD18" s="85" t="s">
        <v>741</v>
      </c>
      <c r="LE18" s="85" t="s">
        <v>741</v>
      </c>
      <c r="LF18" s="85" t="s">
        <v>741</v>
      </c>
      <c r="LM18" s="162" t="str">
        <f>HYPERLINK("C:\SVN\SALT ADMIN 525\Projects\SALT\Snapshots\HappyPath_SingleProduct_AUS_IN-MU-LT-J27201\2015630\205951\Iterator_15\HappyPath_SingleProduct_AUS15.xlsx","Snapshot")</f>
        <v>Snapshot</v>
      </c>
      <c r="LN18" s="159">
        <v>4812</v>
      </c>
      <c r="LO18" s="72">
        <v>23</v>
      </c>
      <c r="LP18" s="72" t="s">
        <v>1338</v>
      </c>
      <c r="LQ18" s="160"/>
      <c r="LV18" s="159">
        <v>15</v>
      </c>
      <c r="LW18" s="159" t="s">
        <v>459</v>
      </c>
      <c r="LX18" s="159">
        <v>1980</v>
      </c>
      <c r="LY18" s="85" t="b">
        <v>1</v>
      </c>
      <c r="LZ18" s="85" t="s">
        <v>78</v>
      </c>
      <c r="MA18" s="85" t="s">
        <v>474</v>
      </c>
      <c r="MB18" s="85">
        <v>111111</v>
      </c>
      <c r="MC18" s="85">
        <v>111111</v>
      </c>
      <c r="MD18" s="85">
        <v>18</v>
      </c>
      <c r="ME18" s="85" t="s">
        <v>443</v>
      </c>
      <c r="MF18" s="85">
        <v>2016</v>
      </c>
      <c r="MG18" s="85" t="s">
        <v>1027</v>
      </c>
      <c r="MH18" s="159" t="s">
        <v>1218</v>
      </c>
      <c r="MI18" s="161" t="s">
        <v>1346</v>
      </c>
      <c r="MJ18" s="72"/>
      <c r="MK18" s="72"/>
      <c r="ML18" s="72"/>
      <c r="MM18" s="72"/>
      <c r="MN18" s="140"/>
      <c r="MO18" s="72" t="s">
        <v>1216</v>
      </c>
      <c r="MP18" s="115" t="s">
        <v>1076</v>
      </c>
      <c r="MQ18" s="146" t="s">
        <v>462</v>
      </c>
      <c r="MR18" s="72" t="s">
        <v>1182</v>
      </c>
      <c r="MS18" s="148"/>
      <c r="MT18" s="148"/>
      <c r="MV18" s="72"/>
      <c r="MW18" s="139" t="s">
        <v>1193</v>
      </c>
      <c r="MX18" s="159" t="s">
        <v>58</v>
      </c>
      <c r="MY18" s="115" t="s">
        <v>1076</v>
      </c>
      <c r="MZ18" s="159" t="s">
        <v>22</v>
      </c>
      <c r="NA18" s="71" t="s">
        <v>1341</v>
      </c>
      <c r="NC18" s="140" t="s">
        <v>1117</v>
      </c>
      <c r="ND18" s="162" t="str">
        <f>HYPERLINK("C:\SVN\SALT ADMIN 525\Projects\SALT\Snapshots\HappyPath_SingleProduct_AUS_IN-MU-LT-J27201\2015630\205951\Iterator_15\Merge.html","Result")</f>
        <v>Result</v>
      </c>
      <c r="NE18" s="159" t="s">
        <v>1058</v>
      </c>
    </row>
    <row r="19" spans="1:369" s="159" customFormat="1" ht="15" customHeight="1">
      <c r="A19" s="92"/>
      <c r="B19" s="158">
        <v>16</v>
      </c>
      <c r="C19" s="133" t="s">
        <v>1378</v>
      </c>
      <c r="D19" s="148" t="s">
        <v>1069</v>
      </c>
      <c r="E19" s="159" t="s">
        <v>1340</v>
      </c>
      <c r="F19" s="216"/>
      <c r="G19" s="216"/>
      <c r="H19" s="146"/>
      <c r="I19" s="146"/>
      <c r="J19" s="146"/>
      <c r="K19" s="146"/>
      <c r="L19" s="146"/>
      <c r="M19" s="146"/>
      <c r="N19" s="146"/>
      <c r="O19" s="146"/>
      <c r="P19" s="146"/>
      <c r="Q19" s="146"/>
      <c r="R19" s="146"/>
      <c r="S19" s="146"/>
      <c r="T19" s="146"/>
      <c r="U19" s="146"/>
      <c r="V19" s="146"/>
      <c r="W19" s="146"/>
      <c r="X19" s="146"/>
      <c r="Y19" s="146"/>
      <c r="Z19" s="146"/>
      <c r="AA19" s="146"/>
      <c r="AB19" s="146"/>
      <c r="AC19" s="146"/>
      <c r="AD19" s="146"/>
      <c r="AE19" s="146"/>
      <c r="AF19" s="146"/>
      <c r="AG19" s="146"/>
      <c r="AH19" s="146"/>
      <c r="AI19" s="146"/>
      <c r="AJ19" s="146"/>
      <c r="AK19" s="146"/>
      <c r="AL19" s="146"/>
      <c r="AM19" s="146"/>
      <c r="AN19" s="146"/>
      <c r="AO19" s="146"/>
      <c r="AP19" s="146"/>
      <c r="AQ19" s="146"/>
      <c r="AR19" s="146"/>
      <c r="AS19" s="146"/>
      <c r="AT19" s="146"/>
      <c r="AU19" s="146"/>
      <c r="AV19" s="146"/>
      <c r="AW19" s="146"/>
      <c r="AX19" s="146"/>
      <c r="AY19" s="146"/>
      <c r="AZ19" s="146"/>
      <c r="BA19" s="146"/>
      <c r="BB19" s="146"/>
      <c r="BC19" s="146"/>
      <c r="BD19" s="146"/>
      <c r="BE19" s="146"/>
      <c r="BF19" s="146"/>
      <c r="BG19" s="146"/>
      <c r="BH19" s="146"/>
      <c r="BI19" s="146"/>
      <c r="BJ19" s="146"/>
      <c r="BK19" s="146"/>
      <c r="BL19" s="146"/>
      <c r="BM19" s="146"/>
      <c r="BN19" s="146"/>
      <c r="BO19" s="146"/>
      <c r="BP19" s="146"/>
      <c r="BQ19" s="146"/>
      <c r="BR19" s="146"/>
      <c r="BS19" s="146"/>
      <c r="BT19" s="146"/>
      <c r="BU19" s="146"/>
      <c r="BV19" s="146"/>
      <c r="BW19" s="146"/>
      <c r="BX19" s="146"/>
      <c r="BY19" s="146"/>
      <c r="BZ19" s="146"/>
      <c r="CA19" s="146"/>
      <c r="CB19" s="146"/>
      <c r="CC19" s="146"/>
      <c r="CD19" s="146"/>
      <c r="CE19" s="146"/>
      <c r="CF19" s="146"/>
      <c r="CG19" s="146"/>
      <c r="CH19" s="146"/>
      <c r="CI19" s="146"/>
      <c r="CJ19" s="146"/>
      <c r="CK19" s="146"/>
      <c r="CL19" s="146"/>
      <c r="CM19" s="146"/>
      <c r="CN19" s="146"/>
      <c r="CO19" s="146"/>
      <c r="CP19" s="146"/>
      <c r="CQ19" s="146"/>
      <c r="CR19" s="146"/>
      <c r="CS19" s="146"/>
      <c r="CT19" s="146"/>
      <c r="CU19" s="146"/>
      <c r="CV19" s="146"/>
      <c r="CW19" s="146"/>
      <c r="CX19" s="146"/>
      <c r="CY19" s="146"/>
      <c r="CZ19" s="146"/>
      <c r="DA19" s="146"/>
      <c r="DB19" s="146"/>
      <c r="DC19" s="146"/>
      <c r="DD19" s="146"/>
      <c r="DE19" s="146"/>
      <c r="DF19" s="146"/>
      <c r="DG19" s="146"/>
      <c r="DH19" s="146"/>
      <c r="DI19" s="146"/>
      <c r="DJ19" s="146"/>
      <c r="DK19" s="146"/>
      <c r="DL19" s="146"/>
      <c r="DM19" s="146"/>
      <c r="DN19" s="146"/>
      <c r="DO19" s="146"/>
      <c r="DP19" s="146"/>
      <c r="DQ19" s="146"/>
      <c r="DR19" s="146"/>
      <c r="DS19" s="146"/>
      <c r="DT19" s="146"/>
      <c r="DU19" s="146"/>
      <c r="DV19" s="146"/>
      <c r="DW19" s="146"/>
      <c r="DX19" s="146"/>
      <c r="DY19" s="146"/>
      <c r="DZ19" s="146"/>
      <c r="EA19" s="146"/>
      <c r="EB19" s="146"/>
      <c r="EC19" s="146"/>
      <c r="ED19" s="146"/>
      <c r="EE19" s="146"/>
      <c r="EF19" s="146">
        <v>6</v>
      </c>
      <c r="EG19" s="146" t="s">
        <v>1170</v>
      </c>
      <c r="EH19" s="146">
        <v>1988</v>
      </c>
      <c r="EI19" s="14">
        <v>9</v>
      </c>
      <c r="EJ19" s="14" t="s">
        <v>1195</v>
      </c>
      <c r="EK19" s="146">
        <v>2028</v>
      </c>
      <c r="EL19" s="140">
        <v>456</v>
      </c>
      <c r="EM19" s="146" t="s">
        <v>455</v>
      </c>
      <c r="EN19" s="146">
        <v>23456723</v>
      </c>
      <c r="EO19" s="140">
        <v>60000</v>
      </c>
      <c r="EP19" s="146" t="s">
        <v>1172</v>
      </c>
      <c r="EQ19" s="146">
        <v>10</v>
      </c>
      <c r="ER19" s="146">
        <v>2018</v>
      </c>
      <c r="ES19" s="146"/>
      <c r="ET19" s="146"/>
      <c r="EU19" s="146"/>
      <c r="EV19" s="146"/>
      <c r="EW19" s="146"/>
      <c r="EX19" s="146"/>
      <c r="EY19" s="140" t="s">
        <v>74</v>
      </c>
      <c r="EZ19" s="146"/>
      <c r="FA19" s="146"/>
      <c r="FB19" s="146"/>
      <c r="FC19" s="146"/>
      <c r="FD19" s="146"/>
      <c r="FE19" s="146"/>
      <c r="FF19" s="146"/>
      <c r="FG19" s="146"/>
      <c r="FH19" s="146"/>
      <c r="FI19" s="146"/>
      <c r="FJ19" s="146"/>
      <c r="FK19" s="146"/>
      <c r="FL19" s="146"/>
      <c r="FM19" s="146"/>
      <c r="FN19" s="146"/>
      <c r="FO19" s="146"/>
      <c r="FP19" s="146"/>
      <c r="FQ19" s="146"/>
      <c r="FR19" s="146"/>
      <c r="FS19" s="146"/>
      <c r="FT19" s="146"/>
      <c r="FU19" s="146"/>
      <c r="FV19" s="146"/>
      <c r="FW19" s="146"/>
      <c r="FX19" s="146"/>
      <c r="FY19" s="146"/>
      <c r="GC19" s="146"/>
      <c r="GD19" s="146"/>
      <c r="GE19" s="146"/>
      <c r="GF19" s="146"/>
      <c r="GG19" s="146"/>
      <c r="GH19" s="146"/>
      <c r="GI19" s="146"/>
      <c r="GJ19" s="146"/>
      <c r="GK19" s="146"/>
      <c r="GL19" s="165" t="s">
        <v>1173</v>
      </c>
      <c r="GM19" s="146"/>
      <c r="GN19" s="146"/>
      <c r="GO19" s="140" t="s">
        <v>488</v>
      </c>
      <c r="GP19" s="146"/>
      <c r="GQ19" s="140" t="s">
        <v>497</v>
      </c>
      <c r="GR19" s="140" t="s">
        <v>1190</v>
      </c>
      <c r="GS19" s="149"/>
      <c r="GT19" s="146">
        <v>800</v>
      </c>
      <c r="GU19" s="146"/>
      <c r="GV19" s="151"/>
      <c r="GW19" s="146"/>
      <c r="GX19" s="146"/>
      <c r="GY19" s="146"/>
      <c r="GZ19" s="146"/>
      <c r="HA19" s="146"/>
      <c r="HB19" s="146"/>
      <c r="HC19" s="146"/>
      <c r="HD19" s="163">
        <v>41758.008657407408</v>
      </c>
      <c r="HE19" s="163">
        <v>41758.013009259259</v>
      </c>
      <c r="HF19" s="146"/>
      <c r="HG19" s="146"/>
      <c r="HH19" s="140" t="s">
        <v>1175</v>
      </c>
      <c r="HI19" s="146" t="s">
        <v>435</v>
      </c>
      <c r="HJ19" s="140" t="s">
        <v>436</v>
      </c>
      <c r="HK19" s="146"/>
      <c r="HL19" s="146"/>
      <c r="HO19" s="161"/>
      <c r="HQ19" s="146" t="s">
        <v>437</v>
      </c>
      <c r="HR19" s="146" t="s">
        <v>438</v>
      </c>
      <c r="HS19" s="146" t="s">
        <v>444</v>
      </c>
      <c r="HT19" s="146" t="s">
        <v>439</v>
      </c>
      <c r="HU19" s="140" t="s">
        <v>441</v>
      </c>
      <c r="HV19" s="146" t="s">
        <v>442</v>
      </c>
      <c r="HW19" s="153" t="s">
        <v>1208</v>
      </c>
      <c r="HX19" s="146" t="s">
        <v>78</v>
      </c>
      <c r="HY19" s="140" t="s">
        <v>1111</v>
      </c>
      <c r="HZ19" s="146"/>
      <c r="IA19" s="146">
        <v>123456</v>
      </c>
      <c r="IB19" s="146">
        <v>123456</v>
      </c>
      <c r="IC19" s="146">
        <v>11</v>
      </c>
      <c r="ID19" s="146" t="s">
        <v>443</v>
      </c>
      <c r="IE19" s="146">
        <v>2037</v>
      </c>
      <c r="IF19" s="146" t="s">
        <v>445</v>
      </c>
      <c r="IG19" s="140" t="s">
        <v>498</v>
      </c>
      <c r="IH19" s="140" t="s">
        <v>498</v>
      </c>
      <c r="II19" s="145" t="s">
        <v>1192</v>
      </c>
      <c r="IJ19" s="145" t="s">
        <v>1192</v>
      </c>
      <c r="IK19" s="146" t="s">
        <v>446</v>
      </c>
      <c r="IL19" s="146" t="s">
        <v>499</v>
      </c>
      <c r="IM19" s="146" t="s">
        <v>499</v>
      </c>
      <c r="IN19" s="140" t="s">
        <v>485</v>
      </c>
      <c r="IO19" s="140"/>
      <c r="IP19" s="140"/>
      <c r="IQ19" s="146"/>
      <c r="IR19" s="146" t="s">
        <v>439</v>
      </c>
      <c r="IS19" s="146">
        <v>108</v>
      </c>
      <c r="IT19" s="146">
        <v>10</v>
      </c>
      <c r="IU19" s="146">
        <v>2021</v>
      </c>
      <c r="IV19" s="140" t="s">
        <v>449</v>
      </c>
      <c r="IW19" s="140" t="s">
        <v>488</v>
      </c>
      <c r="IX19" s="146"/>
      <c r="IY19" s="146"/>
      <c r="IZ19" s="146"/>
      <c r="JA19" s="146"/>
      <c r="JB19" s="140" t="s">
        <v>448</v>
      </c>
      <c r="JC19" s="140" t="s">
        <v>449</v>
      </c>
      <c r="JD19" s="140">
        <v>456</v>
      </c>
      <c r="JE19" s="146"/>
      <c r="JF19" s="146"/>
      <c r="JG19" s="146"/>
      <c r="JH19" s="146"/>
      <c r="JI19" s="146"/>
      <c r="JJ19" s="146"/>
      <c r="JK19" s="146"/>
      <c r="JL19" s="146"/>
      <c r="JM19" s="164"/>
      <c r="JN19" s="164"/>
      <c r="JO19" s="146"/>
      <c r="JP19" s="140" t="s">
        <v>1217</v>
      </c>
      <c r="JQ19" s="146"/>
      <c r="JR19" s="146"/>
      <c r="JS19" s="146"/>
      <c r="JT19" s="146"/>
      <c r="JU19" s="146"/>
      <c r="JV19" s="146"/>
      <c r="JW19" s="163">
        <v>42207.820393518516</v>
      </c>
      <c r="JX19" s="163">
        <v>42207.821979166663</v>
      </c>
      <c r="JY19" s="146" t="s">
        <v>1348</v>
      </c>
      <c r="JZ19" s="146"/>
      <c r="KA19" s="146"/>
      <c r="KB19" s="146"/>
      <c r="KC19" s="146"/>
      <c r="KD19" s="146"/>
      <c r="KE19" s="146"/>
      <c r="KF19" s="146"/>
      <c r="KG19" s="146"/>
      <c r="KH19" s="146"/>
      <c r="KI19" s="146"/>
      <c r="KJ19" s="146"/>
      <c r="KK19" s="146"/>
      <c r="KL19" s="141" t="s">
        <v>1184</v>
      </c>
      <c r="KM19" s="85" t="s">
        <v>1206</v>
      </c>
      <c r="KO19" s="71">
        <v>1000</v>
      </c>
      <c r="KP19" s="159" t="s">
        <v>994</v>
      </c>
      <c r="KR19" s="159" t="s">
        <v>1031</v>
      </c>
      <c r="KS19" s="218" t="s">
        <v>1353</v>
      </c>
      <c r="KV19" s="70" t="s">
        <v>1352</v>
      </c>
      <c r="KW19" s="159" t="s">
        <v>993</v>
      </c>
      <c r="KX19" s="159" t="s">
        <v>438</v>
      </c>
      <c r="KY19" s="159" t="s">
        <v>1197</v>
      </c>
      <c r="KZ19" s="93" t="s">
        <v>652</v>
      </c>
      <c r="LA19" s="93" t="s">
        <v>652</v>
      </c>
      <c r="LB19" s="145" t="s">
        <v>1192</v>
      </c>
      <c r="LC19" s="145" t="s">
        <v>1192</v>
      </c>
      <c r="LD19" s="85" t="s">
        <v>741</v>
      </c>
      <c r="LE19" s="85" t="s">
        <v>741</v>
      </c>
      <c r="LF19" s="85" t="s">
        <v>741</v>
      </c>
      <c r="LM19" s="162" t="str">
        <f>HYPERLINK("C:\SVN\SALT ADMIN 525\Projects\SALT\Snapshots\HappyPath_SingleProduct_AUS_IN-MU-LT-J27201\201579\182542\Iterator_16\HappyPath_SingleProduct_AUS16.xlsx","Snapshot")</f>
        <v>Snapshot</v>
      </c>
      <c r="LN19" s="159">
        <v>4812</v>
      </c>
      <c r="LO19" s="72">
        <v>23</v>
      </c>
      <c r="LP19" s="72" t="s">
        <v>1338</v>
      </c>
      <c r="LQ19" s="160"/>
      <c r="LV19" s="159">
        <v>15</v>
      </c>
      <c r="LW19" s="159" t="s">
        <v>459</v>
      </c>
      <c r="LX19" s="159">
        <v>1980</v>
      </c>
      <c r="LY19" s="85" t="b">
        <v>1</v>
      </c>
      <c r="LZ19" s="85" t="s">
        <v>78</v>
      </c>
      <c r="MA19" s="85" t="s">
        <v>474</v>
      </c>
      <c r="MB19" s="85">
        <v>111111</v>
      </c>
      <c r="MC19" s="85">
        <v>111111</v>
      </c>
      <c r="MD19" s="85">
        <v>18</v>
      </c>
      <c r="ME19" s="85" t="s">
        <v>443</v>
      </c>
      <c r="MF19" s="85">
        <v>2016</v>
      </c>
      <c r="MG19" s="85" t="s">
        <v>1027</v>
      </c>
      <c r="MH19" s="159" t="s">
        <v>1142</v>
      </c>
      <c r="MI19" s="161" t="s">
        <v>1343</v>
      </c>
      <c r="MJ19" s="146"/>
      <c r="MK19" s="146"/>
      <c r="ML19" s="146"/>
      <c r="MM19" s="146"/>
      <c r="MN19" s="140"/>
      <c r="MO19" s="146" t="s">
        <v>1214</v>
      </c>
      <c r="MP19" s="115" t="s">
        <v>1076</v>
      </c>
      <c r="MQ19" s="146" t="s">
        <v>462</v>
      </c>
      <c r="MR19" s="72" t="s">
        <v>1182</v>
      </c>
      <c r="MS19" s="146"/>
      <c r="MT19" s="146"/>
      <c r="MV19" s="146"/>
      <c r="MW19" s="139" t="s">
        <v>1193</v>
      </c>
      <c r="MX19" s="159" t="s">
        <v>58</v>
      </c>
      <c r="MY19" s="115" t="s">
        <v>1076</v>
      </c>
      <c r="MZ19" s="159" t="s">
        <v>22</v>
      </c>
      <c r="NA19" s="71" t="s">
        <v>1341</v>
      </c>
      <c r="NC19" s="140" t="s">
        <v>1117</v>
      </c>
      <c r="ND19" s="162" t="str">
        <f>HYPERLINK("C:\SVN\SALT ADMIN 525\Projects\SALT\Snapshots\HappyPath_SingleProduct_AUS_IN-MU-LT-J27201\201579\182542\Iterator_16\Merge.html","Result")</f>
        <v>Result</v>
      </c>
      <c r="NE19" s="159" t="s">
        <v>1058</v>
      </c>
    </row>
    <row r="20" spans="1:369" s="159" customFormat="1" ht="15" customHeight="1">
      <c r="A20" s="92"/>
      <c r="B20" s="158">
        <v>17</v>
      </c>
      <c r="C20" s="133" t="s">
        <v>1378</v>
      </c>
      <c r="D20" s="148" t="s">
        <v>1069</v>
      </c>
      <c r="E20" s="159" t="s">
        <v>1340</v>
      </c>
      <c r="F20" s="216"/>
      <c r="G20" s="216"/>
      <c r="H20" s="72"/>
      <c r="I20" s="72"/>
      <c r="J20" s="72"/>
      <c r="K20" s="72"/>
      <c r="L20" s="72"/>
      <c r="M20" s="72" t="s">
        <v>443</v>
      </c>
      <c r="N20" s="72">
        <v>10</v>
      </c>
      <c r="O20" s="72">
        <v>1988</v>
      </c>
      <c r="P20" s="72" t="s">
        <v>443</v>
      </c>
      <c r="Q20" s="72">
        <v>10</v>
      </c>
      <c r="R20" s="72">
        <v>2029</v>
      </c>
      <c r="S20" s="72"/>
      <c r="T20" s="73" t="s">
        <v>488</v>
      </c>
      <c r="U20" s="72">
        <v>10</v>
      </c>
      <c r="V20" s="72">
        <v>2021</v>
      </c>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2"/>
      <c r="BI20" s="72"/>
      <c r="BJ20" s="72"/>
      <c r="BK20" s="72"/>
      <c r="BL20" s="73" t="s">
        <v>1169</v>
      </c>
      <c r="BM20" s="72"/>
      <c r="BN20" s="72"/>
      <c r="BO20" s="72"/>
      <c r="BP20" s="72"/>
      <c r="BQ20" s="72"/>
      <c r="BR20" s="72"/>
      <c r="BS20" s="72"/>
      <c r="BT20" s="72"/>
      <c r="BU20" s="72"/>
      <c r="BV20" s="72"/>
      <c r="BW20" s="72"/>
      <c r="BX20" s="72"/>
      <c r="BY20" s="72"/>
      <c r="BZ20" s="72"/>
      <c r="CA20" s="72"/>
      <c r="CB20" s="72"/>
      <c r="CC20" s="72"/>
      <c r="CD20" s="72"/>
      <c r="CE20" s="72"/>
      <c r="CF20" s="72"/>
      <c r="CG20" s="72"/>
      <c r="CH20" s="72"/>
      <c r="CI20" s="72"/>
      <c r="CJ20" s="72"/>
      <c r="CK20" s="72"/>
      <c r="CL20" s="72"/>
      <c r="CM20" s="72"/>
      <c r="CN20" s="72"/>
      <c r="CO20" s="72"/>
      <c r="CP20" s="72"/>
      <c r="CQ20" s="72"/>
      <c r="CR20" s="72"/>
      <c r="CS20" s="72"/>
      <c r="CT20" s="72"/>
      <c r="CU20" s="72"/>
      <c r="CV20" s="72"/>
      <c r="CW20" s="72"/>
      <c r="CX20" s="72"/>
      <c r="CY20" s="72"/>
      <c r="CZ20" s="72"/>
      <c r="DA20" s="72"/>
      <c r="DB20" s="72"/>
      <c r="DC20" s="72"/>
      <c r="DD20" s="72"/>
      <c r="DE20" s="72"/>
      <c r="DF20" s="72"/>
      <c r="DG20" s="72"/>
      <c r="DH20" s="72"/>
      <c r="DI20" s="72"/>
      <c r="DJ20" s="72"/>
      <c r="DK20" s="72"/>
      <c r="DL20" s="72"/>
      <c r="DM20" s="72"/>
      <c r="DN20" s="72"/>
      <c r="DO20" s="72"/>
      <c r="DP20" s="72"/>
      <c r="DQ20" s="72"/>
      <c r="DR20" s="72"/>
      <c r="DS20" s="72"/>
      <c r="DT20" s="72"/>
      <c r="DU20" s="72"/>
      <c r="DV20" s="72"/>
      <c r="DW20" s="72"/>
      <c r="DX20" s="72"/>
      <c r="DY20" s="72"/>
      <c r="DZ20" s="72"/>
      <c r="EA20" s="72"/>
      <c r="EB20" s="72"/>
      <c r="EC20" s="72"/>
      <c r="ED20" s="72"/>
      <c r="EE20" s="72"/>
      <c r="EF20" s="72">
        <v>8</v>
      </c>
      <c r="EG20" s="72" t="s">
        <v>1170</v>
      </c>
      <c r="EH20" s="72">
        <v>1988</v>
      </c>
      <c r="EI20" s="69">
        <v>1</v>
      </c>
      <c r="EJ20" s="69" t="s">
        <v>1171</v>
      </c>
      <c r="EK20" s="72">
        <v>2020</v>
      </c>
      <c r="EL20" s="73">
        <v>546</v>
      </c>
      <c r="EM20" s="72" t="s">
        <v>446</v>
      </c>
      <c r="EN20" s="72">
        <v>23456723</v>
      </c>
      <c r="EO20" s="73">
        <v>60000</v>
      </c>
      <c r="EP20" s="72" t="s">
        <v>1172</v>
      </c>
      <c r="EQ20" s="72">
        <v>10</v>
      </c>
      <c r="ER20" s="72">
        <v>2018</v>
      </c>
      <c r="ES20" s="72"/>
      <c r="ET20" s="72"/>
      <c r="EU20" s="72"/>
      <c r="EV20" s="72"/>
      <c r="EW20" s="72"/>
      <c r="EX20" s="72"/>
      <c r="EY20" s="73" t="s">
        <v>74</v>
      </c>
      <c r="EZ20" s="146"/>
      <c r="FA20" s="146"/>
      <c r="FB20" s="146"/>
      <c r="FC20" s="146"/>
      <c r="FD20" s="146"/>
      <c r="FE20" s="146"/>
      <c r="FF20" s="146"/>
      <c r="FG20" s="146"/>
      <c r="FH20" s="146"/>
      <c r="FI20" s="146"/>
      <c r="FJ20" s="146"/>
      <c r="FK20" s="146"/>
      <c r="FL20" s="146"/>
      <c r="FM20" s="146"/>
      <c r="FN20" s="146"/>
      <c r="FO20" s="146"/>
      <c r="FP20" s="146"/>
      <c r="FQ20" s="146"/>
      <c r="FR20" s="146"/>
      <c r="FS20" s="146"/>
      <c r="FT20" s="146"/>
      <c r="FU20" s="146"/>
      <c r="FV20" s="146"/>
      <c r="FW20" s="146"/>
      <c r="FX20" s="146"/>
      <c r="FY20" s="146"/>
      <c r="GC20" s="72"/>
      <c r="GD20" s="72"/>
      <c r="GE20" s="72"/>
      <c r="GF20" s="72"/>
      <c r="GG20" s="72"/>
      <c r="GH20" s="72"/>
      <c r="GI20" s="72">
        <v>440</v>
      </c>
      <c r="GJ20" s="139">
        <v>703.44</v>
      </c>
      <c r="GK20" s="136"/>
      <c r="GL20" s="137" t="s">
        <v>1173</v>
      </c>
      <c r="GM20" s="72"/>
      <c r="GN20" s="72"/>
      <c r="GO20" s="73" t="s">
        <v>488</v>
      </c>
      <c r="GP20" s="72"/>
      <c r="GQ20" s="140" t="s">
        <v>497</v>
      </c>
      <c r="GR20" s="140" t="s">
        <v>69</v>
      </c>
      <c r="GS20" s="149"/>
      <c r="GT20" s="146">
        <v>900</v>
      </c>
      <c r="GU20" s="146"/>
      <c r="GV20" s="151"/>
      <c r="GW20" s="72"/>
      <c r="GX20" s="72"/>
      <c r="GY20" s="72"/>
      <c r="GZ20" s="72"/>
      <c r="HA20" s="72"/>
      <c r="HB20" s="72"/>
      <c r="HC20" s="72"/>
      <c r="HD20" s="135">
        <v>41758.013055555559</v>
      </c>
      <c r="HE20" s="135">
        <v>41758.017523148148</v>
      </c>
      <c r="HF20" s="72"/>
      <c r="HG20" s="72"/>
      <c r="HH20" s="140" t="s">
        <v>1175</v>
      </c>
      <c r="HI20" s="146" t="s">
        <v>435</v>
      </c>
      <c r="HJ20" s="140" t="s">
        <v>436</v>
      </c>
      <c r="HK20" s="146"/>
      <c r="HL20" s="146"/>
      <c r="HO20" s="161"/>
      <c r="HQ20" s="146" t="s">
        <v>437</v>
      </c>
      <c r="HR20" s="146" t="s">
        <v>464</v>
      </c>
      <c r="HS20" s="146" t="s">
        <v>444</v>
      </c>
      <c r="HT20" s="146" t="s">
        <v>1197</v>
      </c>
      <c r="HU20" s="140" t="s">
        <v>441</v>
      </c>
      <c r="HV20" s="146" t="s">
        <v>442</v>
      </c>
      <c r="HW20" s="153" t="s">
        <v>1198</v>
      </c>
      <c r="HX20" s="146" t="s">
        <v>78</v>
      </c>
      <c r="HY20" s="140" t="s">
        <v>1111</v>
      </c>
      <c r="HZ20" s="146"/>
      <c r="IA20" s="146">
        <v>123456</v>
      </c>
      <c r="IB20" s="146">
        <v>123456</v>
      </c>
      <c r="IC20" s="146">
        <v>11</v>
      </c>
      <c r="ID20" s="146" t="s">
        <v>443</v>
      </c>
      <c r="IE20" s="146">
        <v>2037</v>
      </c>
      <c r="IF20" s="146" t="s">
        <v>445</v>
      </c>
      <c r="IG20" s="140" t="s">
        <v>498</v>
      </c>
      <c r="IH20" s="140" t="s">
        <v>498</v>
      </c>
      <c r="II20" s="145" t="s">
        <v>1192</v>
      </c>
      <c r="IJ20" s="145" t="s">
        <v>1192</v>
      </c>
      <c r="IK20" s="146" t="s">
        <v>446</v>
      </c>
      <c r="IL20" s="146" t="s">
        <v>499</v>
      </c>
      <c r="IM20" s="146" t="s">
        <v>499</v>
      </c>
      <c r="IN20" s="140" t="s">
        <v>485</v>
      </c>
      <c r="IO20" s="140"/>
      <c r="IP20" s="140"/>
      <c r="IQ20" s="146"/>
      <c r="IR20" s="146" t="s">
        <v>439</v>
      </c>
      <c r="IS20" s="146">
        <v>108</v>
      </c>
      <c r="IT20" s="146">
        <v>10</v>
      </c>
      <c r="IU20" s="146">
        <v>2021</v>
      </c>
      <c r="IV20" s="140" t="s">
        <v>449</v>
      </c>
      <c r="IW20" s="140" t="s">
        <v>488</v>
      </c>
      <c r="IX20" s="140"/>
      <c r="IY20" s="140"/>
      <c r="IZ20" s="140"/>
      <c r="JA20" s="146"/>
      <c r="JB20" s="140" t="s">
        <v>448</v>
      </c>
      <c r="JC20" s="140" t="s">
        <v>449</v>
      </c>
      <c r="JD20" s="140">
        <v>123</v>
      </c>
      <c r="JE20" s="72"/>
      <c r="JF20" s="72"/>
      <c r="JG20" s="146"/>
      <c r="JH20" s="146"/>
      <c r="JI20" s="72"/>
      <c r="JJ20" s="72"/>
      <c r="JK20" s="72"/>
      <c r="JL20" s="72"/>
      <c r="JM20" s="121"/>
      <c r="JN20" s="121"/>
      <c r="JO20" s="72"/>
      <c r="JP20" s="140" t="s">
        <v>1217</v>
      </c>
      <c r="JQ20" s="72"/>
      <c r="JR20" s="72"/>
      <c r="JS20" s="72"/>
      <c r="JT20" s="72"/>
      <c r="JU20" s="72"/>
      <c r="JV20" s="72"/>
      <c r="JW20" s="135">
        <v>42207.82199074074</v>
      </c>
      <c r="JX20" s="135">
        <v>42207.823518518519</v>
      </c>
      <c r="JY20" s="72" t="s">
        <v>1094</v>
      </c>
      <c r="JZ20" s="72"/>
      <c r="KA20" s="72"/>
      <c r="KB20" s="72"/>
      <c r="KC20" s="72"/>
      <c r="KD20" s="72"/>
      <c r="KE20" s="72"/>
      <c r="KF20" s="72"/>
      <c r="KG20" s="72"/>
      <c r="KH20" s="72"/>
      <c r="KI20" s="72"/>
      <c r="KJ20" s="72"/>
      <c r="KK20" s="72"/>
      <c r="KL20" s="141" t="s">
        <v>1184</v>
      </c>
      <c r="KM20" s="85" t="s">
        <v>74</v>
      </c>
      <c r="KO20" s="71">
        <v>1000</v>
      </c>
      <c r="KP20" s="159" t="s">
        <v>994</v>
      </c>
      <c r="KR20" s="159" t="s">
        <v>1031</v>
      </c>
      <c r="KS20" s="218" t="s">
        <v>1353</v>
      </c>
      <c r="KV20" s="70" t="s">
        <v>1352</v>
      </c>
      <c r="KW20" s="159" t="s">
        <v>993</v>
      </c>
      <c r="KX20" s="159" t="s">
        <v>464</v>
      </c>
      <c r="KY20" s="159" t="s">
        <v>465</v>
      </c>
      <c r="KZ20" s="93" t="s">
        <v>652</v>
      </c>
      <c r="LA20" s="93" t="s">
        <v>652</v>
      </c>
      <c r="LB20" s="145" t="s">
        <v>1192</v>
      </c>
      <c r="LC20" s="145" t="s">
        <v>1192</v>
      </c>
      <c r="LD20" s="85" t="s">
        <v>741</v>
      </c>
      <c r="LE20" s="85" t="s">
        <v>741</v>
      </c>
      <c r="LF20" s="85" t="s">
        <v>741</v>
      </c>
      <c r="LM20" s="162" t="str">
        <f>HYPERLINK("C:\SVN\SALT ADMIN 525\Projects\SALT\Snapshots\HappyPath_SingleProduct_AUS_IN-MU-LT-J27201\201579\161359\Iterator_17\HappyPath_SingleProduct_AUS17.xlsx","Snapshot")</f>
        <v>Snapshot</v>
      </c>
      <c r="LN20" s="159">
        <v>4812</v>
      </c>
      <c r="LO20" s="72">
        <v>23</v>
      </c>
      <c r="LP20" s="72" t="s">
        <v>1338</v>
      </c>
      <c r="LQ20" s="160"/>
      <c r="LV20" s="159">
        <v>15</v>
      </c>
      <c r="LW20" s="159" t="s">
        <v>459</v>
      </c>
      <c r="LX20" s="159">
        <v>1980</v>
      </c>
      <c r="LY20" s="85" t="b">
        <v>1</v>
      </c>
      <c r="LZ20" s="85" t="s">
        <v>78</v>
      </c>
      <c r="MA20" s="85" t="s">
        <v>474</v>
      </c>
      <c r="MB20" s="85">
        <v>111111</v>
      </c>
      <c r="MC20" s="85">
        <v>111111</v>
      </c>
      <c r="MD20" s="85">
        <v>18</v>
      </c>
      <c r="ME20" s="85" t="s">
        <v>443</v>
      </c>
      <c r="MF20" s="85">
        <v>2016</v>
      </c>
      <c r="MG20" s="85" t="s">
        <v>1027</v>
      </c>
      <c r="MH20" s="166" t="s">
        <v>1148</v>
      </c>
      <c r="MI20" s="161" t="s">
        <v>1345</v>
      </c>
      <c r="MJ20" s="72"/>
      <c r="MK20" s="72"/>
      <c r="ML20" s="72"/>
      <c r="MM20" s="72"/>
      <c r="MN20" s="140"/>
      <c r="MO20" s="72" t="s">
        <v>1219</v>
      </c>
      <c r="MP20" s="115" t="s">
        <v>1076</v>
      </c>
      <c r="MQ20" s="146" t="s">
        <v>462</v>
      </c>
      <c r="MR20" s="72" t="s">
        <v>1182</v>
      </c>
      <c r="MS20" s="72"/>
      <c r="MT20" s="72"/>
      <c r="MV20" s="72"/>
      <c r="MW20" s="139" t="s">
        <v>1193</v>
      </c>
      <c r="MX20" s="159" t="s">
        <v>58</v>
      </c>
      <c r="MY20" s="115" t="s">
        <v>1076</v>
      </c>
      <c r="MZ20" s="159" t="s">
        <v>22</v>
      </c>
      <c r="NA20" s="71" t="s">
        <v>1341</v>
      </c>
      <c r="NC20" s="140" t="s">
        <v>1117</v>
      </c>
      <c r="ND20" s="162" t="str">
        <f>HYPERLINK("C:\SVN\SALT ADMIN 525\Projects\SALT\Snapshots\HappyPath_SingleProduct_AUS_IN-MU-LT-J27201\201579\161359\Iterator_17\Merge.html","Result")</f>
        <v>Result</v>
      </c>
      <c r="NE20" s="159" t="s">
        <v>1058</v>
      </c>
    </row>
    <row r="21" spans="1:369" s="159" customFormat="1" ht="15" customHeight="1">
      <c r="A21" s="92"/>
      <c r="B21" s="158">
        <v>18</v>
      </c>
      <c r="C21" s="133" t="s">
        <v>1378</v>
      </c>
      <c r="D21" s="148" t="s">
        <v>1069</v>
      </c>
      <c r="E21" s="159" t="s">
        <v>1340</v>
      </c>
      <c r="F21" s="216"/>
      <c r="G21" s="216"/>
      <c r="H21" s="72"/>
      <c r="I21" s="72"/>
      <c r="J21" s="72"/>
      <c r="K21" s="72"/>
      <c r="L21" s="72"/>
      <c r="M21" s="72" t="s">
        <v>443</v>
      </c>
      <c r="N21" s="72">
        <v>10</v>
      </c>
      <c r="O21" s="72">
        <v>1988</v>
      </c>
      <c r="P21" s="72" t="s">
        <v>443</v>
      </c>
      <c r="Q21" s="72">
        <v>10</v>
      </c>
      <c r="R21" s="72">
        <v>2029</v>
      </c>
      <c r="S21" s="72"/>
      <c r="T21" s="73" t="s">
        <v>488</v>
      </c>
      <c r="U21" s="72">
        <v>10</v>
      </c>
      <c r="V21" s="72">
        <v>2021</v>
      </c>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72"/>
      <c r="BA21" s="72"/>
      <c r="BB21" s="72"/>
      <c r="BC21" s="72"/>
      <c r="BD21" s="72"/>
      <c r="BE21" s="72"/>
      <c r="BF21" s="72"/>
      <c r="BG21" s="72"/>
      <c r="BH21" s="72"/>
      <c r="BI21" s="72"/>
      <c r="BJ21" s="72"/>
      <c r="BK21" s="72"/>
      <c r="BL21" s="73" t="s">
        <v>1169</v>
      </c>
      <c r="BM21" s="72"/>
      <c r="BN21" s="72"/>
      <c r="BO21" s="72"/>
      <c r="BP21" s="72"/>
      <c r="BQ21" s="72"/>
      <c r="BR21" s="72"/>
      <c r="BS21" s="72"/>
      <c r="BT21" s="72"/>
      <c r="BU21" s="72"/>
      <c r="BV21" s="72"/>
      <c r="BW21" s="72"/>
      <c r="BX21" s="72"/>
      <c r="BY21" s="72"/>
      <c r="BZ21" s="72"/>
      <c r="CA21" s="72"/>
      <c r="CB21" s="72"/>
      <c r="CC21" s="72"/>
      <c r="CD21" s="72"/>
      <c r="CE21" s="72"/>
      <c r="CF21" s="72"/>
      <c r="CG21" s="72"/>
      <c r="CH21" s="72"/>
      <c r="CI21" s="72"/>
      <c r="CJ21" s="72"/>
      <c r="CK21" s="72"/>
      <c r="CL21" s="72"/>
      <c r="CM21" s="72"/>
      <c r="CN21" s="72"/>
      <c r="CO21" s="72"/>
      <c r="CP21" s="72"/>
      <c r="CQ21" s="72"/>
      <c r="CR21" s="72"/>
      <c r="CS21" s="72"/>
      <c r="CT21" s="72"/>
      <c r="CU21" s="72"/>
      <c r="CV21" s="72"/>
      <c r="CW21" s="72"/>
      <c r="CX21" s="72"/>
      <c r="CY21" s="72"/>
      <c r="CZ21" s="72"/>
      <c r="DA21" s="72"/>
      <c r="DB21" s="72"/>
      <c r="DC21" s="72"/>
      <c r="DD21" s="72"/>
      <c r="DE21" s="72"/>
      <c r="DF21" s="72"/>
      <c r="DG21" s="72"/>
      <c r="DH21" s="72"/>
      <c r="DI21" s="72"/>
      <c r="DJ21" s="72"/>
      <c r="DK21" s="72"/>
      <c r="DL21" s="72"/>
      <c r="DM21" s="72"/>
      <c r="DN21" s="72"/>
      <c r="DO21" s="72"/>
      <c r="DP21" s="72"/>
      <c r="DQ21" s="72"/>
      <c r="DR21" s="72"/>
      <c r="DS21" s="72"/>
      <c r="DT21" s="72"/>
      <c r="DU21" s="72"/>
      <c r="DV21" s="72"/>
      <c r="DW21" s="72"/>
      <c r="DX21" s="72"/>
      <c r="DY21" s="72"/>
      <c r="DZ21" s="72"/>
      <c r="EA21" s="72"/>
      <c r="EB21" s="72"/>
      <c r="EC21" s="72"/>
      <c r="ED21" s="72"/>
      <c r="EE21" s="72"/>
      <c r="EF21" s="72">
        <v>5</v>
      </c>
      <c r="EG21" s="72" t="s">
        <v>1170</v>
      </c>
      <c r="EH21" s="72">
        <v>1988</v>
      </c>
      <c r="EI21" s="69">
        <v>8</v>
      </c>
      <c r="EJ21" s="69" t="s">
        <v>1188</v>
      </c>
      <c r="EK21" s="72">
        <v>2027</v>
      </c>
      <c r="EL21" s="73">
        <v>123</v>
      </c>
      <c r="EM21" s="72" t="s">
        <v>446</v>
      </c>
      <c r="EN21" s="72">
        <v>23456723</v>
      </c>
      <c r="EO21" s="73">
        <v>60000</v>
      </c>
      <c r="EP21" s="72" t="s">
        <v>1172</v>
      </c>
      <c r="EQ21" s="72">
        <v>10</v>
      </c>
      <c r="ER21" s="72">
        <v>2018</v>
      </c>
      <c r="ES21" s="72"/>
      <c r="ET21" s="72"/>
      <c r="EU21" s="72"/>
      <c r="EV21" s="72"/>
      <c r="EW21" s="72"/>
      <c r="EX21" s="72"/>
      <c r="EY21" s="73" t="s">
        <v>74</v>
      </c>
      <c r="EZ21" s="146"/>
      <c r="FA21" s="146"/>
      <c r="FB21" s="146"/>
      <c r="FC21" s="146"/>
      <c r="FD21" s="146"/>
      <c r="FE21" s="146"/>
      <c r="FF21" s="146"/>
      <c r="FG21" s="146"/>
      <c r="FH21" s="146"/>
      <c r="FI21" s="146"/>
      <c r="FJ21" s="146"/>
      <c r="FK21" s="146"/>
      <c r="FL21" s="146"/>
      <c r="FM21" s="146"/>
      <c r="FN21" s="146"/>
      <c r="FO21" s="146"/>
      <c r="FP21" s="146"/>
      <c r="FQ21" s="146"/>
      <c r="FR21" s="146"/>
      <c r="FS21" s="146"/>
      <c r="FT21" s="146"/>
      <c r="FU21" s="146"/>
      <c r="FV21" s="146"/>
      <c r="FW21" s="146"/>
      <c r="FX21" s="146"/>
      <c r="FY21" s="146"/>
      <c r="GC21" s="72"/>
      <c r="GD21" s="72"/>
      <c r="GE21" s="72"/>
      <c r="GF21" s="72"/>
      <c r="GG21" s="72"/>
      <c r="GH21" s="72"/>
      <c r="GI21" s="72">
        <v>440</v>
      </c>
      <c r="GJ21" s="139">
        <v>703.44</v>
      </c>
      <c r="GK21" s="136"/>
      <c r="GL21" s="137" t="s">
        <v>1173</v>
      </c>
      <c r="GM21" s="72"/>
      <c r="GN21" s="72"/>
      <c r="GO21" s="73" t="s">
        <v>488</v>
      </c>
      <c r="GP21" s="72"/>
      <c r="GQ21" s="140" t="s">
        <v>497</v>
      </c>
      <c r="GR21" s="140" t="s">
        <v>69</v>
      </c>
      <c r="GS21" s="149"/>
      <c r="GT21" s="146">
        <v>1200</v>
      </c>
      <c r="GU21" s="146"/>
      <c r="GV21" s="151"/>
      <c r="GW21" s="72"/>
      <c r="GX21" s="72"/>
      <c r="GY21" s="72"/>
      <c r="GZ21" s="72"/>
      <c r="HA21" s="72"/>
      <c r="HB21" s="72"/>
      <c r="HC21" s="72"/>
      <c r="HD21" s="135">
        <v>41758.017557870371</v>
      </c>
      <c r="HE21" s="135">
        <v>41758.021793981483</v>
      </c>
      <c r="HF21" s="72"/>
      <c r="HG21" s="72"/>
      <c r="HH21" s="140" t="s">
        <v>1175</v>
      </c>
      <c r="HI21" s="146" t="s">
        <v>435</v>
      </c>
      <c r="HJ21" s="140" t="s">
        <v>436</v>
      </c>
      <c r="HK21" s="146"/>
      <c r="HL21" s="146"/>
      <c r="HO21" s="161"/>
      <c r="HQ21" s="146" t="s">
        <v>437</v>
      </c>
      <c r="HR21" s="146" t="s">
        <v>464</v>
      </c>
      <c r="HS21" s="146" t="s">
        <v>444</v>
      </c>
      <c r="HT21" s="146" t="s">
        <v>1197</v>
      </c>
      <c r="HU21" s="140" t="s">
        <v>441</v>
      </c>
      <c r="HV21" s="146" t="s">
        <v>442</v>
      </c>
      <c r="HW21" s="153" t="s">
        <v>1198</v>
      </c>
      <c r="HX21" s="146" t="s">
        <v>78</v>
      </c>
      <c r="HY21" s="140" t="s">
        <v>1111</v>
      </c>
      <c r="HZ21" s="146"/>
      <c r="IA21" s="146">
        <v>123456</v>
      </c>
      <c r="IB21" s="146">
        <v>123456</v>
      </c>
      <c r="IC21" s="146">
        <v>11</v>
      </c>
      <c r="ID21" s="146" t="s">
        <v>443</v>
      </c>
      <c r="IE21" s="146">
        <v>2037</v>
      </c>
      <c r="IF21" s="146" t="s">
        <v>445</v>
      </c>
      <c r="IG21" s="140" t="s">
        <v>498</v>
      </c>
      <c r="IH21" s="140" t="s">
        <v>498</v>
      </c>
      <c r="II21" s="145" t="s">
        <v>1192</v>
      </c>
      <c r="IJ21" s="145" t="s">
        <v>1192</v>
      </c>
      <c r="IK21" s="146" t="s">
        <v>446</v>
      </c>
      <c r="IL21" s="146" t="s">
        <v>499</v>
      </c>
      <c r="IM21" s="146" t="s">
        <v>499</v>
      </c>
      <c r="IN21" s="140" t="s">
        <v>485</v>
      </c>
      <c r="IO21" s="140"/>
      <c r="IP21" s="140"/>
      <c r="IQ21" s="146"/>
      <c r="IR21" s="146" t="s">
        <v>439</v>
      </c>
      <c r="IS21" s="146">
        <v>108</v>
      </c>
      <c r="IT21" s="146">
        <v>10</v>
      </c>
      <c r="IU21" s="146">
        <v>2021</v>
      </c>
      <c r="IV21" s="140" t="s">
        <v>449</v>
      </c>
      <c r="IW21" s="140" t="s">
        <v>488</v>
      </c>
      <c r="IX21" s="140"/>
      <c r="IY21" s="140"/>
      <c r="IZ21" s="140"/>
      <c r="JA21" s="146"/>
      <c r="JB21" s="140" t="s">
        <v>448</v>
      </c>
      <c r="JC21" s="140" t="s">
        <v>449</v>
      </c>
      <c r="JD21" s="140">
        <v>123</v>
      </c>
      <c r="JE21" s="72"/>
      <c r="JF21" s="72"/>
      <c r="JG21" s="146"/>
      <c r="JH21" s="146"/>
      <c r="JI21" s="72"/>
      <c r="JJ21" s="72"/>
      <c r="JK21" s="72"/>
      <c r="JL21" s="72"/>
      <c r="JM21" s="121"/>
      <c r="JN21" s="121"/>
      <c r="JO21" s="72"/>
      <c r="JP21" s="140" t="s">
        <v>1217</v>
      </c>
      <c r="JQ21" s="72"/>
      <c r="JR21" s="72"/>
      <c r="JS21" s="72"/>
      <c r="JT21" s="72"/>
      <c r="JU21" s="72"/>
      <c r="JV21" s="72"/>
      <c r="JW21" s="135">
        <v>42207.823541666665</v>
      </c>
      <c r="JX21" s="135">
        <v>42207.825104166666</v>
      </c>
      <c r="JY21" s="72" t="s">
        <v>1344</v>
      </c>
      <c r="JZ21" s="72"/>
      <c r="KA21" s="72"/>
      <c r="KB21" s="72"/>
      <c r="KC21" s="72"/>
      <c r="KD21" s="72"/>
      <c r="KE21" s="72"/>
      <c r="KF21" s="72"/>
      <c r="KG21" s="72"/>
      <c r="KH21" s="72"/>
      <c r="KI21" s="72"/>
      <c r="KJ21" s="72"/>
      <c r="KK21" s="72"/>
      <c r="KL21" s="141" t="s">
        <v>1184</v>
      </c>
      <c r="KM21" s="85" t="s">
        <v>74</v>
      </c>
      <c r="KO21" s="71">
        <v>1000</v>
      </c>
      <c r="KP21" s="159" t="s">
        <v>994</v>
      </c>
      <c r="KR21" s="159" t="s">
        <v>1031</v>
      </c>
      <c r="KS21" s="218" t="s">
        <v>1353</v>
      </c>
      <c r="KV21" s="70" t="s">
        <v>1352</v>
      </c>
      <c r="KW21" s="159" t="s">
        <v>993</v>
      </c>
      <c r="KX21" s="159" t="s">
        <v>464</v>
      </c>
      <c r="KY21" s="159" t="s">
        <v>1204</v>
      </c>
      <c r="KZ21" s="93" t="s">
        <v>652</v>
      </c>
      <c r="LA21" s="93" t="s">
        <v>652</v>
      </c>
      <c r="LB21" s="145" t="s">
        <v>1192</v>
      </c>
      <c r="LC21" s="145" t="s">
        <v>1192</v>
      </c>
      <c r="LD21" s="85" t="s">
        <v>741</v>
      </c>
      <c r="LE21" s="85" t="s">
        <v>741</v>
      </c>
      <c r="LF21" s="85" t="s">
        <v>741</v>
      </c>
      <c r="LM21" s="162" t="str">
        <f>HYPERLINK("C:\SVN\SALT ADMIN 525\Projects\SALT\Snapshots\HappyPath_SingleProduct_AUS_IN-MU-LT-J27201\201579\185035\Iterator_18\HappyPath_SingleProduct_AUS18.xlsx","Snapshot")</f>
        <v>Snapshot</v>
      </c>
      <c r="LN21" s="159">
        <v>4812</v>
      </c>
      <c r="LO21" s="72">
        <v>23</v>
      </c>
      <c r="LP21" s="72" t="s">
        <v>1338</v>
      </c>
      <c r="LQ21" s="160"/>
      <c r="LV21" s="159">
        <v>15</v>
      </c>
      <c r="LW21" s="159" t="s">
        <v>459</v>
      </c>
      <c r="LX21" s="159">
        <v>1980</v>
      </c>
      <c r="LY21" s="85" t="b">
        <v>1</v>
      </c>
      <c r="LZ21" s="85" t="s">
        <v>78</v>
      </c>
      <c r="MA21" s="85" t="s">
        <v>474</v>
      </c>
      <c r="MB21" s="85">
        <v>111111</v>
      </c>
      <c r="MC21" s="85">
        <v>111111</v>
      </c>
      <c r="MD21" s="85">
        <v>18</v>
      </c>
      <c r="ME21" s="85" t="s">
        <v>443</v>
      </c>
      <c r="MF21" s="85">
        <v>2016</v>
      </c>
      <c r="MG21" s="85" t="s">
        <v>1027</v>
      </c>
      <c r="MH21" s="166" t="s">
        <v>1220</v>
      </c>
      <c r="MI21" s="161" t="s">
        <v>1345</v>
      </c>
      <c r="MJ21" s="72"/>
      <c r="MK21" s="72"/>
      <c r="ML21" s="72"/>
      <c r="MM21" s="72"/>
      <c r="MN21" s="140"/>
      <c r="MO21" s="72" t="s">
        <v>1209</v>
      </c>
      <c r="MP21" s="115" t="s">
        <v>1076</v>
      </c>
      <c r="MQ21" s="146" t="s">
        <v>462</v>
      </c>
      <c r="MR21" s="72" t="s">
        <v>1182</v>
      </c>
      <c r="MS21" s="72"/>
      <c r="MT21" s="72"/>
      <c r="MV21" s="72"/>
      <c r="MW21" s="139" t="s">
        <v>1193</v>
      </c>
      <c r="MX21" s="159" t="s">
        <v>58</v>
      </c>
      <c r="MY21" s="115" t="s">
        <v>1076</v>
      </c>
      <c r="MZ21" s="159" t="s">
        <v>22</v>
      </c>
      <c r="NA21" s="71" t="s">
        <v>1341</v>
      </c>
      <c r="NC21" s="140" t="s">
        <v>1117</v>
      </c>
      <c r="ND21" s="162" t="str">
        <f>HYPERLINK("C:\SVN\SALT ADMIN 525\Projects\SALT\Snapshots\HappyPath_SingleProduct_AUS_IN-MU-LT-J27201\201579\185035\Iterator_18\Merge.html","Result")</f>
        <v>Result</v>
      </c>
      <c r="NE21" s="159" t="s">
        <v>1058</v>
      </c>
    </row>
    <row r="22" spans="1:369" s="148" customFormat="1" ht="15" customHeight="1">
      <c r="A22" s="89"/>
      <c r="B22" s="147">
        <v>19</v>
      </c>
      <c r="C22" s="133" t="s">
        <v>1378</v>
      </c>
      <c r="D22" s="148" t="s">
        <v>1069</v>
      </c>
      <c r="E22" s="148" t="s">
        <v>1340</v>
      </c>
      <c r="F22" s="157"/>
      <c r="G22" s="157"/>
      <c r="H22" s="167"/>
      <c r="I22" s="167"/>
      <c r="J22" s="167"/>
      <c r="K22" s="167"/>
      <c r="L22" s="167"/>
      <c r="M22" s="167"/>
      <c r="N22" s="167"/>
      <c r="O22" s="167"/>
      <c r="P22" s="167"/>
      <c r="Q22" s="167"/>
      <c r="R22" s="167"/>
      <c r="S22" s="167"/>
      <c r="T22" s="167"/>
      <c r="U22" s="167"/>
      <c r="V22" s="167"/>
      <c r="W22" s="167"/>
      <c r="X22" s="167"/>
      <c r="Y22" s="167"/>
      <c r="Z22" s="167"/>
      <c r="AA22" s="167"/>
      <c r="AB22" s="167"/>
      <c r="AC22" s="167"/>
      <c r="AD22" s="167"/>
      <c r="AE22" s="167"/>
      <c r="AF22" s="167"/>
      <c r="AG22" s="167"/>
      <c r="AH22" s="167"/>
      <c r="AI22" s="167"/>
      <c r="AJ22" s="167"/>
      <c r="AK22" s="167"/>
      <c r="AL22" s="167"/>
      <c r="AM22" s="167"/>
      <c r="AN22" s="167"/>
      <c r="AO22" s="167"/>
      <c r="AP22" s="167"/>
      <c r="AQ22" s="167"/>
      <c r="AR22" s="167"/>
      <c r="AS22" s="167"/>
      <c r="AT22" s="167"/>
      <c r="AU22" s="167"/>
      <c r="AV22" s="167"/>
      <c r="AW22" s="167"/>
      <c r="AX22" s="167"/>
      <c r="AY22" s="167"/>
      <c r="AZ22" s="167"/>
      <c r="BA22" s="167"/>
      <c r="BB22" s="167"/>
      <c r="BC22" s="167"/>
      <c r="BD22" s="167"/>
      <c r="BE22" s="167"/>
      <c r="BF22" s="167"/>
      <c r="BG22" s="167"/>
      <c r="BH22" s="167"/>
      <c r="BI22" s="167"/>
      <c r="BJ22" s="167"/>
      <c r="BK22" s="167"/>
      <c r="BL22" s="167"/>
      <c r="BM22" s="167"/>
      <c r="BN22" s="167"/>
      <c r="BO22" s="167"/>
      <c r="BP22" s="167"/>
      <c r="BQ22" s="167"/>
      <c r="BR22" s="167"/>
      <c r="BS22" s="167"/>
      <c r="BT22" s="167"/>
      <c r="BU22" s="167"/>
      <c r="BV22" s="167"/>
      <c r="BW22" s="167"/>
      <c r="BX22" s="167"/>
      <c r="BY22" s="167"/>
      <c r="BZ22" s="167"/>
      <c r="CA22" s="167"/>
      <c r="CB22" s="167"/>
      <c r="CC22" s="167"/>
      <c r="CD22" s="167"/>
      <c r="CE22" s="167"/>
      <c r="CF22" s="167"/>
      <c r="CG22" s="167"/>
      <c r="CH22" s="167"/>
      <c r="CI22" s="167"/>
      <c r="CJ22" s="167"/>
      <c r="CK22" s="167"/>
      <c r="CL22" s="167"/>
      <c r="CM22" s="167"/>
      <c r="CN22" s="167"/>
      <c r="CO22" s="167"/>
      <c r="CP22" s="167"/>
      <c r="CQ22" s="167"/>
      <c r="CR22" s="167"/>
      <c r="CS22" s="167"/>
      <c r="CT22" s="167"/>
      <c r="CU22" s="167"/>
      <c r="CV22" s="167"/>
      <c r="CW22" s="167"/>
      <c r="CX22" s="167"/>
      <c r="CY22" s="167"/>
      <c r="CZ22" s="167"/>
      <c r="DA22" s="167"/>
      <c r="DB22" s="167"/>
      <c r="DC22" s="167"/>
      <c r="DD22" s="167"/>
      <c r="DE22" s="167"/>
      <c r="DF22" s="167"/>
      <c r="DG22" s="167"/>
      <c r="DH22" s="167"/>
      <c r="DI22" s="167"/>
      <c r="DJ22" s="167"/>
      <c r="DK22" s="167"/>
      <c r="DL22" s="167"/>
      <c r="DM22" s="167"/>
      <c r="DN22" s="167"/>
      <c r="DO22" s="167"/>
      <c r="DP22" s="167"/>
      <c r="DQ22" s="167"/>
      <c r="DR22" s="167"/>
      <c r="DS22" s="167"/>
      <c r="DT22" s="167"/>
      <c r="DU22" s="167"/>
      <c r="DV22" s="167"/>
      <c r="DW22" s="167"/>
      <c r="DX22" s="167"/>
      <c r="DY22" s="167"/>
      <c r="DZ22" s="167"/>
      <c r="EA22" s="167"/>
      <c r="EB22" s="167"/>
      <c r="EC22" s="167"/>
      <c r="ED22" s="167"/>
      <c r="EE22" s="167"/>
      <c r="EF22" s="72">
        <v>5</v>
      </c>
      <c r="EG22" s="72" t="s">
        <v>1170</v>
      </c>
      <c r="EH22" s="72">
        <v>1988</v>
      </c>
      <c r="EI22" s="69">
        <v>9</v>
      </c>
      <c r="EJ22" s="69" t="s">
        <v>1195</v>
      </c>
      <c r="EK22" s="72">
        <v>2028</v>
      </c>
      <c r="EL22" s="73">
        <v>456</v>
      </c>
      <c r="EM22" s="72" t="s">
        <v>446</v>
      </c>
      <c r="EN22" s="72">
        <v>23456723</v>
      </c>
      <c r="EO22" s="73">
        <v>60000</v>
      </c>
      <c r="EP22" s="72" t="s">
        <v>1172</v>
      </c>
      <c r="EQ22" s="72">
        <v>10</v>
      </c>
      <c r="ER22" s="72">
        <v>2018</v>
      </c>
      <c r="ES22" s="167"/>
      <c r="ET22" s="167"/>
      <c r="EU22" s="167"/>
      <c r="EV22" s="167"/>
      <c r="EW22" s="167"/>
      <c r="EX22" s="167"/>
      <c r="EY22" s="169" t="s">
        <v>729</v>
      </c>
      <c r="EZ22" s="146"/>
      <c r="FA22" s="146"/>
      <c r="FB22" s="146"/>
      <c r="FC22" s="146"/>
      <c r="FD22" s="146"/>
      <c r="FE22" s="146"/>
      <c r="FF22" s="146"/>
      <c r="FG22" s="146"/>
      <c r="FH22" s="146"/>
      <c r="FI22" s="146"/>
      <c r="FJ22" s="146"/>
      <c r="FK22" s="146"/>
      <c r="FL22" s="146"/>
      <c r="FM22" s="146"/>
      <c r="FN22" s="146"/>
      <c r="FO22" s="146"/>
      <c r="FP22" s="146"/>
      <c r="FQ22" s="146"/>
      <c r="FR22" s="146"/>
      <c r="FS22" s="146"/>
      <c r="FT22" s="146"/>
      <c r="FU22" s="146"/>
      <c r="FV22" s="146"/>
      <c r="FW22" s="146"/>
      <c r="FX22" s="146"/>
      <c r="FY22" s="146"/>
      <c r="GC22" s="167"/>
      <c r="GD22" s="167"/>
      <c r="GE22" s="167"/>
      <c r="GF22" s="167"/>
      <c r="GG22" s="167"/>
      <c r="GH22" s="167"/>
      <c r="GI22" s="167">
        <v>500</v>
      </c>
      <c r="GJ22" s="167">
        <v>477.33</v>
      </c>
      <c r="GK22" s="167"/>
      <c r="GL22" s="170" t="s">
        <v>1173</v>
      </c>
      <c r="GM22" s="167"/>
      <c r="GN22" s="167"/>
      <c r="GO22" s="169" t="s">
        <v>488</v>
      </c>
      <c r="GP22" s="167"/>
      <c r="GQ22" s="140" t="s">
        <v>497</v>
      </c>
      <c r="GR22" s="140" t="s">
        <v>463</v>
      </c>
      <c r="GS22" s="149"/>
      <c r="GT22" s="146">
        <v>1000</v>
      </c>
      <c r="GU22" s="146"/>
      <c r="GV22" s="151"/>
      <c r="GW22" s="167"/>
      <c r="GX22" s="167"/>
      <c r="GY22" s="167"/>
      <c r="GZ22" s="167"/>
      <c r="HA22" s="167"/>
      <c r="HB22" s="167"/>
      <c r="HC22" s="167"/>
      <c r="HD22" s="168">
        <v>41758.004293981481</v>
      </c>
      <c r="HE22" s="168">
        <v>41758.008622685185</v>
      </c>
      <c r="HF22" s="167"/>
      <c r="HG22" s="167"/>
      <c r="HH22" s="140" t="s">
        <v>1175</v>
      </c>
      <c r="HI22" s="146" t="s">
        <v>435</v>
      </c>
      <c r="HJ22" s="140" t="s">
        <v>436</v>
      </c>
      <c r="HK22" s="146"/>
      <c r="HL22" s="146"/>
      <c r="HQ22" s="146" t="s">
        <v>437</v>
      </c>
      <c r="HR22" s="146" t="s">
        <v>438</v>
      </c>
      <c r="HS22" s="146" t="s">
        <v>444</v>
      </c>
      <c r="HT22" s="146" t="s">
        <v>439</v>
      </c>
      <c r="HU22" s="140" t="s">
        <v>441</v>
      </c>
      <c r="HV22" s="146" t="s">
        <v>442</v>
      </c>
      <c r="HW22" s="153" t="s">
        <v>1208</v>
      </c>
      <c r="HX22" s="146" t="s">
        <v>78</v>
      </c>
      <c r="HY22" s="140" t="s">
        <v>1111</v>
      </c>
      <c r="HZ22" s="146"/>
      <c r="IA22" s="146">
        <v>123456</v>
      </c>
      <c r="IB22" s="146">
        <v>123456</v>
      </c>
      <c r="IC22" s="146">
        <v>11</v>
      </c>
      <c r="ID22" s="146" t="s">
        <v>443</v>
      </c>
      <c r="IE22" s="146">
        <v>2037</v>
      </c>
      <c r="IF22" s="146" t="s">
        <v>445</v>
      </c>
      <c r="IG22" s="140" t="s">
        <v>498</v>
      </c>
      <c r="IH22" s="140" t="s">
        <v>498</v>
      </c>
      <c r="II22" s="145" t="s">
        <v>1192</v>
      </c>
      <c r="IJ22" s="145" t="s">
        <v>1192</v>
      </c>
      <c r="IK22" s="146" t="s">
        <v>446</v>
      </c>
      <c r="IL22" s="146" t="s">
        <v>499</v>
      </c>
      <c r="IM22" s="146" t="s">
        <v>499</v>
      </c>
      <c r="IN22" s="140" t="s">
        <v>485</v>
      </c>
      <c r="IO22" s="140"/>
      <c r="IP22" s="140"/>
      <c r="IQ22" s="146"/>
      <c r="IR22" s="146" t="s">
        <v>439</v>
      </c>
      <c r="IS22" s="146">
        <v>108</v>
      </c>
      <c r="IT22" s="146">
        <v>10</v>
      </c>
      <c r="IU22" s="146">
        <v>2021</v>
      </c>
      <c r="IV22" s="140" t="s">
        <v>449</v>
      </c>
      <c r="IW22" s="140" t="s">
        <v>488</v>
      </c>
      <c r="IX22" s="146"/>
      <c r="IY22" s="146"/>
      <c r="IZ22" s="146"/>
      <c r="JA22" s="146"/>
      <c r="JB22" s="140" t="s">
        <v>448</v>
      </c>
      <c r="JC22" s="140" t="s">
        <v>449</v>
      </c>
      <c r="JD22" s="140">
        <v>456</v>
      </c>
      <c r="JE22" s="167"/>
      <c r="JF22" s="167"/>
      <c r="JG22" s="146"/>
      <c r="JH22" s="146"/>
      <c r="JI22" s="167"/>
      <c r="JJ22" s="167"/>
      <c r="JK22" s="167"/>
      <c r="JL22" s="167"/>
      <c r="JM22" s="121"/>
      <c r="JN22" s="121"/>
      <c r="JO22" s="167"/>
      <c r="JP22" s="140" t="s">
        <v>1144</v>
      </c>
      <c r="JQ22" s="167"/>
      <c r="JR22" s="167"/>
      <c r="JS22" s="167"/>
      <c r="JT22" s="167"/>
      <c r="JU22" s="167"/>
      <c r="JV22" s="167"/>
      <c r="JW22" s="168">
        <v>42207.825127314813</v>
      </c>
      <c r="JX22" s="168">
        <v>42207.826620370368</v>
      </c>
      <c r="JY22" s="167" t="s">
        <v>1349</v>
      </c>
      <c r="JZ22" s="167"/>
      <c r="KA22" s="167"/>
      <c r="KB22" s="167"/>
      <c r="KC22" s="167"/>
      <c r="KD22" s="167"/>
      <c r="KE22" s="72"/>
      <c r="KF22" s="167"/>
      <c r="KG22" s="167"/>
      <c r="KH22" s="167"/>
      <c r="KI22" s="167"/>
      <c r="KJ22" s="167"/>
      <c r="KK22" s="167"/>
      <c r="KL22" s="141" t="s">
        <v>1184</v>
      </c>
      <c r="KM22" s="90" t="s">
        <v>440</v>
      </c>
      <c r="KO22" s="71">
        <v>1200</v>
      </c>
      <c r="KP22" s="148" t="s">
        <v>994</v>
      </c>
      <c r="KR22" s="155" t="s">
        <v>1213</v>
      </c>
      <c r="KS22" s="218" t="s">
        <v>1353</v>
      </c>
      <c r="KV22" s="70" t="s">
        <v>1352</v>
      </c>
      <c r="KW22" s="72" t="s">
        <v>993</v>
      </c>
      <c r="KX22" s="148" t="s">
        <v>438</v>
      </c>
      <c r="KY22" s="148" t="s">
        <v>1207</v>
      </c>
      <c r="KZ22" s="91" t="s">
        <v>652</v>
      </c>
      <c r="LA22" s="91" t="s">
        <v>652</v>
      </c>
      <c r="LB22" s="145" t="s">
        <v>1192</v>
      </c>
      <c r="LC22" s="145" t="s">
        <v>1192</v>
      </c>
      <c r="LD22" s="90" t="s">
        <v>741</v>
      </c>
      <c r="LE22" s="90" t="s">
        <v>741</v>
      </c>
      <c r="LF22" s="90" t="s">
        <v>741</v>
      </c>
      <c r="LM22" s="156" t="str">
        <f>HYPERLINK("C:\SVN\SALT ADMIN 525\Projects\SALT\Snapshots\HappyPath_SingleProduct_AUS_IN-MU-LT-J27201\2015630\212627\Iterator_19\HappyPath_SingleProduct_AUS19.xlsx","Snapshot")</f>
        <v>Snapshot</v>
      </c>
      <c r="LN22" s="148">
        <v>4812</v>
      </c>
      <c r="LO22" s="72">
        <v>23</v>
      </c>
      <c r="LP22" s="72" t="s">
        <v>1338</v>
      </c>
      <c r="LQ22" s="154"/>
      <c r="LV22" s="72">
        <v>15</v>
      </c>
      <c r="LW22" s="72" t="s">
        <v>459</v>
      </c>
      <c r="LX22" s="72">
        <v>1980</v>
      </c>
      <c r="LY22" s="70" t="b">
        <v>1</v>
      </c>
      <c r="LZ22" s="70" t="s">
        <v>78</v>
      </c>
      <c r="MA22" s="70" t="s">
        <v>474</v>
      </c>
      <c r="MB22" s="70">
        <v>111111</v>
      </c>
      <c r="MC22" s="70">
        <v>111111</v>
      </c>
      <c r="MD22" s="70">
        <v>18</v>
      </c>
      <c r="ME22" s="70" t="s">
        <v>443</v>
      </c>
      <c r="MF22" s="70">
        <v>2016</v>
      </c>
      <c r="MG22" s="70" t="s">
        <v>1027</v>
      </c>
      <c r="MH22" s="148" t="s">
        <v>1129</v>
      </c>
      <c r="MI22" s="152" t="s">
        <v>1342</v>
      </c>
      <c r="MJ22" s="167"/>
      <c r="MK22" s="167"/>
      <c r="ML22" s="167"/>
      <c r="MM22" s="167"/>
      <c r="MN22" s="140"/>
      <c r="MO22" s="167" t="s">
        <v>1216</v>
      </c>
      <c r="MP22" s="115" t="s">
        <v>1076</v>
      </c>
      <c r="MQ22" s="146" t="s">
        <v>462</v>
      </c>
      <c r="MR22" s="72" t="s">
        <v>1182</v>
      </c>
      <c r="MS22" s="167"/>
      <c r="MT22" s="167"/>
      <c r="MV22" s="167"/>
      <c r="MW22" s="151" t="s">
        <v>1193</v>
      </c>
      <c r="MX22" s="148" t="s">
        <v>58</v>
      </c>
      <c r="MY22" s="115" t="s">
        <v>1076</v>
      </c>
      <c r="MZ22" s="148" t="s">
        <v>22</v>
      </c>
      <c r="NA22" s="71" t="s">
        <v>1341</v>
      </c>
      <c r="NC22" s="140" t="s">
        <v>1117</v>
      </c>
      <c r="ND22" s="156" t="str">
        <f>HYPERLINK("C:\SVN\SALT ADMIN 525\Projects\SALT\Snapshots\HappyPath_SingleProduct_AUS_IN-MU-LT-J27201\2015630\212627\Iterator_19\Merge.html","Result")</f>
        <v>Result</v>
      </c>
      <c r="NE22" s="148" t="s">
        <v>1058</v>
      </c>
    </row>
    <row r="23" spans="1:369" s="148" customFormat="1" ht="15" customHeight="1">
      <c r="A23" s="89"/>
      <c r="B23" s="147">
        <v>20</v>
      </c>
      <c r="C23" s="133" t="s">
        <v>1378</v>
      </c>
      <c r="D23" s="148" t="s">
        <v>1069</v>
      </c>
      <c r="E23" s="148" t="s">
        <v>1340</v>
      </c>
      <c r="F23" s="157"/>
      <c r="G23" s="157"/>
      <c r="H23" s="167"/>
      <c r="I23" s="167"/>
      <c r="J23" s="167"/>
      <c r="K23" s="167"/>
      <c r="L23" s="167"/>
      <c r="M23" s="167"/>
      <c r="N23" s="167"/>
      <c r="O23" s="167"/>
      <c r="P23" s="167"/>
      <c r="Q23" s="167"/>
      <c r="R23" s="167"/>
      <c r="S23" s="167"/>
      <c r="T23" s="167"/>
      <c r="U23" s="167"/>
      <c r="V23" s="167"/>
      <c r="W23" s="167"/>
      <c r="X23" s="167"/>
      <c r="Y23" s="167"/>
      <c r="Z23" s="167"/>
      <c r="AA23" s="167"/>
      <c r="AB23" s="167"/>
      <c r="AC23" s="167"/>
      <c r="AD23" s="167"/>
      <c r="AE23" s="167"/>
      <c r="AF23" s="167"/>
      <c r="AG23" s="167"/>
      <c r="AH23" s="167"/>
      <c r="AI23" s="167"/>
      <c r="AJ23" s="167"/>
      <c r="AK23" s="167"/>
      <c r="AL23" s="167"/>
      <c r="AM23" s="167"/>
      <c r="AN23" s="167"/>
      <c r="AO23" s="167"/>
      <c r="AP23" s="167"/>
      <c r="AQ23" s="167"/>
      <c r="AR23" s="167"/>
      <c r="AS23" s="167"/>
      <c r="AT23" s="167"/>
      <c r="AU23" s="167"/>
      <c r="AV23" s="167"/>
      <c r="AW23" s="167"/>
      <c r="AX23" s="167"/>
      <c r="AY23" s="167"/>
      <c r="AZ23" s="167"/>
      <c r="BA23" s="167"/>
      <c r="BB23" s="167"/>
      <c r="BC23" s="167"/>
      <c r="BD23" s="167"/>
      <c r="BE23" s="167"/>
      <c r="BF23" s="167"/>
      <c r="BG23" s="167"/>
      <c r="BH23" s="167"/>
      <c r="BI23" s="167"/>
      <c r="BJ23" s="167"/>
      <c r="BK23" s="167"/>
      <c r="BL23" s="167"/>
      <c r="BM23" s="167"/>
      <c r="BN23" s="167"/>
      <c r="BO23" s="167"/>
      <c r="BP23" s="167"/>
      <c r="BQ23" s="167"/>
      <c r="BR23" s="167"/>
      <c r="BS23" s="167"/>
      <c r="BT23" s="167"/>
      <c r="BU23" s="167"/>
      <c r="BV23" s="167"/>
      <c r="BW23" s="167"/>
      <c r="BX23" s="167"/>
      <c r="BY23" s="167"/>
      <c r="BZ23" s="167"/>
      <c r="CA23" s="167"/>
      <c r="CB23" s="167"/>
      <c r="CC23" s="167"/>
      <c r="CD23" s="167"/>
      <c r="CE23" s="167"/>
      <c r="CF23" s="167"/>
      <c r="CG23" s="167"/>
      <c r="CH23" s="167"/>
      <c r="CI23" s="167"/>
      <c r="CJ23" s="167"/>
      <c r="CK23" s="167"/>
      <c r="CL23" s="167"/>
      <c r="CM23" s="167"/>
      <c r="CN23" s="167"/>
      <c r="CO23" s="167"/>
      <c r="CP23" s="167"/>
      <c r="CQ23" s="167"/>
      <c r="CR23" s="167"/>
      <c r="CS23" s="167"/>
      <c r="CT23" s="167"/>
      <c r="CU23" s="167"/>
      <c r="CV23" s="167"/>
      <c r="CW23" s="167"/>
      <c r="CX23" s="167"/>
      <c r="CY23" s="167"/>
      <c r="CZ23" s="167"/>
      <c r="DA23" s="167"/>
      <c r="DB23" s="167"/>
      <c r="DC23" s="167"/>
      <c r="DD23" s="167"/>
      <c r="DE23" s="167"/>
      <c r="DF23" s="167"/>
      <c r="DG23" s="167"/>
      <c r="DH23" s="167"/>
      <c r="DI23" s="167"/>
      <c r="DJ23" s="167"/>
      <c r="DK23" s="167"/>
      <c r="DL23" s="167"/>
      <c r="DM23" s="167"/>
      <c r="DN23" s="167"/>
      <c r="DO23" s="167"/>
      <c r="DP23" s="167"/>
      <c r="DQ23" s="167"/>
      <c r="DR23" s="167"/>
      <c r="DS23" s="167"/>
      <c r="DT23" s="167"/>
      <c r="DU23" s="167"/>
      <c r="DV23" s="167"/>
      <c r="DW23" s="167"/>
      <c r="DX23" s="167"/>
      <c r="DY23" s="167"/>
      <c r="DZ23" s="167"/>
      <c r="EA23" s="167"/>
      <c r="EB23" s="167"/>
      <c r="EC23" s="167"/>
      <c r="ED23" s="167"/>
      <c r="EE23" s="167"/>
      <c r="EF23" s="72">
        <v>6</v>
      </c>
      <c r="EG23" s="72" t="s">
        <v>1170</v>
      </c>
      <c r="EH23" s="72">
        <v>1988</v>
      </c>
      <c r="EI23" s="69">
        <v>8</v>
      </c>
      <c r="EJ23" s="69" t="s">
        <v>1188</v>
      </c>
      <c r="EK23" s="72">
        <v>2027</v>
      </c>
      <c r="EL23" s="73">
        <v>546</v>
      </c>
      <c r="EM23" s="72" t="s">
        <v>446</v>
      </c>
      <c r="EN23" s="72">
        <v>23456723</v>
      </c>
      <c r="EO23" s="73">
        <v>60000</v>
      </c>
      <c r="EP23" s="72" t="s">
        <v>1172</v>
      </c>
      <c r="EQ23" s="72">
        <v>10</v>
      </c>
      <c r="ER23" s="72">
        <v>2018</v>
      </c>
      <c r="ES23" s="167"/>
      <c r="ET23" s="167"/>
      <c r="EU23" s="167"/>
      <c r="EV23" s="167"/>
      <c r="EW23" s="167"/>
      <c r="EX23" s="167"/>
      <c r="EY23" s="169" t="s">
        <v>729</v>
      </c>
      <c r="EZ23" s="146"/>
      <c r="FA23" s="146"/>
      <c r="FB23" s="146"/>
      <c r="FC23" s="146"/>
      <c r="FD23" s="146"/>
      <c r="FE23" s="146"/>
      <c r="FF23" s="146"/>
      <c r="FG23" s="146"/>
      <c r="FH23" s="146"/>
      <c r="FI23" s="146"/>
      <c r="FJ23" s="146"/>
      <c r="FK23" s="146"/>
      <c r="FL23" s="146"/>
      <c r="FM23" s="146"/>
      <c r="FN23" s="146"/>
      <c r="FO23" s="146"/>
      <c r="FP23" s="146"/>
      <c r="FQ23" s="146"/>
      <c r="FR23" s="146"/>
      <c r="FS23" s="146"/>
      <c r="FT23" s="146"/>
      <c r="FU23" s="146"/>
      <c r="FV23" s="146"/>
      <c r="FW23" s="146"/>
      <c r="FX23" s="146"/>
      <c r="FY23" s="146"/>
      <c r="GC23" s="167"/>
      <c r="GD23" s="167"/>
      <c r="GE23" s="167"/>
      <c r="GF23" s="167"/>
      <c r="GG23" s="167"/>
      <c r="GH23" s="167"/>
      <c r="GI23" s="167">
        <v>500</v>
      </c>
      <c r="GJ23" s="167">
        <v>477.33</v>
      </c>
      <c r="GK23" s="167"/>
      <c r="GL23" s="170" t="s">
        <v>1173</v>
      </c>
      <c r="GM23" s="167"/>
      <c r="GN23" s="167"/>
      <c r="GO23" s="169" t="s">
        <v>488</v>
      </c>
      <c r="GP23" s="167"/>
      <c r="GQ23" s="140" t="s">
        <v>497</v>
      </c>
      <c r="GR23" s="140" t="s">
        <v>69</v>
      </c>
      <c r="GS23" s="149"/>
      <c r="GT23" s="146">
        <v>1000</v>
      </c>
      <c r="GU23" s="146"/>
      <c r="GV23" s="151"/>
      <c r="GW23" s="167"/>
      <c r="GX23" s="167"/>
      <c r="GY23" s="167"/>
      <c r="GZ23" s="167"/>
      <c r="HA23" s="167"/>
      <c r="HB23" s="167"/>
      <c r="HC23" s="167"/>
      <c r="HD23" s="168">
        <v>41758.004293981481</v>
      </c>
      <c r="HE23" s="168">
        <v>41758.008622685185</v>
      </c>
      <c r="HF23" s="167"/>
      <c r="HG23" s="167"/>
      <c r="HH23" s="140" t="s">
        <v>1175</v>
      </c>
      <c r="HI23" s="146" t="s">
        <v>435</v>
      </c>
      <c r="HJ23" s="140" t="s">
        <v>436</v>
      </c>
      <c r="HK23" s="146"/>
      <c r="HL23" s="146"/>
      <c r="HQ23" s="146" t="s">
        <v>437</v>
      </c>
      <c r="HR23" s="146" t="s">
        <v>438</v>
      </c>
      <c r="HS23" s="146" t="s">
        <v>444</v>
      </c>
      <c r="HT23" s="146" t="s">
        <v>439</v>
      </c>
      <c r="HU23" s="140" t="s">
        <v>441</v>
      </c>
      <c r="HV23" s="146" t="s">
        <v>442</v>
      </c>
      <c r="HW23" s="153" t="s">
        <v>1208</v>
      </c>
      <c r="HX23" s="146" t="s">
        <v>78</v>
      </c>
      <c r="HY23" s="140" t="s">
        <v>1111</v>
      </c>
      <c r="HZ23" s="146"/>
      <c r="IA23" s="146">
        <v>123456</v>
      </c>
      <c r="IB23" s="146">
        <v>123456</v>
      </c>
      <c r="IC23" s="146">
        <v>11</v>
      </c>
      <c r="ID23" s="146" t="s">
        <v>443</v>
      </c>
      <c r="IE23" s="146">
        <v>2037</v>
      </c>
      <c r="IF23" s="146" t="s">
        <v>445</v>
      </c>
      <c r="IG23" s="140" t="s">
        <v>498</v>
      </c>
      <c r="IH23" s="140" t="s">
        <v>498</v>
      </c>
      <c r="II23" s="145" t="s">
        <v>1192</v>
      </c>
      <c r="IJ23" s="145" t="s">
        <v>1192</v>
      </c>
      <c r="IK23" s="146" t="s">
        <v>446</v>
      </c>
      <c r="IL23" s="146" t="s">
        <v>499</v>
      </c>
      <c r="IM23" s="146" t="s">
        <v>499</v>
      </c>
      <c r="IN23" s="140" t="s">
        <v>485</v>
      </c>
      <c r="IO23" s="140"/>
      <c r="IP23" s="140"/>
      <c r="IQ23" s="146"/>
      <c r="IR23" s="146" t="s">
        <v>439</v>
      </c>
      <c r="IS23" s="146">
        <v>108</v>
      </c>
      <c r="IT23" s="146">
        <v>10</v>
      </c>
      <c r="IU23" s="146">
        <v>2021</v>
      </c>
      <c r="IV23" s="140" t="s">
        <v>449</v>
      </c>
      <c r="IW23" s="140" t="s">
        <v>488</v>
      </c>
      <c r="IX23" s="146"/>
      <c r="IY23" s="146"/>
      <c r="IZ23" s="146"/>
      <c r="JA23" s="146"/>
      <c r="JB23" s="140" t="s">
        <v>448</v>
      </c>
      <c r="JC23" s="140" t="s">
        <v>449</v>
      </c>
      <c r="JD23" s="140">
        <v>456</v>
      </c>
      <c r="JE23" s="167"/>
      <c r="JF23" s="167"/>
      <c r="JG23" s="146"/>
      <c r="JH23" s="146"/>
      <c r="JI23" s="167"/>
      <c r="JJ23" s="167"/>
      <c r="JK23" s="167"/>
      <c r="JL23" s="167"/>
      <c r="JM23" s="121"/>
      <c r="JN23" s="121"/>
      <c r="JO23" s="167"/>
      <c r="JP23" s="140" t="s">
        <v>1144</v>
      </c>
      <c r="JQ23" s="167"/>
      <c r="JR23" s="167"/>
      <c r="JS23" s="167"/>
      <c r="JT23" s="167"/>
      <c r="JU23" s="167"/>
      <c r="JV23" s="167"/>
      <c r="JW23" s="168">
        <v>42207.826631944445</v>
      </c>
      <c r="JX23" s="168">
        <v>42207.828159722223</v>
      </c>
      <c r="JY23" s="167" t="s">
        <v>1094</v>
      </c>
      <c r="JZ23" s="167"/>
      <c r="KA23" s="167"/>
      <c r="KB23" s="167"/>
      <c r="KC23" s="167"/>
      <c r="KD23" s="167"/>
      <c r="KE23" s="72"/>
      <c r="KF23" s="167"/>
      <c r="KG23" s="167"/>
      <c r="KH23" s="167"/>
      <c r="KI23" s="167"/>
      <c r="KJ23" s="167"/>
      <c r="KK23" s="167"/>
      <c r="KL23" s="141" t="s">
        <v>1184</v>
      </c>
      <c r="KM23" s="90" t="s">
        <v>1206</v>
      </c>
      <c r="KO23" s="71">
        <v>1000</v>
      </c>
      <c r="KP23" s="148" t="s">
        <v>994</v>
      </c>
      <c r="KR23" s="155" t="s">
        <v>1213</v>
      </c>
      <c r="KS23" s="218" t="s">
        <v>1353</v>
      </c>
      <c r="KV23" s="70" t="s">
        <v>1352</v>
      </c>
      <c r="KW23" s="72" t="s">
        <v>993</v>
      </c>
      <c r="KX23" s="148" t="s">
        <v>438</v>
      </c>
      <c r="KY23" s="148" t="s">
        <v>464</v>
      </c>
      <c r="KZ23" s="91" t="s">
        <v>652</v>
      </c>
      <c r="LA23" s="91" t="s">
        <v>652</v>
      </c>
      <c r="LB23" s="145" t="s">
        <v>1192</v>
      </c>
      <c r="LC23" s="145" t="s">
        <v>1192</v>
      </c>
      <c r="LD23" s="90" t="s">
        <v>741</v>
      </c>
      <c r="LE23" s="90" t="s">
        <v>741</v>
      </c>
      <c r="LF23" s="90" t="s">
        <v>741</v>
      </c>
      <c r="LM23" s="156" t="str">
        <f>HYPERLINK("C:\SVN\SALT ADMIN 525\Projects\SALT\Snapshots\HappyPath_SingleProduct_AUS_IN-MU-LT-J27201\2015630\212813\Iterator_20\HappyPath_SingleProduct_AUS20.xlsx","Snapshot")</f>
        <v>Snapshot</v>
      </c>
      <c r="LN23" s="148">
        <v>4812</v>
      </c>
      <c r="LO23" s="72">
        <v>23</v>
      </c>
      <c r="LP23" s="72" t="s">
        <v>1338</v>
      </c>
      <c r="LQ23" s="154"/>
      <c r="LV23" s="72">
        <v>15</v>
      </c>
      <c r="LW23" s="72" t="s">
        <v>459</v>
      </c>
      <c r="LX23" s="72">
        <v>1980</v>
      </c>
      <c r="LY23" s="70" t="b">
        <v>1</v>
      </c>
      <c r="LZ23" s="70" t="s">
        <v>78</v>
      </c>
      <c r="MA23" s="70" t="s">
        <v>474</v>
      </c>
      <c r="MB23" s="70">
        <v>111111</v>
      </c>
      <c r="MC23" s="70">
        <v>111111</v>
      </c>
      <c r="MD23" s="70">
        <v>18</v>
      </c>
      <c r="ME23" s="70" t="s">
        <v>443</v>
      </c>
      <c r="MF23" s="70">
        <v>2016</v>
      </c>
      <c r="MG23" s="70" t="s">
        <v>1027</v>
      </c>
      <c r="MH23" s="148" t="s">
        <v>1221</v>
      </c>
      <c r="MI23" s="152" t="s">
        <v>1343</v>
      </c>
      <c r="MJ23" s="167"/>
      <c r="MK23" s="167"/>
      <c r="ML23" s="167"/>
      <c r="MM23" s="167"/>
      <c r="MN23" s="140"/>
      <c r="MO23" s="167" t="s">
        <v>1216</v>
      </c>
      <c r="MP23" s="115" t="s">
        <v>1076</v>
      </c>
      <c r="MQ23" s="146" t="s">
        <v>462</v>
      </c>
      <c r="MR23" s="72" t="s">
        <v>1182</v>
      </c>
      <c r="MS23" s="167"/>
      <c r="MT23" s="167"/>
      <c r="MV23" s="167"/>
      <c r="MW23" s="151" t="s">
        <v>1193</v>
      </c>
      <c r="MX23" s="148" t="s">
        <v>58</v>
      </c>
      <c r="MY23" s="115" t="s">
        <v>1076</v>
      </c>
      <c r="MZ23" s="148" t="s">
        <v>22</v>
      </c>
      <c r="NA23" s="71" t="s">
        <v>1341</v>
      </c>
      <c r="NC23" s="140" t="s">
        <v>1117</v>
      </c>
      <c r="ND23" s="156" t="str">
        <f>HYPERLINK("C:\SVN\SALT ADMIN 525\Projects\SALT\Snapshots\HappyPath_SingleProduct_AUS_IN-MU-LT-J27201\2015630\212813\Iterator_20\Merge.html","Result")</f>
        <v>Result</v>
      </c>
      <c r="NE23" s="148" t="s">
        <v>1058</v>
      </c>
    </row>
    <row r="24" spans="1:369" s="148" customFormat="1" ht="15" customHeight="1">
      <c r="A24" s="89"/>
      <c r="B24" s="147">
        <v>21</v>
      </c>
      <c r="C24" s="133" t="s">
        <v>1378</v>
      </c>
      <c r="D24" s="148" t="s">
        <v>1069</v>
      </c>
      <c r="E24" s="148" t="s">
        <v>1340</v>
      </c>
      <c r="F24" s="157"/>
      <c r="G24" s="157"/>
      <c r="H24" s="167"/>
      <c r="I24" s="167"/>
      <c r="J24" s="167"/>
      <c r="K24" s="167"/>
      <c r="L24" s="167"/>
      <c r="M24" s="167"/>
      <c r="N24" s="167"/>
      <c r="O24" s="167"/>
      <c r="P24" s="167"/>
      <c r="Q24" s="167"/>
      <c r="R24" s="167"/>
      <c r="S24" s="167"/>
      <c r="T24" s="167"/>
      <c r="U24" s="167"/>
      <c r="V24" s="167"/>
      <c r="W24" s="167"/>
      <c r="X24" s="167"/>
      <c r="Y24" s="167"/>
      <c r="Z24" s="167"/>
      <c r="AA24" s="167"/>
      <c r="AB24" s="167"/>
      <c r="AC24" s="167"/>
      <c r="AD24" s="167"/>
      <c r="AE24" s="167"/>
      <c r="AF24" s="167"/>
      <c r="AG24" s="167"/>
      <c r="AH24" s="167"/>
      <c r="AI24" s="167"/>
      <c r="AJ24" s="167"/>
      <c r="AK24" s="167"/>
      <c r="AL24" s="167"/>
      <c r="AM24" s="167"/>
      <c r="AN24" s="167"/>
      <c r="AO24" s="167"/>
      <c r="AP24" s="167"/>
      <c r="AQ24" s="167"/>
      <c r="AR24" s="167"/>
      <c r="AS24" s="167"/>
      <c r="AT24" s="167"/>
      <c r="AU24" s="167"/>
      <c r="AV24" s="167"/>
      <c r="AW24" s="167"/>
      <c r="AX24" s="167"/>
      <c r="AY24" s="167"/>
      <c r="AZ24" s="167"/>
      <c r="BA24" s="167"/>
      <c r="BB24" s="167"/>
      <c r="BC24" s="167"/>
      <c r="BD24" s="167"/>
      <c r="BE24" s="167"/>
      <c r="BF24" s="167"/>
      <c r="BG24" s="167"/>
      <c r="BH24" s="167"/>
      <c r="BI24" s="167"/>
      <c r="BJ24" s="167"/>
      <c r="BK24" s="167"/>
      <c r="BL24" s="167"/>
      <c r="BM24" s="167"/>
      <c r="BN24" s="167"/>
      <c r="BO24" s="167"/>
      <c r="BP24" s="167"/>
      <c r="BQ24" s="167"/>
      <c r="BR24" s="167"/>
      <c r="BS24" s="167"/>
      <c r="BT24" s="167"/>
      <c r="BU24" s="167"/>
      <c r="BV24" s="167"/>
      <c r="BW24" s="167"/>
      <c r="BX24" s="167"/>
      <c r="BY24" s="167"/>
      <c r="BZ24" s="167"/>
      <c r="CA24" s="167"/>
      <c r="CB24" s="167"/>
      <c r="CC24" s="167"/>
      <c r="CD24" s="167"/>
      <c r="CE24" s="167"/>
      <c r="CF24" s="167"/>
      <c r="CG24" s="167"/>
      <c r="CH24" s="167"/>
      <c r="CI24" s="167"/>
      <c r="CJ24" s="167"/>
      <c r="CK24" s="167"/>
      <c r="CL24" s="167"/>
      <c r="CM24" s="167"/>
      <c r="CN24" s="167"/>
      <c r="CO24" s="167"/>
      <c r="CP24" s="167"/>
      <c r="CQ24" s="167"/>
      <c r="CR24" s="167"/>
      <c r="CS24" s="167"/>
      <c r="CT24" s="167"/>
      <c r="CU24" s="167"/>
      <c r="CV24" s="167"/>
      <c r="CW24" s="167"/>
      <c r="CX24" s="167"/>
      <c r="CY24" s="167"/>
      <c r="CZ24" s="167"/>
      <c r="DA24" s="167"/>
      <c r="DB24" s="167"/>
      <c r="DC24" s="167"/>
      <c r="DD24" s="167"/>
      <c r="DE24" s="167"/>
      <c r="DF24" s="167"/>
      <c r="DG24" s="167"/>
      <c r="DH24" s="167"/>
      <c r="DI24" s="167"/>
      <c r="DJ24" s="167"/>
      <c r="DK24" s="167"/>
      <c r="DL24" s="167"/>
      <c r="DM24" s="167"/>
      <c r="DN24" s="167"/>
      <c r="DO24" s="167"/>
      <c r="DP24" s="167"/>
      <c r="DQ24" s="167"/>
      <c r="DR24" s="167"/>
      <c r="DS24" s="167"/>
      <c r="DT24" s="167"/>
      <c r="DU24" s="167"/>
      <c r="DV24" s="167"/>
      <c r="DW24" s="167"/>
      <c r="DX24" s="167"/>
      <c r="DY24" s="167"/>
      <c r="DZ24" s="167"/>
      <c r="EA24" s="167"/>
      <c r="EB24" s="167"/>
      <c r="EC24" s="167"/>
      <c r="ED24" s="167"/>
      <c r="EE24" s="167"/>
      <c r="EF24" s="72">
        <v>8</v>
      </c>
      <c r="EG24" s="72" t="s">
        <v>1170</v>
      </c>
      <c r="EH24" s="72">
        <v>1988</v>
      </c>
      <c r="EI24" s="69">
        <v>9</v>
      </c>
      <c r="EJ24" s="69" t="s">
        <v>1195</v>
      </c>
      <c r="EK24" s="72">
        <v>2028</v>
      </c>
      <c r="EL24" s="73">
        <v>123</v>
      </c>
      <c r="EM24" s="72" t="s">
        <v>446</v>
      </c>
      <c r="EN24" s="72">
        <v>23456723</v>
      </c>
      <c r="EO24" s="73">
        <v>60000</v>
      </c>
      <c r="EP24" s="72" t="s">
        <v>1172</v>
      </c>
      <c r="EQ24" s="72">
        <v>10</v>
      </c>
      <c r="ER24" s="72">
        <v>2018</v>
      </c>
      <c r="ES24" s="167"/>
      <c r="ET24" s="167"/>
      <c r="EU24" s="167"/>
      <c r="EV24" s="167"/>
      <c r="EW24" s="167"/>
      <c r="EX24" s="167"/>
      <c r="EY24" s="169" t="s">
        <v>729</v>
      </c>
      <c r="EZ24" s="146"/>
      <c r="FA24" s="146"/>
      <c r="FB24" s="146"/>
      <c r="FC24" s="146"/>
      <c r="FD24" s="146"/>
      <c r="FE24" s="146"/>
      <c r="FF24" s="146"/>
      <c r="FG24" s="146"/>
      <c r="FH24" s="146"/>
      <c r="FI24" s="146"/>
      <c r="FJ24" s="146"/>
      <c r="FK24" s="146"/>
      <c r="FL24" s="146"/>
      <c r="FM24" s="146"/>
      <c r="FN24" s="146"/>
      <c r="FO24" s="146"/>
      <c r="FP24" s="146"/>
      <c r="FQ24" s="146"/>
      <c r="FR24" s="146"/>
      <c r="FS24" s="146"/>
      <c r="FT24" s="146"/>
      <c r="FU24" s="146"/>
      <c r="FV24" s="146"/>
      <c r="FW24" s="146"/>
      <c r="FX24" s="146"/>
      <c r="FY24" s="146"/>
      <c r="GC24" s="167"/>
      <c r="GD24" s="167"/>
      <c r="GE24" s="167"/>
      <c r="GF24" s="167"/>
      <c r="GG24" s="167"/>
      <c r="GH24" s="167"/>
      <c r="GI24" s="167">
        <v>500</v>
      </c>
      <c r="GJ24" s="167">
        <v>477.33</v>
      </c>
      <c r="GK24" s="167"/>
      <c r="GL24" s="170" t="s">
        <v>1173</v>
      </c>
      <c r="GM24" s="167"/>
      <c r="GN24" s="167"/>
      <c r="GO24" s="169" t="s">
        <v>488</v>
      </c>
      <c r="GP24" s="167"/>
      <c r="GQ24" s="140" t="s">
        <v>497</v>
      </c>
      <c r="GR24" s="140" t="s">
        <v>463</v>
      </c>
      <c r="GS24" s="149"/>
      <c r="GT24" s="146">
        <v>1000</v>
      </c>
      <c r="GU24" s="146"/>
      <c r="GV24" s="151"/>
      <c r="GW24" s="167"/>
      <c r="GX24" s="167"/>
      <c r="GY24" s="167"/>
      <c r="GZ24" s="167"/>
      <c r="HA24" s="167"/>
      <c r="HB24" s="167"/>
      <c r="HC24" s="167"/>
      <c r="HD24" s="168">
        <v>41758.004293981481</v>
      </c>
      <c r="HE24" s="168">
        <v>41758.008622685185</v>
      </c>
      <c r="HF24" s="167"/>
      <c r="HG24" s="167"/>
      <c r="HH24" s="140" t="s">
        <v>1175</v>
      </c>
      <c r="HI24" s="146" t="s">
        <v>435</v>
      </c>
      <c r="HJ24" s="140" t="s">
        <v>436</v>
      </c>
      <c r="HK24" s="146"/>
      <c r="HL24" s="146"/>
      <c r="HQ24" s="146" t="s">
        <v>437</v>
      </c>
      <c r="HR24" s="146" t="s">
        <v>438</v>
      </c>
      <c r="HS24" s="146" t="s">
        <v>444</v>
      </c>
      <c r="HT24" s="146" t="s">
        <v>439</v>
      </c>
      <c r="HU24" s="140" t="s">
        <v>441</v>
      </c>
      <c r="HV24" s="146" t="s">
        <v>442</v>
      </c>
      <c r="HW24" s="153" t="s">
        <v>1208</v>
      </c>
      <c r="HX24" s="146" t="s">
        <v>78</v>
      </c>
      <c r="HY24" s="140" t="s">
        <v>1111</v>
      </c>
      <c r="HZ24" s="146"/>
      <c r="IA24" s="146">
        <v>123456</v>
      </c>
      <c r="IB24" s="146">
        <v>123456</v>
      </c>
      <c r="IC24" s="146">
        <v>11</v>
      </c>
      <c r="ID24" s="146" t="s">
        <v>443</v>
      </c>
      <c r="IE24" s="146">
        <v>2037</v>
      </c>
      <c r="IF24" s="146" t="s">
        <v>445</v>
      </c>
      <c r="IG24" s="140" t="s">
        <v>498</v>
      </c>
      <c r="IH24" s="140" t="s">
        <v>498</v>
      </c>
      <c r="II24" s="145" t="s">
        <v>1192</v>
      </c>
      <c r="IJ24" s="145" t="s">
        <v>1192</v>
      </c>
      <c r="IK24" s="146" t="s">
        <v>446</v>
      </c>
      <c r="IL24" s="146" t="s">
        <v>499</v>
      </c>
      <c r="IM24" s="146" t="s">
        <v>499</v>
      </c>
      <c r="IN24" s="140" t="s">
        <v>485</v>
      </c>
      <c r="IO24" s="140"/>
      <c r="IP24" s="140"/>
      <c r="IQ24" s="146"/>
      <c r="IR24" s="146" t="s">
        <v>439</v>
      </c>
      <c r="IS24" s="146">
        <v>108</v>
      </c>
      <c r="IT24" s="146">
        <v>10</v>
      </c>
      <c r="IU24" s="146">
        <v>2021</v>
      </c>
      <c r="IV24" s="140" t="s">
        <v>449</v>
      </c>
      <c r="IW24" s="140" t="s">
        <v>488</v>
      </c>
      <c r="IX24" s="146"/>
      <c r="IY24" s="146"/>
      <c r="IZ24" s="146"/>
      <c r="JA24" s="146"/>
      <c r="JB24" s="140" t="s">
        <v>448</v>
      </c>
      <c r="JC24" s="140" t="s">
        <v>449</v>
      </c>
      <c r="JD24" s="140">
        <v>456</v>
      </c>
      <c r="JE24" s="167"/>
      <c r="JF24" s="167"/>
      <c r="JG24" s="146"/>
      <c r="JH24" s="146"/>
      <c r="JI24" s="167"/>
      <c r="JJ24" s="167"/>
      <c r="JK24" s="167"/>
      <c r="JL24" s="167"/>
      <c r="JM24" s="121"/>
      <c r="JN24" s="121"/>
      <c r="JO24" s="167"/>
      <c r="JP24" s="140" t="s">
        <v>1144</v>
      </c>
      <c r="JQ24" s="167"/>
      <c r="JR24" s="167"/>
      <c r="JS24" s="167"/>
      <c r="JT24" s="167"/>
      <c r="JU24" s="167"/>
      <c r="JV24" s="167"/>
      <c r="JW24" s="168">
        <v>42207.8281712963</v>
      </c>
      <c r="JX24" s="168">
        <v>42207.829756944448</v>
      </c>
      <c r="JY24" s="167" t="s">
        <v>1348</v>
      </c>
      <c r="JZ24" s="167"/>
      <c r="KA24" s="167"/>
      <c r="KB24" s="167"/>
      <c r="KC24" s="167"/>
      <c r="KD24" s="167"/>
      <c r="KE24" s="72"/>
      <c r="KF24" s="167"/>
      <c r="KG24" s="167"/>
      <c r="KH24" s="167"/>
      <c r="KI24" s="167"/>
      <c r="KJ24" s="167"/>
      <c r="KK24" s="167"/>
      <c r="KL24" s="141" t="s">
        <v>1184</v>
      </c>
      <c r="KM24" s="90" t="s">
        <v>1137</v>
      </c>
      <c r="KO24" s="71">
        <v>1000</v>
      </c>
      <c r="KP24" s="148" t="s">
        <v>994</v>
      </c>
      <c r="KR24" s="155" t="s">
        <v>1213</v>
      </c>
      <c r="KS24" s="218" t="s">
        <v>1353</v>
      </c>
      <c r="KV24" s="70" t="s">
        <v>1352</v>
      </c>
      <c r="KW24" s="72" t="s">
        <v>993</v>
      </c>
      <c r="KX24" s="148" t="s">
        <v>438</v>
      </c>
      <c r="KY24" s="148" t="s">
        <v>1197</v>
      </c>
      <c r="KZ24" s="91" t="s">
        <v>652</v>
      </c>
      <c r="LA24" s="91" t="s">
        <v>652</v>
      </c>
      <c r="LB24" s="145" t="s">
        <v>1192</v>
      </c>
      <c r="LC24" s="145" t="s">
        <v>1192</v>
      </c>
      <c r="LD24" s="90" t="s">
        <v>741</v>
      </c>
      <c r="LE24" s="90" t="s">
        <v>741</v>
      </c>
      <c r="LF24" s="90" t="s">
        <v>741</v>
      </c>
      <c r="LM24" s="156" t="str">
        <f>HYPERLINK("C:\SVN\SALT ADMIN 525\Projects\SALT\Snapshots\HappyPath_SingleProduct_AUS_IN-MU-LT-J27201\2015630\21301\Iterator_21\HappyPath_SingleProduct_AUS21.xlsx","Snapshot")</f>
        <v>Snapshot</v>
      </c>
      <c r="LN24" s="148">
        <v>4812</v>
      </c>
      <c r="LO24" s="72">
        <v>23</v>
      </c>
      <c r="LP24" s="72" t="s">
        <v>1338</v>
      </c>
      <c r="LQ24" s="154"/>
      <c r="LV24" s="72">
        <v>15</v>
      </c>
      <c r="LW24" s="72" t="s">
        <v>459</v>
      </c>
      <c r="LX24" s="72">
        <v>1980</v>
      </c>
      <c r="LY24" s="70" t="b">
        <v>1</v>
      </c>
      <c r="LZ24" s="70" t="s">
        <v>78</v>
      </c>
      <c r="MA24" s="70" t="s">
        <v>474</v>
      </c>
      <c r="MB24" s="70">
        <v>111111</v>
      </c>
      <c r="MC24" s="70">
        <v>111111</v>
      </c>
      <c r="MD24" s="70">
        <v>18</v>
      </c>
      <c r="ME24" s="70" t="s">
        <v>443</v>
      </c>
      <c r="MF24" s="70">
        <v>2016</v>
      </c>
      <c r="MG24" s="70" t="s">
        <v>1027</v>
      </c>
      <c r="MH24" s="148" t="s">
        <v>1223</v>
      </c>
      <c r="MI24" s="152" t="s">
        <v>1346</v>
      </c>
      <c r="MJ24" s="167"/>
      <c r="MK24" s="167"/>
      <c r="ML24" s="167"/>
      <c r="MM24" s="167"/>
      <c r="MN24" s="140"/>
      <c r="MO24" s="167" t="s">
        <v>1216</v>
      </c>
      <c r="MP24" s="115" t="s">
        <v>1076</v>
      </c>
      <c r="MQ24" s="146" t="s">
        <v>462</v>
      </c>
      <c r="MR24" s="72" t="s">
        <v>1182</v>
      </c>
      <c r="MS24" s="167"/>
      <c r="MT24" s="167"/>
      <c r="MV24" s="167"/>
      <c r="MW24" s="151" t="s">
        <v>1193</v>
      </c>
      <c r="MX24" s="148" t="s">
        <v>58</v>
      </c>
      <c r="MY24" s="115" t="s">
        <v>1076</v>
      </c>
      <c r="MZ24" s="148" t="s">
        <v>22</v>
      </c>
      <c r="NA24" s="71" t="s">
        <v>1341</v>
      </c>
      <c r="NC24" s="140" t="s">
        <v>1117</v>
      </c>
      <c r="ND24" s="156" t="str">
        <f>HYPERLINK("C:\SVN\SALT ADMIN 525\Projects\SALT\Snapshots\HappyPath_SingleProduct_AUS_IN-MU-LT-J27201\2015630\21301\Iterator_21\Merge.html","Result")</f>
        <v>Result</v>
      </c>
      <c r="NE24" s="148" t="s">
        <v>1058</v>
      </c>
    </row>
    <row r="25" spans="1:369" s="146" customFormat="1" ht="15" customHeight="1">
      <c r="A25" s="19"/>
      <c r="B25" s="171">
        <v>22</v>
      </c>
      <c r="C25" s="133" t="s">
        <v>1378</v>
      </c>
      <c r="D25" s="146" t="s">
        <v>1058</v>
      </c>
      <c r="E25" s="146" t="s">
        <v>1340</v>
      </c>
      <c r="F25" s="217" t="str">
        <f>HYPERLINK("C:\SVN\SALT ADMIN 525\Projects\SALT\Snapshots\HappyPath_SingleProduct_AUS_IN-MU-LT-J27423\2015723\174946\Iterator_22\HappyPath_SingleProduct_AUS22.xlsx","Snapshot")</f>
        <v>Snapshot</v>
      </c>
      <c r="G25" s="217" t="str">
        <f>HYPERLINK("C:\SVN\SALT ADMIN 525\Projects\SALT\Snapshots\HappyPath_SingleProduct_AUS_IN-MU-LT-J27423\2015723\174946\Iterator_22\Merge.html","Result")</f>
        <v>Result</v>
      </c>
      <c r="H25" s="167"/>
      <c r="I25" s="167"/>
      <c r="J25" s="167"/>
      <c r="K25" s="167"/>
      <c r="L25" s="167"/>
      <c r="M25" s="167"/>
      <c r="N25" s="167"/>
      <c r="O25" s="167"/>
      <c r="P25" s="167"/>
      <c r="Q25" s="167"/>
      <c r="R25" s="167"/>
      <c r="S25" s="167"/>
      <c r="T25" s="167"/>
      <c r="U25" s="167"/>
      <c r="V25" s="167"/>
      <c r="W25" s="167"/>
      <c r="X25" s="167"/>
      <c r="Y25" s="167"/>
      <c r="Z25" s="167"/>
      <c r="AA25" s="167"/>
      <c r="AB25" s="167"/>
      <c r="AC25" s="167"/>
      <c r="AD25" s="167"/>
      <c r="AE25" s="167"/>
      <c r="AF25" s="167"/>
      <c r="AG25" s="167"/>
      <c r="AH25" s="167"/>
      <c r="AI25" s="167"/>
      <c r="AJ25" s="167"/>
      <c r="AK25" s="167"/>
      <c r="AL25" s="167"/>
      <c r="AM25" s="167"/>
      <c r="AN25" s="167"/>
      <c r="AO25" s="167"/>
      <c r="AP25" s="167"/>
      <c r="AQ25" s="167"/>
      <c r="AR25" s="167"/>
      <c r="AS25" s="167"/>
      <c r="AT25" s="167"/>
      <c r="AU25" s="167"/>
      <c r="AV25" s="167"/>
      <c r="AW25" s="167"/>
      <c r="AX25" s="167"/>
      <c r="AY25" s="167"/>
      <c r="AZ25" s="167"/>
      <c r="BA25" s="167"/>
      <c r="BB25" s="167"/>
      <c r="BC25" s="167"/>
      <c r="BD25" s="167"/>
      <c r="BE25" s="167"/>
      <c r="BF25" s="167"/>
      <c r="BG25" s="167"/>
      <c r="BH25" s="167"/>
      <c r="BI25" s="167"/>
      <c r="BJ25" s="167"/>
      <c r="BK25" s="167"/>
      <c r="BL25" s="167"/>
      <c r="BM25" s="167"/>
      <c r="BN25" s="167"/>
      <c r="BO25" s="167"/>
      <c r="BP25" s="167"/>
      <c r="BQ25" s="167"/>
      <c r="BR25" s="167"/>
      <c r="BS25" s="167"/>
      <c r="BT25" s="167"/>
      <c r="BU25" s="167"/>
      <c r="BV25" s="167"/>
      <c r="BW25" s="167"/>
      <c r="BX25" s="167"/>
      <c r="BY25" s="167"/>
      <c r="BZ25" s="167"/>
      <c r="CA25" s="167"/>
      <c r="CB25" s="167"/>
      <c r="CC25" s="167"/>
      <c r="CD25" s="167"/>
      <c r="CE25" s="167"/>
      <c r="CF25" s="167"/>
      <c r="CG25" s="167"/>
      <c r="CH25" s="167"/>
      <c r="CI25" s="167"/>
      <c r="CJ25" s="167"/>
      <c r="CK25" s="167"/>
      <c r="CL25" s="167"/>
      <c r="CM25" s="167"/>
      <c r="CN25" s="167"/>
      <c r="CO25" s="167"/>
      <c r="CP25" s="167"/>
      <c r="CQ25" s="167"/>
      <c r="CR25" s="167"/>
      <c r="CS25" s="167"/>
      <c r="CT25" s="167"/>
      <c r="CU25" s="167"/>
      <c r="CV25" s="167"/>
      <c r="CW25" s="167"/>
      <c r="CX25" s="167"/>
      <c r="CY25" s="167"/>
      <c r="CZ25" s="167"/>
      <c r="DA25" s="167"/>
      <c r="DB25" s="167"/>
      <c r="DC25" s="167"/>
      <c r="DD25" s="167"/>
      <c r="DE25" s="167"/>
      <c r="DF25" s="167"/>
      <c r="DG25" s="167"/>
      <c r="DH25" s="167"/>
      <c r="DI25" s="167"/>
      <c r="DJ25" s="167"/>
      <c r="DK25" s="167"/>
      <c r="DL25" s="167"/>
      <c r="DM25" s="167"/>
      <c r="DN25" s="167"/>
      <c r="DO25" s="167"/>
      <c r="DP25" s="167"/>
      <c r="DQ25" s="167"/>
      <c r="DR25" s="167"/>
      <c r="DS25" s="167"/>
      <c r="DT25" s="167"/>
      <c r="DU25" s="167"/>
      <c r="DV25" s="167"/>
      <c r="DW25" s="167"/>
      <c r="DX25" s="167"/>
      <c r="DY25" s="167"/>
      <c r="DZ25" s="167"/>
      <c r="EA25" s="167"/>
      <c r="EB25" s="167"/>
      <c r="EC25" s="167"/>
      <c r="ED25" s="167"/>
      <c r="EE25" s="167"/>
      <c r="EF25" s="72">
        <v>3</v>
      </c>
      <c r="EG25" s="72" t="s">
        <v>1170</v>
      </c>
      <c r="EH25" s="72">
        <v>1988</v>
      </c>
      <c r="EI25" s="69">
        <v>1</v>
      </c>
      <c r="EJ25" s="69" t="s">
        <v>1171</v>
      </c>
      <c r="EK25" s="72">
        <v>2020</v>
      </c>
      <c r="EL25" s="73">
        <v>456</v>
      </c>
      <c r="EM25" s="72" t="s">
        <v>446</v>
      </c>
      <c r="EN25" s="72">
        <v>23456723</v>
      </c>
      <c r="EO25" s="73">
        <v>60000</v>
      </c>
      <c r="EP25" s="72" t="s">
        <v>1172</v>
      </c>
      <c r="EQ25" s="72">
        <v>10</v>
      </c>
      <c r="ER25" s="72">
        <v>2018</v>
      </c>
      <c r="ES25" s="167"/>
      <c r="ET25" s="167"/>
      <c r="EU25" s="167"/>
      <c r="EV25" s="167"/>
      <c r="EW25" s="167"/>
      <c r="EX25" s="167"/>
      <c r="EY25" s="169" t="s">
        <v>729</v>
      </c>
      <c r="GC25" s="167"/>
      <c r="GD25" s="167"/>
      <c r="GE25" s="167"/>
      <c r="GF25" s="167"/>
      <c r="GG25" s="167"/>
      <c r="GH25" s="167"/>
      <c r="GI25" s="167">
        <v>500</v>
      </c>
      <c r="GJ25" s="167">
        <v>477.33</v>
      </c>
      <c r="GK25" s="167"/>
      <c r="GL25" s="170" t="s">
        <v>1173</v>
      </c>
      <c r="GM25" s="167"/>
      <c r="GN25" s="167"/>
      <c r="GO25" s="169" t="s">
        <v>488</v>
      </c>
      <c r="GP25" s="167"/>
      <c r="GQ25" s="140" t="s">
        <v>497</v>
      </c>
      <c r="GR25" s="140" t="s">
        <v>69</v>
      </c>
      <c r="GS25" s="149"/>
      <c r="GT25" s="146">
        <v>1000</v>
      </c>
      <c r="GV25" s="151"/>
      <c r="GW25" s="167"/>
      <c r="GX25" s="167"/>
      <c r="GY25" s="167"/>
      <c r="GZ25" s="167"/>
      <c r="HA25" s="167"/>
      <c r="HB25" s="167"/>
      <c r="HC25" s="167"/>
      <c r="HD25" s="168">
        <v>41758.004293981481</v>
      </c>
      <c r="HE25" s="168">
        <v>41758.008622685185</v>
      </c>
      <c r="HF25" s="167"/>
      <c r="HG25" s="167"/>
      <c r="HH25" s="140" t="s">
        <v>1175</v>
      </c>
      <c r="HI25" s="146" t="s">
        <v>435</v>
      </c>
      <c r="HJ25" s="140" t="s">
        <v>436</v>
      </c>
      <c r="HQ25" s="146" t="s">
        <v>437</v>
      </c>
      <c r="HR25" s="146" t="s">
        <v>438</v>
      </c>
      <c r="HS25" s="146" t="s">
        <v>444</v>
      </c>
      <c r="HT25" s="146" t="s">
        <v>439</v>
      </c>
      <c r="HU25" s="140" t="s">
        <v>441</v>
      </c>
      <c r="HV25" s="146" t="s">
        <v>442</v>
      </c>
      <c r="HW25" s="153" t="s">
        <v>1208</v>
      </c>
      <c r="HX25" s="146" t="s">
        <v>78</v>
      </c>
      <c r="HY25" s="140" t="s">
        <v>1111</v>
      </c>
      <c r="IA25" s="146">
        <v>123456</v>
      </c>
      <c r="IB25" s="146">
        <v>123456</v>
      </c>
      <c r="IC25" s="146">
        <v>11</v>
      </c>
      <c r="ID25" s="146" t="s">
        <v>443</v>
      </c>
      <c r="IE25" s="146">
        <v>2037</v>
      </c>
      <c r="IF25" s="146" t="s">
        <v>445</v>
      </c>
      <c r="IG25" s="140" t="s">
        <v>498</v>
      </c>
      <c r="IH25" s="140" t="s">
        <v>498</v>
      </c>
      <c r="II25" s="145" t="s">
        <v>1192</v>
      </c>
      <c r="IJ25" s="145" t="s">
        <v>1192</v>
      </c>
      <c r="IK25" s="146" t="s">
        <v>446</v>
      </c>
      <c r="IL25" s="146" t="s">
        <v>499</v>
      </c>
      <c r="IM25" s="146" t="s">
        <v>499</v>
      </c>
      <c r="IN25" s="140" t="s">
        <v>485</v>
      </c>
      <c r="IO25" s="73" t="s">
        <v>450</v>
      </c>
      <c r="IP25" s="73" t="s">
        <v>194</v>
      </c>
      <c r="IR25" s="146" t="s">
        <v>439</v>
      </c>
      <c r="IS25" s="146">
        <v>108</v>
      </c>
      <c r="IT25" s="146">
        <v>10</v>
      </c>
      <c r="IU25" s="146">
        <v>2021</v>
      </c>
      <c r="IV25" s="140" t="s">
        <v>449</v>
      </c>
      <c r="IW25" s="140" t="s">
        <v>488</v>
      </c>
      <c r="JB25" s="140" t="s">
        <v>448</v>
      </c>
      <c r="JC25" s="140" t="s">
        <v>449</v>
      </c>
      <c r="JD25" s="140">
        <v>456</v>
      </c>
      <c r="JE25" s="167"/>
      <c r="JF25" s="167"/>
      <c r="JI25" s="167"/>
      <c r="JJ25" s="167"/>
      <c r="JK25" s="167"/>
      <c r="JL25" s="167"/>
      <c r="JM25" s="121"/>
      <c r="JN25" s="121"/>
      <c r="JO25" s="167"/>
      <c r="JP25" s="140" t="s">
        <v>645</v>
      </c>
      <c r="JQ25" s="167"/>
      <c r="JR25" s="167"/>
      <c r="JS25" s="167"/>
      <c r="JT25" s="167"/>
      <c r="JU25" s="167"/>
      <c r="JV25" s="167"/>
      <c r="JW25" s="168">
        <v>42208.742893518516</v>
      </c>
      <c r="JX25" s="168">
        <v>42208.748923611114</v>
      </c>
      <c r="JY25" s="167" t="s">
        <v>1376</v>
      </c>
      <c r="JZ25" s="167"/>
      <c r="KA25" s="167"/>
      <c r="KB25" s="167"/>
      <c r="KC25" s="167"/>
      <c r="KD25" s="167"/>
      <c r="KE25" s="72"/>
      <c r="KF25" s="167"/>
      <c r="KG25" s="167"/>
      <c r="KH25" s="167"/>
      <c r="KI25" s="167"/>
      <c r="KJ25" s="167"/>
      <c r="KK25" s="167"/>
      <c r="KL25" s="141" t="s">
        <v>1184</v>
      </c>
      <c r="KM25" s="70" t="s">
        <v>1206</v>
      </c>
      <c r="KO25" s="71">
        <v>1000</v>
      </c>
      <c r="KP25" s="72" t="s">
        <v>994</v>
      </c>
      <c r="KR25" s="70" t="s">
        <v>1009</v>
      </c>
      <c r="KS25" s="218" t="s">
        <v>1353</v>
      </c>
      <c r="KV25" s="70" t="s">
        <v>1352</v>
      </c>
      <c r="KW25" s="72" t="s">
        <v>993</v>
      </c>
      <c r="KX25" s="146" t="s">
        <v>438</v>
      </c>
      <c r="KY25" s="72" t="s">
        <v>465</v>
      </c>
      <c r="KZ25" s="71" t="s">
        <v>652</v>
      </c>
      <c r="LA25" s="71" t="s">
        <v>652</v>
      </c>
      <c r="LB25" s="145" t="s">
        <v>1192</v>
      </c>
      <c r="LC25" s="145" t="s">
        <v>1192</v>
      </c>
      <c r="LD25" s="70" t="s">
        <v>741</v>
      </c>
      <c r="LE25" s="70" t="s">
        <v>741</v>
      </c>
      <c r="LF25" s="70" t="s">
        <v>741</v>
      </c>
      <c r="LM25" s="174" t="str">
        <f>HYPERLINK("C:\SVN\SALT ADMIN 525\Projects\SALT\Snapshots\HappyPath_SingleProduct_AUS_IN-MU-LT-J27201\201572\14160\Iterator_22\HappyPath_SingleProduct_AUS22.xlsx","Snapshot")</f>
        <v>Snapshot</v>
      </c>
      <c r="LN25" s="72">
        <v>4812</v>
      </c>
      <c r="LO25" s="72">
        <v>23</v>
      </c>
      <c r="LP25" s="72" t="s">
        <v>1338</v>
      </c>
      <c r="LQ25" s="173" t="s">
        <v>1185</v>
      </c>
      <c r="LR25" s="73" t="s">
        <v>194</v>
      </c>
      <c r="LS25" s="70">
        <v>10</v>
      </c>
      <c r="LT25" s="70">
        <v>2016</v>
      </c>
      <c r="LU25" s="72">
        <v>222</v>
      </c>
      <c r="LV25" s="72">
        <v>15</v>
      </c>
      <c r="LW25" s="72" t="s">
        <v>459</v>
      </c>
      <c r="LX25" s="72">
        <v>1980</v>
      </c>
      <c r="LY25" s="70" t="b">
        <v>1</v>
      </c>
      <c r="LZ25" s="70" t="s">
        <v>78</v>
      </c>
      <c r="MA25" s="70" t="s">
        <v>474</v>
      </c>
      <c r="MB25" s="70">
        <v>111111</v>
      </c>
      <c r="MC25" s="70">
        <v>111111</v>
      </c>
      <c r="MD25" s="70">
        <v>18</v>
      </c>
      <c r="ME25" s="70" t="s">
        <v>443</v>
      </c>
      <c r="MF25" s="70">
        <v>2016</v>
      </c>
      <c r="MG25" s="70" t="s">
        <v>1027</v>
      </c>
      <c r="MH25" s="140" t="s">
        <v>1375</v>
      </c>
      <c r="MI25" s="151" t="s">
        <v>1361</v>
      </c>
      <c r="MJ25" s="167"/>
      <c r="MK25" s="167"/>
      <c r="ML25" s="167"/>
      <c r="MM25" s="167"/>
      <c r="MN25" s="140"/>
      <c r="MO25" s="167" t="s">
        <v>1216</v>
      </c>
      <c r="MP25" s="115" t="s">
        <v>1076</v>
      </c>
      <c r="MQ25" s="146" t="s">
        <v>462</v>
      </c>
      <c r="MR25" s="72" t="s">
        <v>1182</v>
      </c>
      <c r="MS25" s="167"/>
      <c r="MT25" s="167"/>
      <c r="MV25" s="167"/>
      <c r="MW25" s="151" t="s">
        <v>1193</v>
      </c>
      <c r="MX25" s="146" t="s">
        <v>58</v>
      </c>
      <c r="MY25" s="115" t="s">
        <v>1076</v>
      </c>
      <c r="MZ25" s="146" t="s">
        <v>22</v>
      </c>
      <c r="NA25" s="71" t="s">
        <v>1341</v>
      </c>
      <c r="NC25" s="140" t="s">
        <v>1117</v>
      </c>
      <c r="ND25" s="174" t="str">
        <f>HYPERLINK("C:\SVN\SALT ADMIN 525\Projects\SALT\Snapshots\HappyPath_SingleProduct_AUS_IN-MU-LT-J27201\201572\14160\Iterator_22\Merge.html","Result")</f>
        <v>Result</v>
      </c>
      <c r="NE25" s="146" t="s">
        <v>1058</v>
      </c>
    </row>
    <row r="26" spans="1:369" s="146" customFormat="1" ht="15" customHeight="1">
      <c r="A26" s="19"/>
      <c r="B26" s="171">
        <v>23</v>
      </c>
      <c r="C26" s="172" t="s">
        <v>1378</v>
      </c>
      <c r="D26" s="146" t="s">
        <v>1058</v>
      </c>
      <c r="E26" s="146" t="s">
        <v>1340</v>
      </c>
      <c r="F26" s="217" t="str">
        <f>HYPERLINK("C:\SVN\SALT ADMIN 525\Projects\SALT\Snapshots\HappyPath_SingleProduct_AUS_IN-MU-LT-J27423\2015723\175829\Iterator_23\HappyPath_SingleProduct_AUS23.xlsx","Snapshot")</f>
        <v>Snapshot</v>
      </c>
      <c r="G26" s="217" t="str">
        <f>HYPERLINK("C:\SVN\SALT ADMIN 525\Projects\SALT\Snapshots\HappyPath_SingleProduct_AUS_IN-MU-LT-J27423\2015723\175829\Iterator_23\Merge.html","Result")</f>
        <v>Result</v>
      </c>
      <c r="H26" s="72"/>
      <c r="I26" s="72"/>
      <c r="J26" s="72"/>
      <c r="K26" s="72"/>
      <c r="L26" s="72"/>
      <c r="M26" s="72"/>
      <c r="N26" s="72"/>
      <c r="O26" s="72"/>
      <c r="P26" s="72"/>
      <c r="Q26" s="72"/>
      <c r="R26" s="72"/>
      <c r="S26" s="72"/>
      <c r="T26" s="72"/>
      <c r="U26" s="72"/>
      <c r="V26" s="72"/>
      <c r="W26" s="72"/>
      <c r="X26" s="72"/>
      <c r="Y26" s="72"/>
      <c r="Z26" s="72"/>
      <c r="AA26" s="72"/>
      <c r="AB26" s="72"/>
      <c r="AC26" s="72"/>
      <c r="AD26" s="72"/>
      <c r="AE26" s="72"/>
      <c r="AF26" s="72"/>
      <c r="AG26" s="72"/>
      <c r="AH26" s="72"/>
      <c r="AI26" s="72"/>
      <c r="AJ26" s="72"/>
      <c r="AK26" s="72"/>
      <c r="AL26" s="72"/>
      <c r="AM26" s="72"/>
      <c r="AN26" s="72"/>
      <c r="AO26" s="72"/>
      <c r="AP26" s="72"/>
      <c r="AQ26" s="72"/>
      <c r="AR26" s="72"/>
      <c r="AS26" s="72"/>
      <c r="AT26" s="72"/>
      <c r="AU26" s="72"/>
      <c r="AV26" s="72"/>
      <c r="AW26" s="72"/>
      <c r="AX26" s="72"/>
      <c r="AY26" s="72"/>
      <c r="AZ26" s="72"/>
      <c r="BA26" s="72"/>
      <c r="BB26" s="72"/>
      <c r="BC26" s="72"/>
      <c r="BD26" s="72"/>
      <c r="BE26" s="72"/>
      <c r="BF26" s="72"/>
      <c r="BG26" s="72"/>
      <c r="BH26" s="72"/>
      <c r="BI26" s="72"/>
      <c r="BJ26" s="72"/>
      <c r="BK26" s="72"/>
      <c r="BL26" s="72"/>
      <c r="BM26" s="72"/>
      <c r="BN26" s="72"/>
      <c r="BO26" s="72"/>
      <c r="BP26" s="72"/>
      <c r="BQ26" s="72"/>
      <c r="BR26" s="72"/>
      <c r="BS26" s="72"/>
      <c r="BT26" s="72"/>
      <c r="BU26" s="72"/>
      <c r="BV26" s="72"/>
      <c r="BW26" s="72"/>
      <c r="BX26" s="72"/>
      <c r="BY26" s="72"/>
      <c r="BZ26" s="72"/>
      <c r="CA26" s="72"/>
      <c r="CB26" s="72"/>
      <c r="CC26" s="72"/>
      <c r="CD26" s="72"/>
      <c r="CE26" s="72"/>
      <c r="CF26" s="72"/>
      <c r="CG26" s="72"/>
      <c r="CH26" s="72"/>
      <c r="CI26" s="72"/>
      <c r="CJ26" s="72"/>
      <c r="CK26" s="72"/>
      <c r="CL26" s="72"/>
      <c r="CM26" s="72"/>
      <c r="CN26" s="72"/>
      <c r="CO26" s="72"/>
      <c r="CP26" s="72"/>
      <c r="CQ26" s="72"/>
      <c r="CR26" s="72"/>
      <c r="CS26" s="72"/>
      <c r="CT26" s="72"/>
      <c r="CU26" s="72"/>
      <c r="CV26" s="72"/>
      <c r="CW26" s="72"/>
      <c r="CX26" s="72"/>
      <c r="CY26" s="72"/>
      <c r="CZ26" s="72"/>
      <c r="DA26" s="72"/>
      <c r="DB26" s="72"/>
      <c r="DC26" s="72"/>
      <c r="DD26" s="72"/>
      <c r="DE26" s="72"/>
      <c r="DF26" s="72"/>
      <c r="DG26" s="72"/>
      <c r="DH26" s="72"/>
      <c r="DI26" s="72"/>
      <c r="DJ26" s="72"/>
      <c r="DK26" s="72"/>
      <c r="DL26" s="72"/>
      <c r="DM26" s="72"/>
      <c r="DN26" s="72"/>
      <c r="DO26" s="72"/>
      <c r="DP26" s="72"/>
      <c r="DQ26" s="72"/>
      <c r="DR26" s="72"/>
      <c r="DS26" s="72"/>
      <c r="DT26" s="72"/>
      <c r="DU26" s="72"/>
      <c r="DV26" s="72"/>
      <c r="DW26" s="72"/>
      <c r="DX26" s="72"/>
      <c r="DY26" s="72"/>
      <c r="DZ26" s="72"/>
      <c r="EA26" s="72"/>
      <c r="EB26" s="72"/>
      <c r="EC26" s="72"/>
      <c r="ED26" s="72"/>
      <c r="EE26" s="72"/>
      <c r="EF26" s="72">
        <v>9</v>
      </c>
      <c r="EG26" s="72" t="s">
        <v>1170</v>
      </c>
      <c r="EH26" s="72">
        <v>1988</v>
      </c>
      <c r="EI26" s="69">
        <v>8</v>
      </c>
      <c r="EJ26" s="69" t="s">
        <v>1188</v>
      </c>
      <c r="EK26" s="72">
        <v>2027</v>
      </c>
      <c r="EL26" s="73">
        <v>546</v>
      </c>
      <c r="EM26" s="72" t="s">
        <v>446</v>
      </c>
      <c r="EN26" s="72">
        <v>23456723</v>
      </c>
      <c r="EO26" s="73">
        <v>60000</v>
      </c>
      <c r="EP26" s="72" t="s">
        <v>1172</v>
      </c>
      <c r="EQ26" s="72">
        <v>10</v>
      </c>
      <c r="ER26" s="72">
        <v>2018</v>
      </c>
      <c r="ES26" s="72"/>
      <c r="ET26" s="148"/>
      <c r="EU26" s="148"/>
      <c r="EV26" s="72"/>
      <c r="EW26" s="72"/>
      <c r="EX26" s="72"/>
      <c r="EY26" s="73" t="s">
        <v>74</v>
      </c>
      <c r="GC26" s="72"/>
      <c r="GD26" s="72"/>
      <c r="GE26" s="72"/>
      <c r="GF26" s="72"/>
      <c r="GG26" s="72"/>
      <c r="GH26" s="72"/>
      <c r="GI26" s="72"/>
      <c r="GJ26" s="72"/>
      <c r="GK26" s="72"/>
      <c r="GL26" s="137" t="s">
        <v>1173</v>
      </c>
      <c r="GM26" s="72"/>
      <c r="GN26" s="72"/>
      <c r="GO26" s="73" t="s">
        <v>488</v>
      </c>
      <c r="GP26" s="72"/>
      <c r="GQ26" s="140" t="s">
        <v>497</v>
      </c>
      <c r="GR26" s="140" t="s">
        <v>69</v>
      </c>
      <c r="GS26" s="149"/>
      <c r="GT26" s="146">
        <v>800</v>
      </c>
      <c r="GV26" s="151"/>
      <c r="GW26" s="72"/>
      <c r="GX26" s="72"/>
      <c r="GY26" s="72"/>
      <c r="GZ26" s="72"/>
      <c r="HA26" s="72"/>
      <c r="HB26" s="72"/>
      <c r="HC26" s="72"/>
      <c r="HD26" s="135">
        <v>41758.008657407408</v>
      </c>
      <c r="HE26" s="135">
        <v>41758.013009259259</v>
      </c>
      <c r="HF26" s="148"/>
      <c r="HG26" s="148"/>
      <c r="HH26" s="140" t="s">
        <v>1175</v>
      </c>
      <c r="HI26" s="146" t="s">
        <v>435</v>
      </c>
      <c r="HJ26" s="140" t="s">
        <v>436</v>
      </c>
      <c r="HO26" s="151"/>
      <c r="HQ26" s="146" t="s">
        <v>437</v>
      </c>
      <c r="HR26" s="146" t="s">
        <v>438</v>
      </c>
      <c r="HS26" s="146" t="s">
        <v>444</v>
      </c>
      <c r="HT26" s="146" t="s">
        <v>439</v>
      </c>
      <c r="HU26" s="140" t="s">
        <v>441</v>
      </c>
      <c r="HV26" s="146" t="s">
        <v>442</v>
      </c>
      <c r="HW26" s="153" t="s">
        <v>1208</v>
      </c>
      <c r="HX26" s="146" t="s">
        <v>78</v>
      </c>
      <c r="HY26" s="140" t="s">
        <v>1111</v>
      </c>
      <c r="IA26" s="146">
        <v>123456</v>
      </c>
      <c r="IB26" s="146">
        <v>123456</v>
      </c>
      <c r="IC26" s="146">
        <v>11</v>
      </c>
      <c r="ID26" s="146" t="s">
        <v>443</v>
      </c>
      <c r="IE26" s="146">
        <v>2037</v>
      </c>
      <c r="IF26" s="146" t="s">
        <v>445</v>
      </c>
      <c r="IG26" s="140" t="s">
        <v>498</v>
      </c>
      <c r="IH26" s="140" t="s">
        <v>498</v>
      </c>
      <c r="II26" s="145" t="s">
        <v>1192</v>
      </c>
      <c r="IJ26" s="145" t="s">
        <v>1192</v>
      </c>
      <c r="IK26" s="146" t="s">
        <v>446</v>
      </c>
      <c r="IL26" s="146" t="s">
        <v>499</v>
      </c>
      <c r="IM26" s="146" t="s">
        <v>499</v>
      </c>
      <c r="IN26" s="140" t="s">
        <v>485</v>
      </c>
      <c r="IO26" s="73" t="s">
        <v>450</v>
      </c>
      <c r="IP26" s="73" t="s">
        <v>194</v>
      </c>
      <c r="IR26" s="146" t="s">
        <v>439</v>
      </c>
      <c r="IS26" s="146">
        <v>108</v>
      </c>
      <c r="IT26" s="146">
        <v>10</v>
      </c>
      <c r="IU26" s="146">
        <v>2021</v>
      </c>
      <c r="IV26" s="140" t="s">
        <v>449</v>
      </c>
      <c r="IW26" s="140" t="s">
        <v>488</v>
      </c>
      <c r="JB26" s="140" t="s">
        <v>448</v>
      </c>
      <c r="JC26" s="140" t="s">
        <v>449</v>
      </c>
      <c r="JD26" s="140">
        <v>456</v>
      </c>
      <c r="JE26" s="148"/>
      <c r="JF26" s="148"/>
      <c r="JI26" s="72"/>
      <c r="JJ26" s="72"/>
      <c r="JK26" s="72"/>
      <c r="JL26" s="72"/>
      <c r="JM26" s="121"/>
      <c r="JN26" s="121"/>
      <c r="JO26" s="72"/>
      <c r="JP26" s="140" t="s">
        <v>645</v>
      </c>
      <c r="JQ26" s="72"/>
      <c r="JR26" s="72"/>
      <c r="JS26" s="72"/>
      <c r="JT26" s="72"/>
      <c r="JU26" s="72"/>
      <c r="JV26" s="72"/>
      <c r="JW26" s="135">
        <v>42208.74894675926</v>
      </c>
      <c r="JX26" s="135">
        <v>42208.750983796293</v>
      </c>
      <c r="JY26" s="72" t="s">
        <v>1101</v>
      </c>
      <c r="JZ26" s="72"/>
      <c r="KA26" s="72"/>
      <c r="KB26" s="72"/>
      <c r="KC26" s="72"/>
      <c r="KD26" s="72"/>
      <c r="KE26" s="72"/>
      <c r="KF26" s="72"/>
      <c r="KG26" s="72"/>
      <c r="KH26" s="72"/>
      <c r="KI26" s="72"/>
      <c r="KJ26" s="72"/>
      <c r="KK26" s="72"/>
      <c r="KL26" s="141" t="s">
        <v>1184</v>
      </c>
      <c r="KM26" s="70" t="s">
        <v>1137</v>
      </c>
      <c r="KO26" s="71">
        <v>1000</v>
      </c>
      <c r="KP26" s="72" t="s">
        <v>994</v>
      </c>
      <c r="KR26" s="70" t="s">
        <v>1009</v>
      </c>
      <c r="KS26" s="218" t="s">
        <v>1353</v>
      </c>
      <c r="KV26" s="70" t="s">
        <v>1352</v>
      </c>
      <c r="KW26" s="72" t="s">
        <v>993</v>
      </c>
      <c r="KX26" s="146" t="s">
        <v>438</v>
      </c>
      <c r="KY26" s="72" t="s">
        <v>464</v>
      </c>
      <c r="KZ26" s="71" t="s">
        <v>652</v>
      </c>
      <c r="LA26" s="71" t="s">
        <v>652</v>
      </c>
      <c r="LB26" s="145" t="s">
        <v>1192</v>
      </c>
      <c r="LC26" s="145" t="s">
        <v>1192</v>
      </c>
      <c r="LD26" s="70" t="s">
        <v>741</v>
      </c>
      <c r="LE26" s="70" t="s">
        <v>741</v>
      </c>
      <c r="LF26" s="70" t="s">
        <v>741</v>
      </c>
      <c r="LM26" s="174" t="str">
        <f>HYPERLINK("C:\SVN\SALT ADMIN 525\Projects\SALT\Snapshots\HappyPath_SingleProduct_AUS_IN-MU-LT-J27201\201571\161025\Iterator_23\HappyPath_SingleProduct_AUS23.xlsx","Snapshot")</f>
        <v>Snapshot</v>
      </c>
      <c r="LN26" s="72">
        <v>4812</v>
      </c>
      <c r="LO26" s="72">
        <v>23</v>
      </c>
      <c r="LP26" s="72" t="s">
        <v>1338</v>
      </c>
      <c r="LQ26" s="173" t="s">
        <v>1185</v>
      </c>
      <c r="LR26" s="73" t="s">
        <v>194</v>
      </c>
      <c r="LS26" s="70">
        <v>10</v>
      </c>
      <c r="LT26" s="70">
        <v>2016</v>
      </c>
      <c r="LU26" s="72">
        <v>222</v>
      </c>
      <c r="LV26" s="72">
        <v>15</v>
      </c>
      <c r="LW26" s="72" t="s">
        <v>459</v>
      </c>
      <c r="LX26" s="72">
        <v>1980</v>
      </c>
      <c r="LY26" s="70" t="b">
        <v>1</v>
      </c>
      <c r="LZ26" s="70" t="s">
        <v>78</v>
      </c>
      <c r="MA26" s="70" t="s">
        <v>474</v>
      </c>
      <c r="MB26" s="70">
        <v>111111</v>
      </c>
      <c r="MC26" s="70">
        <v>111111</v>
      </c>
      <c r="MD26" s="70">
        <v>18</v>
      </c>
      <c r="ME26" s="70" t="s">
        <v>443</v>
      </c>
      <c r="MF26" s="70">
        <v>2016</v>
      </c>
      <c r="MG26" s="70" t="s">
        <v>1027</v>
      </c>
      <c r="MH26" s="146" t="s">
        <v>1377</v>
      </c>
      <c r="MI26" s="151" t="s">
        <v>1354</v>
      </c>
      <c r="MJ26" s="72"/>
      <c r="MK26" s="72"/>
      <c r="ML26" s="72"/>
      <c r="MM26" s="72"/>
      <c r="MN26" s="140"/>
      <c r="MO26" s="72" t="s">
        <v>1214</v>
      </c>
      <c r="MP26" s="115" t="s">
        <v>1076</v>
      </c>
      <c r="MQ26" s="146" t="s">
        <v>462</v>
      </c>
      <c r="MR26" s="72" t="s">
        <v>1182</v>
      </c>
      <c r="MS26" s="148"/>
      <c r="MT26" s="148"/>
      <c r="MV26" s="72"/>
      <c r="MW26" s="151" t="s">
        <v>1193</v>
      </c>
      <c r="MX26" s="146" t="s">
        <v>58</v>
      </c>
      <c r="MY26" s="115" t="s">
        <v>1076</v>
      </c>
      <c r="MZ26" s="146" t="s">
        <v>22</v>
      </c>
      <c r="NA26" s="71" t="s">
        <v>1341</v>
      </c>
      <c r="NC26" s="140" t="s">
        <v>1117</v>
      </c>
      <c r="ND26" s="174" t="str">
        <f>HYPERLINK("C:\SVN\SALT ADMIN 525\Projects\SALT\Snapshots\HappyPath_SingleProduct_AUS_IN-MU-LT-J27201\201571\161025\Iterator_23\Merge.html","Result")</f>
        <v>Result</v>
      </c>
      <c r="NE26" s="146" t="s">
        <v>1058</v>
      </c>
    </row>
    <row r="27" spans="1:369" s="148" customFormat="1" ht="15" customHeight="1">
      <c r="A27" s="89"/>
      <c r="B27" s="147">
        <v>24</v>
      </c>
      <c r="C27" s="133" t="s">
        <v>1378</v>
      </c>
      <c r="D27" s="148" t="s">
        <v>1069</v>
      </c>
      <c r="E27" s="155" t="s">
        <v>1340</v>
      </c>
      <c r="H27" s="72"/>
      <c r="I27" s="72"/>
      <c r="J27" s="72"/>
      <c r="K27" s="72"/>
      <c r="L27" s="72"/>
      <c r="M27" s="72"/>
      <c r="N27" s="72"/>
      <c r="O27" s="72"/>
      <c r="P27" s="72"/>
      <c r="Q27" s="72"/>
      <c r="R27" s="72"/>
      <c r="S27" s="72"/>
      <c r="T27" s="72"/>
      <c r="U27" s="72"/>
      <c r="V27" s="72"/>
      <c r="W27" s="72"/>
      <c r="X27" s="72"/>
      <c r="Y27" s="72"/>
      <c r="Z27" s="72"/>
      <c r="AA27" s="72"/>
      <c r="AB27" s="72"/>
      <c r="AC27" s="72"/>
      <c r="AD27" s="72"/>
      <c r="AE27" s="72"/>
      <c r="AF27" s="72"/>
      <c r="AG27" s="72"/>
      <c r="AH27" s="72"/>
      <c r="AI27" s="72"/>
      <c r="AJ27" s="72"/>
      <c r="AK27" s="72"/>
      <c r="AL27" s="72"/>
      <c r="AM27" s="72"/>
      <c r="AN27" s="72"/>
      <c r="AO27" s="72"/>
      <c r="AP27" s="72"/>
      <c r="AQ27" s="72"/>
      <c r="AR27" s="72"/>
      <c r="AS27" s="72"/>
      <c r="AT27" s="72"/>
      <c r="AU27" s="72"/>
      <c r="AV27" s="72"/>
      <c r="AW27" s="72"/>
      <c r="AX27" s="72"/>
      <c r="AY27" s="72"/>
      <c r="AZ27" s="72"/>
      <c r="BA27" s="72"/>
      <c r="BB27" s="72"/>
      <c r="BC27" s="72"/>
      <c r="BD27" s="72"/>
      <c r="BE27" s="72"/>
      <c r="BF27" s="72"/>
      <c r="BG27" s="72"/>
      <c r="BH27" s="72"/>
      <c r="BI27" s="72"/>
      <c r="BJ27" s="72"/>
      <c r="BK27" s="72"/>
      <c r="BL27" s="72"/>
      <c r="BM27" s="72"/>
      <c r="BN27" s="72"/>
      <c r="BO27" s="72"/>
      <c r="BP27" s="72"/>
      <c r="BQ27" s="72"/>
      <c r="BR27" s="72"/>
      <c r="BS27" s="72"/>
      <c r="BT27" s="72"/>
      <c r="BU27" s="72"/>
      <c r="BV27" s="72"/>
      <c r="BW27" s="72"/>
      <c r="BX27" s="72"/>
      <c r="BY27" s="72"/>
      <c r="BZ27" s="72"/>
      <c r="CA27" s="72"/>
      <c r="CB27" s="72"/>
      <c r="CC27" s="72"/>
      <c r="CD27" s="72"/>
      <c r="CE27" s="72"/>
      <c r="CF27" s="72"/>
      <c r="CG27" s="72"/>
      <c r="CH27" s="72"/>
      <c r="CI27" s="72"/>
      <c r="CJ27" s="72"/>
      <c r="CK27" s="72"/>
      <c r="CL27" s="72"/>
      <c r="CM27" s="72"/>
      <c r="CN27" s="72"/>
      <c r="CO27" s="72"/>
      <c r="CP27" s="72"/>
      <c r="CQ27" s="72"/>
      <c r="CR27" s="72"/>
      <c r="CS27" s="72"/>
      <c r="CT27" s="72"/>
      <c r="CU27" s="72"/>
      <c r="CV27" s="72"/>
      <c r="CW27" s="72"/>
      <c r="CX27" s="72"/>
      <c r="CY27" s="72"/>
      <c r="CZ27" s="72"/>
      <c r="DA27" s="72"/>
      <c r="DB27" s="72"/>
      <c r="DC27" s="72"/>
      <c r="DD27" s="72"/>
      <c r="DE27" s="72"/>
      <c r="DF27" s="72"/>
      <c r="DG27" s="72"/>
      <c r="DH27" s="72"/>
      <c r="DI27" s="72"/>
      <c r="DJ27" s="72"/>
      <c r="DK27" s="72"/>
      <c r="DL27" s="72"/>
      <c r="DM27" s="72"/>
      <c r="DN27" s="72"/>
      <c r="DO27" s="72"/>
      <c r="DP27" s="72"/>
      <c r="DQ27" s="72"/>
      <c r="DR27" s="72"/>
      <c r="DS27" s="72"/>
      <c r="DT27" s="72"/>
      <c r="DU27" s="72"/>
      <c r="DV27" s="72"/>
      <c r="DW27" s="72"/>
      <c r="DX27" s="72"/>
      <c r="DY27" s="72"/>
      <c r="DZ27" s="72"/>
      <c r="EA27" s="72"/>
      <c r="EB27" s="72"/>
      <c r="EC27" s="72"/>
      <c r="ED27" s="72"/>
      <c r="EE27" s="72"/>
      <c r="EF27" s="72">
        <v>3</v>
      </c>
      <c r="EG27" s="72" t="s">
        <v>1170</v>
      </c>
      <c r="EH27" s="72">
        <v>1988</v>
      </c>
      <c r="EI27" s="69">
        <v>9</v>
      </c>
      <c r="EJ27" s="69" t="s">
        <v>1195</v>
      </c>
      <c r="EK27" s="72">
        <v>2028</v>
      </c>
      <c r="EL27" s="73">
        <v>123</v>
      </c>
      <c r="EM27" s="72" t="s">
        <v>446</v>
      </c>
      <c r="EN27" s="72">
        <v>23456723</v>
      </c>
      <c r="EO27" s="73">
        <v>60000</v>
      </c>
      <c r="EP27" s="72" t="s">
        <v>1172</v>
      </c>
      <c r="EQ27" s="72">
        <v>10</v>
      </c>
      <c r="ER27" s="72">
        <v>2018</v>
      </c>
      <c r="ES27" s="72"/>
      <c r="EV27" s="72"/>
      <c r="EW27" s="72"/>
      <c r="EX27" s="72"/>
      <c r="EY27" s="73" t="s">
        <v>74</v>
      </c>
      <c r="EZ27" s="146"/>
      <c r="FA27" s="146"/>
      <c r="FB27" s="146"/>
      <c r="FC27" s="146"/>
      <c r="FD27" s="146"/>
      <c r="FE27" s="146"/>
      <c r="FF27" s="146"/>
      <c r="FG27" s="146"/>
      <c r="FH27" s="146"/>
      <c r="FI27" s="146"/>
      <c r="FJ27" s="146"/>
      <c r="FK27" s="146"/>
      <c r="FL27" s="146"/>
      <c r="FM27" s="146"/>
      <c r="FN27" s="146"/>
      <c r="FO27" s="146"/>
      <c r="FP27" s="146"/>
      <c r="FQ27" s="146"/>
      <c r="FR27" s="146"/>
      <c r="FS27" s="146"/>
      <c r="FT27" s="146"/>
      <c r="FU27" s="146"/>
      <c r="FV27" s="146"/>
      <c r="FW27" s="146"/>
      <c r="FX27" s="146"/>
      <c r="FY27" s="146"/>
      <c r="GC27" s="72"/>
      <c r="GD27" s="72"/>
      <c r="GE27" s="72"/>
      <c r="GF27" s="72"/>
      <c r="GG27" s="72"/>
      <c r="GH27" s="72"/>
      <c r="GI27" s="72"/>
      <c r="GJ27" s="72"/>
      <c r="GK27" s="72"/>
      <c r="GL27" s="137" t="s">
        <v>1173</v>
      </c>
      <c r="GM27" s="72"/>
      <c r="GN27" s="72"/>
      <c r="GO27" s="73" t="s">
        <v>488</v>
      </c>
      <c r="GP27" s="72"/>
      <c r="GQ27" s="140" t="s">
        <v>665</v>
      </c>
      <c r="GR27" s="140" t="s">
        <v>1190</v>
      </c>
      <c r="GS27" s="149"/>
      <c r="GT27" s="146">
        <v>800</v>
      </c>
      <c r="GU27" s="146"/>
      <c r="GV27" s="151"/>
      <c r="GW27" s="72"/>
      <c r="GX27" s="72"/>
      <c r="GY27" s="72"/>
      <c r="GZ27" s="72"/>
      <c r="HA27" s="72"/>
      <c r="HB27" s="72"/>
      <c r="HC27" s="72"/>
      <c r="HD27" s="135">
        <v>41758.008657407408</v>
      </c>
      <c r="HE27" s="135">
        <v>41758.013009259259</v>
      </c>
      <c r="HH27" s="140" t="s">
        <v>1175</v>
      </c>
      <c r="HI27" s="146" t="s">
        <v>435</v>
      </c>
      <c r="HJ27" s="140" t="s">
        <v>436</v>
      </c>
      <c r="HK27" s="146"/>
      <c r="HL27" s="146"/>
      <c r="HO27" s="152"/>
      <c r="HQ27" s="146" t="s">
        <v>437</v>
      </c>
      <c r="HR27" s="146" t="s">
        <v>438</v>
      </c>
      <c r="HS27" s="146" t="s">
        <v>444</v>
      </c>
      <c r="HT27" s="146" t="s">
        <v>439</v>
      </c>
      <c r="HU27" s="140" t="s">
        <v>441</v>
      </c>
      <c r="HV27" s="146" t="s">
        <v>442</v>
      </c>
      <c r="HW27" s="153" t="s">
        <v>1208</v>
      </c>
      <c r="HX27" s="146" t="s">
        <v>78</v>
      </c>
      <c r="HY27" s="140" t="s">
        <v>1111</v>
      </c>
      <c r="HZ27" s="146"/>
      <c r="IA27" s="146">
        <v>123456</v>
      </c>
      <c r="IB27" s="146">
        <v>123456</v>
      </c>
      <c r="IC27" s="146">
        <v>11</v>
      </c>
      <c r="ID27" s="146" t="s">
        <v>443</v>
      </c>
      <c r="IE27" s="146">
        <v>2037</v>
      </c>
      <c r="IF27" s="146" t="s">
        <v>445</v>
      </c>
      <c r="IG27" s="140" t="s">
        <v>498</v>
      </c>
      <c r="IH27" s="140" t="s">
        <v>498</v>
      </c>
      <c r="II27" s="145" t="s">
        <v>1192</v>
      </c>
      <c r="IJ27" s="145" t="s">
        <v>1192</v>
      </c>
      <c r="IK27" s="146" t="s">
        <v>446</v>
      </c>
      <c r="IL27" s="146" t="s">
        <v>499</v>
      </c>
      <c r="IM27" s="146" t="s">
        <v>499</v>
      </c>
      <c r="IN27" s="140" t="s">
        <v>485</v>
      </c>
      <c r="IO27" s="140"/>
      <c r="IP27" s="140"/>
      <c r="IQ27" s="146"/>
      <c r="IR27" s="146" t="s">
        <v>439</v>
      </c>
      <c r="IS27" s="146">
        <v>108</v>
      </c>
      <c r="IT27" s="146">
        <v>10</v>
      </c>
      <c r="IU27" s="146">
        <v>2021</v>
      </c>
      <c r="IV27" s="140" t="s">
        <v>449</v>
      </c>
      <c r="IW27" s="140" t="s">
        <v>488</v>
      </c>
      <c r="IX27" s="146"/>
      <c r="IY27" s="146"/>
      <c r="IZ27" s="146"/>
      <c r="JA27" s="146"/>
      <c r="JB27" s="140" t="s">
        <v>448</v>
      </c>
      <c r="JC27" s="140" t="s">
        <v>449</v>
      </c>
      <c r="JD27" s="140">
        <v>456</v>
      </c>
      <c r="JG27" s="146"/>
      <c r="JH27" s="146"/>
      <c r="JI27" s="72"/>
      <c r="JJ27" s="72"/>
      <c r="JK27" s="72"/>
      <c r="JL27" s="72"/>
      <c r="JM27" s="121"/>
      <c r="JN27" s="121"/>
      <c r="JO27" s="72"/>
      <c r="JP27" s="140" t="s">
        <v>1144</v>
      </c>
      <c r="JQ27" s="72"/>
      <c r="JR27" s="72"/>
      <c r="JS27" s="72"/>
      <c r="JT27" s="72"/>
      <c r="JU27" s="72"/>
      <c r="JV27" s="72"/>
      <c r="JW27" s="135">
        <v>42201.897268518522</v>
      </c>
      <c r="JX27" s="135">
        <v>42201.898599537039</v>
      </c>
      <c r="JY27" s="72" t="s">
        <v>1215</v>
      </c>
      <c r="JZ27" s="72"/>
      <c r="KA27" s="72"/>
      <c r="KB27" s="72"/>
      <c r="KC27" s="72"/>
      <c r="KD27" s="72"/>
      <c r="KE27" s="72"/>
      <c r="KF27" s="72"/>
      <c r="KG27" s="72"/>
      <c r="KH27" s="72"/>
      <c r="KI27" s="72"/>
      <c r="KJ27" s="72"/>
      <c r="KK27" s="72"/>
      <c r="KL27" s="141" t="s">
        <v>1184</v>
      </c>
      <c r="KM27" s="90" t="s">
        <v>74</v>
      </c>
      <c r="KO27" s="71">
        <v>1000</v>
      </c>
      <c r="KQ27" s="148" t="s">
        <v>994</v>
      </c>
      <c r="KR27" s="155" t="s">
        <v>1213</v>
      </c>
      <c r="KS27" s="218" t="s">
        <v>1353</v>
      </c>
      <c r="KV27" s="70" t="s">
        <v>1352</v>
      </c>
      <c r="KW27" s="72" t="s">
        <v>993</v>
      </c>
      <c r="KX27" s="148" t="s">
        <v>438</v>
      </c>
      <c r="KY27" s="148" t="s">
        <v>1197</v>
      </c>
      <c r="KZ27" s="91" t="s">
        <v>652</v>
      </c>
      <c r="LA27" s="91" t="s">
        <v>652</v>
      </c>
      <c r="LB27" s="145" t="s">
        <v>1192</v>
      </c>
      <c r="LC27" s="145" t="s">
        <v>1192</v>
      </c>
      <c r="LD27" s="90" t="s">
        <v>741</v>
      </c>
      <c r="LE27" s="90" t="s">
        <v>741</v>
      </c>
      <c r="LF27" s="90" t="s">
        <v>741</v>
      </c>
      <c r="LM27" s="156" t="str">
        <f>HYPERLINK("C:\SVN\SALT ADMIN 525\Projects\SALT\Snapshots\HappyPath_SingleProduct_AUS_IN-MU-LT-J27201\2015630\213547\Iterator_24\HappyPath_SingleProduct_AUS24.xlsx","Snapshot")</f>
        <v>Snapshot</v>
      </c>
      <c r="LN27" s="148">
        <v>4812</v>
      </c>
      <c r="LO27" s="72">
        <v>23</v>
      </c>
      <c r="LP27" s="72" t="s">
        <v>1338</v>
      </c>
      <c r="LQ27" s="154"/>
      <c r="LV27" s="72">
        <v>15</v>
      </c>
      <c r="LW27" s="72" t="s">
        <v>459</v>
      </c>
      <c r="LX27" s="72">
        <v>1980</v>
      </c>
      <c r="LY27" s="70" t="b">
        <v>1</v>
      </c>
      <c r="LZ27" s="70" t="s">
        <v>78</v>
      </c>
      <c r="MA27" s="70" t="s">
        <v>474</v>
      </c>
      <c r="MB27" s="70">
        <v>111111</v>
      </c>
      <c r="MC27" s="70">
        <v>111111</v>
      </c>
      <c r="MD27" s="70">
        <v>18</v>
      </c>
      <c r="ME27" s="70" t="s">
        <v>443</v>
      </c>
      <c r="MF27" s="70">
        <v>2016</v>
      </c>
      <c r="MG27" s="70" t="s">
        <v>1027</v>
      </c>
      <c r="MH27" s="148" t="s">
        <v>1224</v>
      </c>
      <c r="MI27" s="152">
        <v>615.03</v>
      </c>
      <c r="MJ27" s="72"/>
      <c r="MK27" s="72"/>
      <c r="ML27" s="72"/>
      <c r="MM27" s="72"/>
      <c r="MN27" s="140"/>
      <c r="MO27" s="72" t="s">
        <v>1214</v>
      </c>
      <c r="MP27" s="115" t="s">
        <v>1076</v>
      </c>
      <c r="MQ27" s="146" t="s">
        <v>462</v>
      </c>
      <c r="MR27" s="72" t="s">
        <v>1182</v>
      </c>
      <c r="MV27" s="72"/>
      <c r="MW27" s="152" t="s">
        <v>1201</v>
      </c>
      <c r="MX27" s="148" t="s">
        <v>58</v>
      </c>
      <c r="MY27" s="115" t="s">
        <v>1076</v>
      </c>
      <c r="MZ27" s="148" t="s">
        <v>22</v>
      </c>
      <c r="NA27" s="71" t="s">
        <v>1341</v>
      </c>
      <c r="NC27" s="140" t="s">
        <v>1117</v>
      </c>
      <c r="ND27" s="156" t="str">
        <f>HYPERLINK("C:\SVN\SALT ADMIN 525\Projects\SALT\Snapshots\HappyPath_SingleProduct_AUS_IN-MU-LT-J27201\2015630\213547\Iterator_24\Merge.html","Result")</f>
        <v>Result</v>
      </c>
      <c r="NE27" s="148" t="s">
        <v>1058</v>
      </c>
    </row>
    <row r="28" spans="1:369" s="148" customFormat="1" ht="15" customHeight="1">
      <c r="A28" s="89"/>
      <c r="B28" s="147">
        <v>25</v>
      </c>
      <c r="C28" s="133" t="s">
        <v>1378</v>
      </c>
      <c r="D28" s="148" t="s">
        <v>1069</v>
      </c>
      <c r="E28" s="148" t="s">
        <v>1340</v>
      </c>
      <c r="H28" s="72"/>
      <c r="I28" s="72"/>
      <c r="J28" s="72"/>
      <c r="K28" s="72"/>
      <c r="L28" s="72"/>
      <c r="M28" s="72"/>
      <c r="N28" s="72"/>
      <c r="O28" s="72"/>
      <c r="P28" s="72"/>
      <c r="Q28" s="72"/>
      <c r="R28" s="72"/>
      <c r="S28" s="72"/>
      <c r="T28" s="72"/>
      <c r="U28" s="72"/>
      <c r="V28" s="72"/>
      <c r="W28" s="72"/>
      <c r="X28" s="72"/>
      <c r="Y28" s="72"/>
      <c r="Z28" s="72"/>
      <c r="AA28" s="72"/>
      <c r="AB28" s="72"/>
      <c r="AC28" s="72"/>
      <c r="AD28" s="72"/>
      <c r="AE28" s="72"/>
      <c r="AF28" s="72"/>
      <c r="AG28" s="72"/>
      <c r="AH28" s="72"/>
      <c r="AI28" s="72"/>
      <c r="AJ28" s="72"/>
      <c r="AK28" s="72"/>
      <c r="AL28" s="72"/>
      <c r="AM28" s="72"/>
      <c r="AN28" s="72"/>
      <c r="AO28" s="72"/>
      <c r="AP28" s="72"/>
      <c r="AQ28" s="72"/>
      <c r="AR28" s="72"/>
      <c r="AS28" s="72"/>
      <c r="AT28" s="72"/>
      <c r="AU28" s="72"/>
      <c r="AV28" s="72"/>
      <c r="AW28" s="72"/>
      <c r="AX28" s="72"/>
      <c r="AY28" s="72"/>
      <c r="AZ28" s="72"/>
      <c r="BA28" s="72"/>
      <c r="BB28" s="72"/>
      <c r="BC28" s="72"/>
      <c r="BD28" s="72"/>
      <c r="BE28" s="72"/>
      <c r="BF28" s="72"/>
      <c r="BG28" s="72"/>
      <c r="BH28" s="72"/>
      <c r="BI28" s="72"/>
      <c r="BJ28" s="72"/>
      <c r="BK28" s="72"/>
      <c r="BL28" s="72"/>
      <c r="BM28" s="72"/>
      <c r="BN28" s="72"/>
      <c r="BO28" s="72"/>
      <c r="BP28" s="72"/>
      <c r="BQ28" s="72"/>
      <c r="BR28" s="72"/>
      <c r="BS28" s="72"/>
      <c r="BT28" s="72"/>
      <c r="BU28" s="72"/>
      <c r="BV28" s="72"/>
      <c r="BW28" s="72"/>
      <c r="BX28" s="72"/>
      <c r="BY28" s="72"/>
      <c r="BZ28" s="72"/>
      <c r="CA28" s="72"/>
      <c r="CB28" s="72"/>
      <c r="CC28" s="72"/>
      <c r="CD28" s="72"/>
      <c r="CE28" s="72"/>
      <c r="CF28" s="72"/>
      <c r="CG28" s="72"/>
      <c r="CH28" s="72"/>
      <c r="CI28" s="72"/>
      <c r="CJ28" s="72"/>
      <c r="CK28" s="72"/>
      <c r="CL28" s="72"/>
      <c r="CM28" s="72"/>
      <c r="CN28" s="72"/>
      <c r="CO28" s="72"/>
      <c r="CP28" s="72"/>
      <c r="CQ28" s="72"/>
      <c r="CR28" s="72"/>
      <c r="CS28" s="72"/>
      <c r="CT28" s="72"/>
      <c r="CU28" s="72"/>
      <c r="CV28" s="72"/>
      <c r="CW28" s="72"/>
      <c r="CX28" s="72"/>
      <c r="CY28" s="72"/>
      <c r="CZ28" s="72"/>
      <c r="DA28" s="72"/>
      <c r="DB28" s="72"/>
      <c r="DC28" s="72"/>
      <c r="DD28" s="72"/>
      <c r="DE28" s="72"/>
      <c r="DF28" s="72"/>
      <c r="DG28" s="72"/>
      <c r="DH28" s="72"/>
      <c r="DI28" s="72"/>
      <c r="DJ28" s="72"/>
      <c r="DK28" s="72"/>
      <c r="DL28" s="72"/>
      <c r="DM28" s="72"/>
      <c r="DN28" s="72"/>
      <c r="DO28" s="72"/>
      <c r="DP28" s="72"/>
      <c r="DQ28" s="72"/>
      <c r="DR28" s="72"/>
      <c r="DS28" s="72"/>
      <c r="DT28" s="72"/>
      <c r="DU28" s="72"/>
      <c r="DV28" s="72"/>
      <c r="DW28" s="72"/>
      <c r="DX28" s="72"/>
      <c r="DY28" s="72"/>
      <c r="DZ28" s="72"/>
      <c r="EA28" s="72"/>
      <c r="EB28" s="72"/>
      <c r="EC28" s="72"/>
      <c r="ED28" s="72"/>
      <c r="EE28" s="72"/>
      <c r="EF28" s="72">
        <v>3</v>
      </c>
      <c r="EG28" s="72" t="s">
        <v>1170</v>
      </c>
      <c r="EH28" s="72">
        <v>1988</v>
      </c>
      <c r="EI28" s="69">
        <v>9</v>
      </c>
      <c r="EJ28" s="69" t="s">
        <v>1195</v>
      </c>
      <c r="EK28" s="72">
        <v>2028</v>
      </c>
      <c r="EL28" s="73">
        <v>123</v>
      </c>
      <c r="EM28" s="72" t="s">
        <v>446</v>
      </c>
      <c r="EN28" s="72">
        <v>23456723</v>
      </c>
      <c r="EO28" s="73">
        <v>60000</v>
      </c>
      <c r="EP28" s="72" t="s">
        <v>1172</v>
      </c>
      <c r="EQ28" s="72">
        <v>10</v>
      </c>
      <c r="ER28" s="72">
        <v>2018</v>
      </c>
      <c r="ES28" s="72"/>
      <c r="EV28" s="72"/>
      <c r="EW28" s="72"/>
      <c r="EX28" s="72"/>
      <c r="EY28" s="73" t="s">
        <v>74</v>
      </c>
      <c r="EZ28" s="146"/>
      <c r="FA28" s="146"/>
      <c r="FB28" s="146"/>
      <c r="FC28" s="146"/>
      <c r="FD28" s="146"/>
      <c r="FE28" s="146"/>
      <c r="FF28" s="146"/>
      <c r="FG28" s="146"/>
      <c r="FH28" s="146"/>
      <c r="FI28" s="146"/>
      <c r="FJ28" s="146"/>
      <c r="FK28" s="146"/>
      <c r="FL28" s="146"/>
      <c r="FM28" s="146"/>
      <c r="FN28" s="146"/>
      <c r="FO28" s="146"/>
      <c r="FP28" s="146"/>
      <c r="FQ28" s="146"/>
      <c r="FR28" s="146"/>
      <c r="FS28" s="146"/>
      <c r="FT28" s="146"/>
      <c r="FU28" s="146"/>
      <c r="FV28" s="146"/>
      <c r="FW28" s="146"/>
      <c r="FX28" s="146"/>
      <c r="FY28" s="146"/>
      <c r="GC28" s="72"/>
      <c r="GD28" s="72"/>
      <c r="GE28" s="72"/>
      <c r="GF28" s="72"/>
      <c r="GG28" s="72"/>
      <c r="GH28" s="72"/>
      <c r="GI28" s="72"/>
      <c r="GJ28" s="72"/>
      <c r="GK28" s="72"/>
      <c r="GL28" s="137" t="s">
        <v>1173</v>
      </c>
      <c r="GM28" s="72"/>
      <c r="GN28" s="72"/>
      <c r="GO28" s="73" t="s">
        <v>488</v>
      </c>
      <c r="GP28" s="72"/>
      <c r="GQ28" s="140" t="s">
        <v>497</v>
      </c>
      <c r="GR28" s="140" t="s">
        <v>1190</v>
      </c>
      <c r="GS28" s="149"/>
      <c r="GT28" s="146">
        <v>800</v>
      </c>
      <c r="GU28" s="146"/>
      <c r="GV28" s="151"/>
      <c r="GW28" s="72"/>
      <c r="GX28" s="72"/>
      <c r="GY28" s="72"/>
      <c r="GZ28" s="72"/>
      <c r="HA28" s="72"/>
      <c r="HB28" s="72"/>
      <c r="HC28" s="72"/>
      <c r="HD28" s="135">
        <v>41758.008657407408</v>
      </c>
      <c r="HE28" s="135">
        <v>41758.013009259259</v>
      </c>
      <c r="HH28" s="140" t="s">
        <v>1175</v>
      </c>
      <c r="HI28" s="146" t="s">
        <v>435</v>
      </c>
      <c r="HJ28" s="140" t="s">
        <v>436</v>
      </c>
      <c r="HK28" s="146"/>
      <c r="HL28" s="146"/>
      <c r="HO28" s="152"/>
      <c r="HQ28" s="146" t="s">
        <v>437</v>
      </c>
      <c r="HR28" s="146" t="s">
        <v>438</v>
      </c>
      <c r="HS28" s="146" t="s">
        <v>444</v>
      </c>
      <c r="HT28" s="146" t="s">
        <v>439</v>
      </c>
      <c r="HU28" s="140" t="s">
        <v>441</v>
      </c>
      <c r="HV28" s="146" t="s">
        <v>442</v>
      </c>
      <c r="HW28" s="153" t="s">
        <v>1208</v>
      </c>
      <c r="HX28" s="146" t="s">
        <v>78</v>
      </c>
      <c r="HY28" s="140" t="s">
        <v>1111</v>
      </c>
      <c r="HZ28" s="146"/>
      <c r="IA28" s="146">
        <v>123456</v>
      </c>
      <c r="IB28" s="146">
        <v>123456</v>
      </c>
      <c r="IC28" s="146">
        <v>11</v>
      </c>
      <c r="ID28" s="146" t="s">
        <v>443</v>
      </c>
      <c r="IE28" s="146">
        <v>2037</v>
      </c>
      <c r="IF28" s="146" t="s">
        <v>445</v>
      </c>
      <c r="IG28" s="140" t="s">
        <v>498</v>
      </c>
      <c r="IH28" s="140" t="s">
        <v>498</v>
      </c>
      <c r="II28" s="145" t="s">
        <v>1192</v>
      </c>
      <c r="IJ28" s="145" t="s">
        <v>1192</v>
      </c>
      <c r="IK28" s="146" t="s">
        <v>446</v>
      </c>
      <c r="IL28" s="146" t="s">
        <v>499</v>
      </c>
      <c r="IM28" s="146" t="s">
        <v>499</v>
      </c>
      <c r="IN28" s="140" t="s">
        <v>485</v>
      </c>
      <c r="IO28" s="140"/>
      <c r="IP28" s="140"/>
      <c r="IQ28" s="146"/>
      <c r="IR28" s="146" t="s">
        <v>439</v>
      </c>
      <c r="IS28" s="146">
        <v>108</v>
      </c>
      <c r="IT28" s="146">
        <v>10</v>
      </c>
      <c r="IU28" s="146">
        <v>2021</v>
      </c>
      <c r="IV28" s="140" t="s">
        <v>449</v>
      </c>
      <c r="IW28" s="140" t="s">
        <v>488</v>
      </c>
      <c r="IX28" s="146"/>
      <c r="IY28" s="146"/>
      <c r="IZ28" s="146"/>
      <c r="JA28" s="146"/>
      <c r="JB28" s="140" t="s">
        <v>448</v>
      </c>
      <c r="JC28" s="140" t="s">
        <v>449</v>
      </c>
      <c r="JD28" s="140">
        <v>456</v>
      </c>
      <c r="JG28" s="146"/>
      <c r="JH28" s="146"/>
      <c r="JI28" s="72"/>
      <c r="JJ28" s="72"/>
      <c r="JK28" s="72"/>
      <c r="JL28" s="72"/>
      <c r="JM28" s="121"/>
      <c r="JN28" s="121"/>
      <c r="JO28" s="72"/>
      <c r="JP28" s="140" t="s">
        <v>1144</v>
      </c>
      <c r="JQ28" s="72"/>
      <c r="JR28" s="72"/>
      <c r="JS28" s="72"/>
      <c r="JT28" s="72"/>
      <c r="JU28" s="72"/>
      <c r="JV28" s="72"/>
      <c r="JW28" s="135">
        <v>42201.898611111108</v>
      </c>
      <c r="JX28" s="135">
        <v>42201.900011574071</v>
      </c>
      <c r="JY28" s="72" t="s">
        <v>1222</v>
      </c>
      <c r="JZ28" s="72"/>
      <c r="KA28" s="72"/>
      <c r="KB28" s="72"/>
      <c r="KC28" s="72"/>
      <c r="KD28" s="72"/>
      <c r="KE28" s="72"/>
      <c r="KF28" s="72"/>
      <c r="KG28" s="72"/>
      <c r="KH28" s="72"/>
      <c r="KI28" s="72"/>
      <c r="KJ28" s="72"/>
      <c r="KK28" s="72"/>
      <c r="KL28" s="141" t="s">
        <v>1184</v>
      </c>
      <c r="KM28" s="90" t="s">
        <v>440</v>
      </c>
      <c r="KO28" s="71">
        <v>1200</v>
      </c>
      <c r="KP28" s="148" t="s">
        <v>994</v>
      </c>
      <c r="KR28" s="155" t="s">
        <v>1213</v>
      </c>
      <c r="KS28" s="218" t="s">
        <v>1353</v>
      </c>
      <c r="KV28" s="70" t="s">
        <v>1352</v>
      </c>
      <c r="KW28" s="72" t="s">
        <v>993</v>
      </c>
      <c r="KX28" s="148" t="s">
        <v>438</v>
      </c>
      <c r="KY28" s="148" t="s">
        <v>465</v>
      </c>
      <c r="KZ28" s="91" t="s">
        <v>652</v>
      </c>
      <c r="LA28" s="91" t="s">
        <v>652</v>
      </c>
      <c r="LB28" s="145" t="s">
        <v>1192</v>
      </c>
      <c r="LC28" s="145" t="s">
        <v>1192</v>
      </c>
      <c r="LD28" s="90" t="s">
        <v>741</v>
      </c>
      <c r="LE28" s="90" t="s">
        <v>741</v>
      </c>
      <c r="LF28" s="90" t="s">
        <v>741</v>
      </c>
      <c r="LM28" s="156" t="str">
        <f>HYPERLINK("C:\SVN\SALT ADMIN 525\Projects\SALT\Snapshots\HappyPath_SingleProduct_AUS_IN-MU-LT-J27201\201578\183114\Iterator_25\HappyPath_SingleProduct_AUS25.xlsx","Snapshot")</f>
        <v>Snapshot</v>
      </c>
      <c r="LN28" s="148">
        <v>4812</v>
      </c>
      <c r="LO28" s="72">
        <v>23</v>
      </c>
      <c r="LP28" s="72" t="s">
        <v>1338</v>
      </c>
      <c r="LQ28" s="154"/>
      <c r="LV28" s="72">
        <v>15</v>
      </c>
      <c r="LW28" s="72" t="s">
        <v>459</v>
      </c>
      <c r="LX28" s="72">
        <v>1980</v>
      </c>
      <c r="LY28" s="70" t="b">
        <v>1</v>
      </c>
      <c r="LZ28" s="70" t="s">
        <v>78</v>
      </c>
      <c r="MA28" s="70" t="s">
        <v>474</v>
      </c>
      <c r="MB28" s="70">
        <v>111111</v>
      </c>
      <c r="MC28" s="70">
        <v>111111</v>
      </c>
      <c r="MD28" s="70">
        <v>18</v>
      </c>
      <c r="ME28" s="70" t="s">
        <v>443</v>
      </c>
      <c r="MF28" s="70">
        <v>2016</v>
      </c>
      <c r="MG28" s="70" t="s">
        <v>1027</v>
      </c>
      <c r="MH28" s="148" t="s">
        <v>1145</v>
      </c>
      <c r="MI28" s="152">
        <v>356.05</v>
      </c>
      <c r="MJ28" s="72"/>
      <c r="MK28" s="72"/>
      <c r="ML28" s="72"/>
      <c r="MM28" s="72"/>
      <c r="MN28" s="140"/>
      <c r="MO28" s="72" t="s">
        <v>1214</v>
      </c>
      <c r="MP28" s="115" t="s">
        <v>1076</v>
      </c>
      <c r="MQ28" s="146" t="s">
        <v>462</v>
      </c>
      <c r="MR28" s="72" t="s">
        <v>1182</v>
      </c>
      <c r="MV28" s="72"/>
      <c r="MW28" s="152" t="s">
        <v>1193</v>
      </c>
      <c r="MX28" s="148" t="s">
        <v>58</v>
      </c>
      <c r="MY28" s="115" t="s">
        <v>1076</v>
      </c>
      <c r="MZ28" s="148" t="s">
        <v>22</v>
      </c>
      <c r="NA28" s="71" t="s">
        <v>1341</v>
      </c>
      <c r="NC28" s="140" t="s">
        <v>1117</v>
      </c>
      <c r="ND28" s="156" t="str">
        <f>HYPERLINK("C:\SVN\SALT ADMIN 525\Projects\SALT\Snapshots\HappyPath_SingleProduct_AUS_IN-MU-LT-J27201\201578\183114\Iterator_25\Merge.html","Result")</f>
        <v>Result</v>
      </c>
      <c r="NE28" s="148" t="s">
        <v>1058</v>
      </c>
    </row>
    <row r="29" spans="1:369" ht="15" customHeight="1">
      <c r="A29" s="70"/>
      <c r="B29" s="171">
        <v>26</v>
      </c>
      <c r="C29" s="133" t="s">
        <v>1378</v>
      </c>
      <c r="D29" s="70" t="s">
        <v>1058</v>
      </c>
      <c r="E29" s="71" t="s">
        <v>1340</v>
      </c>
      <c r="F29" s="15" t="str">
        <f>HYPERLINK("C:\SVN\SALT ADMIN 525\Projects\SALT\Snapshots\HappyPath_SingleProduct_UK_IN-MU-LT-J27423\201586\154310\Iterator_26\HappyPath_SingleProduct_UK26.xlsx","Snapshot")</f>
        <v>Snapshot</v>
      </c>
      <c r="G29" s="15" t="str">
        <f>HYPERLINK("C:\SVN\SALT ADMIN 525\Projects\SALT\Snapshots\HappyPath_SingleProduct_UK_IN-MU-LT-J27423\201586\154310\Iterator_26\Merge.html","Result")</f>
        <v>Result</v>
      </c>
      <c r="H29" s="146" t="s">
        <v>58</v>
      </c>
      <c r="I29" s="14" t="s">
        <v>349</v>
      </c>
      <c r="GQ29" s="140" t="s">
        <v>497</v>
      </c>
      <c r="GR29" s="140" t="s">
        <v>1190</v>
      </c>
      <c r="GS29" s="149"/>
      <c r="GT29" s="146">
        <v>800</v>
      </c>
      <c r="GU29" s="146"/>
      <c r="GV29" s="151"/>
      <c r="HH29" s="140" t="s">
        <v>1175</v>
      </c>
      <c r="HI29" s="146" t="s">
        <v>435</v>
      </c>
      <c r="HJ29" s="140" t="s">
        <v>436</v>
      </c>
      <c r="HK29" s="146"/>
      <c r="HL29" s="146"/>
      <c r="HM29" s="146"/>
      <c r="HN29" s="146"/>
      <c r="HO29" s="151"/>
      <c r="HP29" s="146"/>
      <c r="HQ29" s="146" t="s">
        <v>437</v>
      </c>
      <c r="HR29" s="146" t="s">
        <v>438</v>
      </c>
      <c r="HS29" s="146" t="s">
        <v>444</v>
      </c>
      <c r="HT29" s="146" t="s">
        <v>439</v>
      </c>
      <c r="HU29" s="140" t="s">
        <v>441</v>
      </c>
      <c r="HV29" s="146" t="s">
        <v>442</v>
      </c>
      <c r="HW29" s="153" t="s">
        <v>1208</v>
      </c>
      <c r="HX29" s="146" t="s">
        <v>78</v>
      </c>
      <c r="HY29" s="140" t="s">
        <v>1111</v>
      </c>
      <c r="HZ29" s="146"/>
      <c r="IA29" s="146">
        <v>123456</v>
      </c>
      <c r="IB29" s="146">
        <v>123456</v>
      </c>
      <c r="IC29" s="146">
        <v>11</v>
      </c>
      <c r="ID29" s="146" t="s">
        <v>443</v>
      </c>
      <c r="IE29" s="146">
        <v>2037</v>
      </c>
      <c r="IF29" s="146" t="s">
        <v>445</v>
      </c>
      <c r="IG29" s="140" t="s">
        <v>498</v>
      </c>
      <c r="IH29" s="140" t="s">
        <v>498</v>
      </c>
      <c r="II29" s="140" t="s">
        <v>1113</v>
      </c>
      <c r="IJ29" s="140" t="s">
        <v>1113</v>
      </c>
      <c r="IK29" s="146" t="s">
        <v>446</v>
      </c>
      <c r="IL29" s="146" t="s">
        <v>499</v>
      </c>
      <c r="IM29" s="146" t="s">
        <v>499</v>
      </c>
      <c r="IN29" s="140" t="s">
        <v>485</v>
      </c>
      <c r="IO29" s="73" t="s">
        <v>450</v>
      </c>
      <c r="IP29" s="140"/>
      <c r="IQ29" s="146"/>
      <c r="IR29" s="146" t="s">
        <v>439</v>
      </c>
      <c r="IS29" s="146">
        <v>108</v>
      </c>
      <c r="IT29" s="146">
        <v>10</v>
      </c>
      <c r="IU29" s="146">
        <v>2021</v>
      </c>
      <c r="IV29" s="140" t="s">
        <v>449</v>
      </c>
      <c r="IW29" s="140" t="s">
        <v>488</v>
      </c>
      <c r="IX29" s="146"/>
      <c r="IY29" s="146"/>
      <c r="IZ29" s="146"/>
      <c r="JA29" s="146"/>
      <c r="JB29" s="140" t="s">
        <v>448</v>
      </c>
      <c r="JC29" s="140" t="s">
        <v>449</v>
      </c>
      <c r="JD29" s="140">
        <v>456</v>
      </c>
      <c r="JP29" s="140" t="s">
        <v>645</v>
      </c>
      <c r="JW29" s="16">
        <v>42222.654976851853</v>
      </c>
      <c r="JX29" s="16">
        <v>42222.657060185185</v>
      </c>
      <c r="JY29" s="70" t="s">
        <v>1407</v>
      </c>
      <c r="KD29" s="70"/>
      <c r="KL29" s="141" t="s">
        <v>1184</v>
      </c>
      <c r="KM29" s="70" t="s">
        <v>74</v>
      </c>
      <c r="KO29" s="71">
        <v>1000</v>
      </c>
      <c r="KP29" s="72" t="s">
        <v>994</v>
      </c>
      <c r="KR29" s="70" t="s">
        <v>1009</v>
      </c>
      <c r="KS29" s="218" t="s">
        <v>1353</v>
      </c>
      <c r="KV29" s="70" t="s">
        <v>1352</v>
      </c>
      <c r="KW29" s="72" t="s">
        <v>993</v>
      </c>
      <c r="KX29" s="146" t="s">
        <v>438</v>
      </c>
      <c r="KY29" s="72" t="s">
        <v>464</v>
      </c>
      <c r="KZ29" s="71" t="s">
        <v>652</v>
      </c>
      <c r="LA29" s="71" t="s">
        <v>652</v>
      </c>
      <c r="LB29" s="145" t="s">
        <v>1192</v>
      </c>
      <c r="LC29" s="145" t="s">
        <v>1192</v>
      </c>
      <c r="LD29" s="70" t="s">
        <v>741</v>
      </c>
      <c r="LE29" s="70" t="s">
        <v>741</v>
      </c>
      <c r="LF29" s="70" t="s">
        <v>741</v>
      </c>
      <c r="LM29" s="174" t="str">
        <f>HYPERLINK("C:\Ravi\OldPack_NewCountries\SALT SVN 13.01 Release\Projects\SALT\Snapshots\HappyPath_SingleProduct_AUS_IN-MU-LT-J27201\2015428\184122\Iterator_26\HappyPath_SingleProduct_AUS26.xlsx","Snapshot")</f>
        <v>Snapshot</v>
      </c>
      <c r="LN29" s="72">
        <v>4812</v>
      </c>
      <c r="LO29" s="72">
        <v>23</v>
      </c>
      <c r="LP29" s="72" t="s">
        <v>1338</v>
      </c>
      <c r="LQ29" s="173" t="s">
        <v>1185</v>
      </c>
      <c r="LR29" s="73" t="s">
        <v>194</v>
      </c>
      <c r="LS29" s="70">
        <v>10</v>
      </c>
      <c r="LT29" s="70">
        <v>2016</v>
      </c>
      <c r="LU29" s="72">
        <v>222</v>
      </c>
      <c r="LV29" s="72">
        <v>15</v>
      </c>
      <c r="LW29" s="72" t="s">
        <v>459</v>
      </c>
      <c r="LX29" s="72">
        <v>1980</v>
      </c>
      <c r="LY29" s="70" t="b">
        <v>1</v>
      </c>
      <c r="LZ29" s="70" t="s">
        <v>78</v>
      </c>
      <c r="MA29" s="70" t="s">
        <v>474</v>
      </c>
      <c r="MB29" s="70">
        <v>111111</v>
      </c>
      <c r="MC29" s="70">
        <v>111111</v>
      </c>
      <c r="MD29" s="70">
        <v>18</v>
      </c>
      <c r="ME29" s="70" t="s">
        <v>443</v>
      </c>
      <c r="MF29" s="70">
        <v>2016</v>
      </c>
      <c r="MG29" s="70" t="s">
        <v>1027</v>
      </c>
      <c r="MH29" s="140" t="s">
        <v>1406</v>
      </c>
      <c r="MI29" s="219" t="s">
        <v>1357</v>
      </c>
      <c r="MJ29" s="54"/>
      <c r="MN29" s="140"/>
      <c r="MQ29" s="146" t="s">
        <v>462</v>
      </c>
      <c r="MR29" s="72" t="s">
        <v>1182</v>
      </c>
      <c r="MW29" s="152" t="s">
        <v>1193</v>
      </c>
      <c r="MX29" s="146" t="s">
        <v>58</v>
      </c>
      <c r="MY29" s="115" t="s">
        <v>1076</v>
      </c>
      <c r="MZ29" s="146" t="s">
        <v>22</v>
      </c>
      <c r="NA29" s="71" t="s">
        <v>1341</v>
      </c>
      <c r="NC29" s="140" t="s">
        <v>1117</v>
      </c>
      <c r="ND29" s="174" t="str">
        <f>HYPERLINK("C:\Ravi\OldPack_NewCountries\SALT SVN 13.01 Release\Projects\SALT\Snapshots\HappyPath_SingleProduct_AUS_IN-MU-LT-J27201\2015428\184122\Iterator_26\Merge.html","Result")</f>
        <v>Result</v>
      </c>
      <c r="NE29" s="146" t="s">
        <v>1058</v>
      </c>
    </row>
    <row r="30" spans="1:369" ht="15" customHeight="1">
      <c r="A30" s="70"/>
      <c r="B30" s="171">
        <v>27</v>
      </c>
      <c r="C30" s="133" t="s">
        <v>1378</v>
      </c>
      <c r="D30" s="70" t="s">
        <v>1058</v>
      </c>
      <c r="E30" s="71" t="s">
        <v>1340</v>
      </c>
      <c r="F30" s="15" t="str">
        <f>HYPERLINK("C:\SVN\SALT ADMIN 525\Projects\SALT\Snapshots\HappyPath_SingleProduct_UK_IN-MU-LT-J27423\201586\154611\Iterator_27\HappyPath_SingleProduct_UK27.xlsx","Snapshot")</f>
        <v>Snapshot</v>
      </c>
      <c r="G30" s="15" t="str">
        <f>HYPERLINK("C:\SVN\SALT ADMIN 525\Projects\SALT\Snapshots\HappyPath_SingleProduct_UK_IN-MU-LT-J27423\201586\154611\Iterator_27\Merge.html","Result")</f>
        <v>Result</v>
      </c>
      <c r="H30" s="146" t="s">
        <v>58</v>
      </c>
      <c r="I30" s="14" t="s">
        <v>349</v>
      </c>
      <c r="GQ30" s="140" t="s">
        <v>497</v>
      </c>
      <c r="GR30" s="140" t="s">
        <v>1190</v>
      </c>
      <c r="GS30" s="149"/>
      <c r="GT30" s="146">
        <v>800</v>
      </c>
      <c r="GU30" s="146"/>
      <c r="GV30" s="151"/>
      <c r="HH30" s="140" t="s">
        <v>1175</v>
      </c>
      <c r="HI30" s="146" t="s">
        <v>435</v>
      </c>
      <c r="HJ30" s="140" t="s">
        <v>436</v>
      </c>
      <c r="HK30" s="146"/>
      <c r="HL30" s="146"/>
      <c r="HM30" s="146"/>
      <c r="HN30" s="146"/>
      <c r="HO30" s="151"/>
      <c r="HP30" s="146"/>
      <c r="HQ30" s="146" t="s">
        <v>437</v>
      </c>
      <c r="HR30" s="146" t="s">
        <v>438</v>
      </c>
      <c r="HS30" s="146" t="s">
        <v>444</v>
      </c>
      <c r="HT30" s="146" t="s">
        <v>439</v>
      </c>
      <c r="HU30" s="140" t="s">
        <v>441</v>
      </c>
      <c r="HV30" s="146" t="s">
        <v>442</v>
      </c>
      <c r="HW30" s="153" t="s">
        <v>1208</v>
      </c>
      <c r="HX30" s="146" t="s">
        <v>78</v>
      </c>
      <c r="HY30" s="140" t="s">
        <v>1111</v>
      </c>
      <c r="HZ30" s="146"/>
      <c r="IA30" s="146">
        <v>123456</v>
      </c>
      <c r="IB30" s="146">
        <v>123456</v>
      </c>
      <c r="IC30" s="146">
        <v>11</v>
      </c>
      <c r="ID30" s="146" t="s">
        <v>443</v>
      </c>
      <c r="IE30" s="146">
        <v>2037</v>
      </c>
      <c r="IF30" s="146" t="s">
        <v>445</v>
      </c>
      <c r="IG30" s="140" t="s">
        <v>498</v>
      </c>
      <c r="IH30" s="140" t="s">
        <v>498</v>
      </c>
      <c r="II30" s="140" t="s">
        <v>1113</v>
      </c>
      <c r="IJ30" s="140" t="s">
        <v>1113</v>
      </c>
      <c r="IK30" s="146" t="s">
        <v>446</v>
      </c>
      <c r="IL30" s="146" t="s">
        <v>499</v>
      </c>
      <c r="IM30" s="146" t="s">
        <v>499</v>
      </c>
      <c r="IN30" s="140" t="s">
        <v>485</v>
      </c>
      <c r="IO30" s="73" t="s">
        <v>450</v>
      </c>
      <c r="IP30" s="140"/>
      <c r="IQ30" s="146"/>
      <c r="IR30" s="146" t="s">
        <v>439</v>
      </c>
      <c r="IS30" s="146">
        <v>108</v>
      </c>
      <c r="IT30" s="146">
        <v>10</v>
      </c>
      <c r="IU30" s="146">
        <v>2021</v>
      </c>
      <c r="IV30" s="140" t="s">
        <v>449</v>
      </c>
      <c r="IW30" s="140" t="s">
        <v>488</v>
      </c>
      <c r="IX30" s="146"/>
      <c r="IY30" s="146"/>
      <c r="IZ30" s="146"/>
      <c r="JA30" s="146"/>
      <c r="JB30" s="140" t="s">
        <v>448</v>
      </c>
      <c r="JC30" s="140" t="s">
        <v>449</v>
      </c>
      <c r="JD30" s="140">
        <v>456</v>
      </c>
      <c r="JP30" s="140" t="s">
        <v>645</v>
      </c>
      <c r="JW30" s="16">
        <v>42222.657071759262</v>
      </c>
      <c r="JX30" s="16">
        <v>42222.659143518518</v>
      </c>
      <c r="JY30" s="70" t="s">
        <v>1358</v>
      </c>
      <c r="KD30" s="70"/>
      <c r="KL30" s="141" t="s">
        <v>1184</v>
      </c>
      <c r="KM30" s="70" t="s">
        <v>74</v>
      </c>
      <c r="KO30" s="71">
        <v>1000</v>
      </c>
      <c r="KP30" s="72" t="s">
        <v>994</v>
      </c>
      <c r="KR30" s="70" t="s">
        <v>1009</v>
      </c>
      <c r="KS30" s="218" t="s">
        <v>1353</v>
      </c>
      <c r="KV30" s="70" t="s">
        <v>1352</v>
      </c>
      <c r="KW30" s="72" t="s">
        <v>993</v>
      </c>
      <c r="KX30" s="146" t="s">
        <v>438</v>
      </c>
      <c r="KY30" s="72" t="s">
        <v>464</v>
      </c>
      <c r="KZ30" s="71" t="s">
        <v>652</v>
      </c>
      <c r="LA30" s="71" t="s">
        <v>652</v>
      </c>
      <c r="LB30" s="145" t="s">
        <v>1192</v>
      </c>
      <c r="LC30" s="145" t="s">
        <v>1192</v>
      </c>
      <c r="LD30" s="70" t="s">
        <v>741</v>
      </c>
      <c r="LE30" s="70" t="s">
        <v>741</v>
      </c>
      <c r="LF30" s="70" t="s">
        <v>741</v>
      </c>
      <c r="LM30" s="174" t="str">
        <f>HYPERLINK("C:\Ravi\OldPack_NewCountries\SALT SVN 13.01 Release\Projects\SALT\Snapshots\HappyPath_SingleProduct_AUS_IN-MU-LT-J27201\2015428\184122\Iterator_26\HappyPath_SingleProduct_AUS26.xlsx","Snapshot")</f>
        <v>Snapshot</v>
      </c>
      <c r="LN30" s="72">
        <v>4812</v>
      </c>
      <c r="LO30" s="72">
        <v>23</v>
      </c>
      <c r="LP30" s="72" t="s">
        <v>1338</v>
      </c>
      <c r="LQ30" s="173" t="s">
        <v>1185</v>
      </c>
      <c r="LR30" s="73" t="s">
        <v>194</v>
      </c>
      <c r="LS30" s="70">
        <v>10</v>
      </c>
      <c r="LT30" s="70">
        <v>2016</v>
      </c>
      <c r="LU30" s="72">
        <v>222</v>
      </c>
      <c r="LV30" s="72">
        <v>15</v>
      </c>
      <c r="LW30" s="72" t="s">
        <v>459</v>
      </c>
      <c r="LX30" s="72">
        <v>1980</v>
      </c>
      <c r="LY30" s="70" t="b">
        <v>1</v>
      </c>
      <c r="LZ30" s="70" t="s">
        <v>78</v>
      </c>
      <c r="MA30" s="70" t="s">
        <v>474</v>
      </c>
      <c r="MB30" s="70">
        <v>111111</v>
      </c>
      <c r="MC30" s="70">
        <v>111111</v>
      </c>
      <c r="MD30" s="70">
        <v>18</v>
      </c>
      <c r="ME30" s="70" t="s">
        <v>443</v>
      </c>
      <c r="MF30" s="70">
        <v>2016</v>
      </c>
      <c r="MG30" s="70" t="s">
        <v>1027</v>
      </c>
      <c r="MH30" s="140" t="s">
        <v>1408</v>
      </c>
      <c r="MI30" s="219" t="s">
        <v>1357</v>
      </c>
      <c r="MJ30" s="54"/>
      <c r="MN30" s="140"/>
      <c r="MQ30" s="146" t="s">
        <v>462</v>
      </c>
      <c r="MR30" s="72" t="s">
        <v>1182</v>
      </c>
      <c r="MW30" s="152" t="s">
        <v>1193</v>
      </c>
      <c r="MX30" s="146" t="s">
        <v>58</v>
      </c>
      <c r="MY30" s="115" t="s">
        <v>1076</v>
      </c>
      <c r="MZ30" s="146" t="s">
        <v>22</v>
      </c>
      <c r="NA30" s="71" t="s">
        <v>1341</v>
      </c>
      <c r="NC30" s="140" t="s">
        <v>1117</v>
      </c>
      <c r="ND30" s="174" t="str">
        <f>HYPERLINK("C:\Ravi\OldPack_NewCountries\SALT SVN 13.01 Release\Projects\SALT\Snapshots\HappyPath_SingleProduct_AUS_IN-MU-LT-J27201\2015428\184122\Iterator_26\Merge.html","Result")</f>
        <v>Result</v>
      </c>
      <c r="NE30" s="146" t="s">
        <v>1058</v>
      </c>
    </row>
    <row r="31" spans="1:369" ht="15" customHeight="1">
      <c r="B31" s="31">
        <v>1</v>
      </c>
      <c r="C31" s="25" t="s">
        <v>434</v>
      </c>
      <c r="HK31" s="71" t="s">
        <v>486</v>
      </c>
      <c r="JW31" s="16">
        <v>41689.761157407411</v>
      </c>
      <c r="JX31" s="16">
        <v>41689.767557870371</v>
      </c>
      <c r="JY31" s="70" t="s">
        <v>632</v>
      </c>
      <c r="KD31" s="70"/>
      <c r="KE31" s="70" t="s">
        <v>462</v>
      </c>
      <c r="LM31" s="15"/>
      <c r="MQ31" s="70" t="s">
        <v>440</v>
      </c>
      <c r="MX31" s="70" t="s">
        <v>58</v>
      </c>
      <c r="MY31" s="71" t="s">
        <v>96</v>
      </c>
      <c r="MZ31" s="71" t="s">
        <v>22</v>
      </c>
      <c r="NA31" s="71" t="s">
        <v>1341</v>
      </c>
      <c r="NC31" s="71" t="s">
        <v>496</v>
      </c>
      <c r="ND31" s="15"/>
    </row>
    <row r="32" spans="1:369" s="79" customFormat="1" ht="15" customHeight="1">
      <c r="A32" s="33"/>
      <c r="B32" s="47">
        <v>1</v>
      </c>
      <c r="C32" s="48" t="s">
        <v>204</v>
      </c>
      <c r="D32" s="79" t="s">
        <v>1058</v>
      </c>
      <c r="E32" s="79" t="s">
        <v>1340</v>
      </c>
      <c r="F32" s="223" t="str">
        <f>HYPERLINK("C:\SVN\SALT ADMIN 525\Projects\SALT\Snapshots\FraudOrdersInReview_IN-MU-LT-J27423\2015727\145715\Iterator_1\FraudOrdersInReview1.xlsx","Snapshot")</f>
        <v>Snapshot</v>
      </c>
      <c r="G32" s="223" t="str">
        <f>HYPERLINK("C:\SVN\SALT ADMIN 525\Projects\SALT\Snapshots\FraudOrdersInReview_IN-MU-LT-J27423\2015727\145715\Iterator_1\Merge.html","Result")</f>
        <v>Result</v>
      </c>
      <c r="BM32" s="52"/>
      <c r="BN32" s="52"/>
      <c r="BO32" s="52"/>
      <c r="JW32" s="53">
        <v>42212.623090277775</v>
      </c>
      <c r="JX32" s="53">
        <v>42212.624421296299</v>
      </c>
      <c r="JY32" s="79" t="s">
        <v>1215</v>
      </c>
      <c r="LM32" s="50" t="str">
        <f>HYPERLINK("C:\SVN\SALT ADMIN 525\Projects\SALT\Snapshots\FraudOrdersInReview_IN-MU-LT-J27201\2015630\183952\Iterator_1\FraudOrdersInReview1.xlsx","Snapshot")</f>
        <v>Snapshot</v>
      </c>
      <c r="MJ32" s="80" t="s">
        <v>1378</v>
      </c>
      <c r="MK32" s="79">
        <v>1</v>
      </c>
      <c r="ML32" s="80" t="s">
        <v>159</v>
      </c>
      <c r="MM32" s="49" t="s">
        <v>198</v>
      </c>
      <c r="MV32" s="73" t="s">
        <v>1355</v>
      </c>
      <c r="MX32" s="79" t="s">
        <v>58</v>
      </c>
      <c r="MY32" s="79" t="s">
        <v>96</v>
      </c>
      <c r="MZ32" s="79" t="s">
        <v>22</v>
      </c>
      <c r="NA32" s="71" t="s">
        <v>1341</v>
      </c>
      <c r="ND32" s="51" t="str">
        <f>HYPERLINK("C:\SVN\SALT ADMIN 525\Projects\SALT\Snapshots\FraudOrdersInReview_IN-MU-LT-J27201\2015630\183952\Iterator_1\Merge.html","Result")</f>
        <v>Result</v>
      </c>
      <c r="NE32" s="70" t="s">
        <v>1058</v>
      </c>
    </row>
    <row r="33" spans="2:369" ht="15" customHeight="1">
      <c r="B33" s="31">
        <v>1</v>
      </c>
      <c r="C33" s="25" t="s">
        <v>205</v>
      </c>
      <c r="D33" s="70" t="s">
        <v>1058</v>
      </c>
      <c r="E33" s="70" t="s">
        <v>1340</v>
      </c>
      <c r="F33" s="15" t="str">
        <f>HYPERLINK("C:\SVN\SALT ADMIN 525\Projects\SALT\Snapshots\AdminFraudReviewSettle_IN-MU-LT-J27423\2015727\15119\Iterator_1\AdminFraudReviewSettle1.xlsx","Snapshot")</f>
        <v>Snapshot</v>
      </c>
      <c r="G33" s="15" t="str">
        <f>HYPERLINK("C:\SVN\SALT ADMIN 525\Projects\SALT\Snapshots\AdminFraudReviewSettle_IN-MU-LT-J27423\2015727\15119\Iterator_1\Merge.html","Result")</f>
        <v>Result</v>
      </c>
      <c r="JK33" s="18" t="s">
        <v>291</v>
      </c>
      <c r="JW33" s="16">
        <v>42212.625914351855</v>
      </c>
      <c r="JX33" s="16">
        <v>42212.627500000002</v>
      </c>
      <c r="JY33" s="70" t="s">
        <v>1348</v>
      </c>
      <c r="KD33" s="70"/>
      <c r="LM33" s="50" t="str">
        <f>HYPERLINK("C:\SVN\SALT ADMIN 525\Projects\SALT\Snapshots\AdminFraudReviewSettle_IN-MU-LT-J27201\2015630\184145\Iterator_1\AdminFraudReviewSettle1.xlsx","Snapshot")</f>
        <v>Snapshot</v>
      </c>
      <c r="MJ33" s="80" t="s">
        <v>1378</v>
      </c>
      <c r="MK33" s="70">
        <v>1</v>
      </c>
      <c r="ML33" s="54" t="s">
        <v>159</v>
      </c>
      <c r="MM33" s="71" t="s">
        <v>198</v>
      </c>
      <c r="MV33" s="73" t="s">
        <v>1355</v>
      </c>
      <c r="MX33" s="14" t="s">
        <v>58</v>
      </c>
      <c r="MY33" s="14" t="s">
        <v>96</v>
      </c>
      <c r="MZ33" s="79" t="s">
        <v>22</v>
      </c>
      <c r="NA33" s="71" t="s">
        <v>1341</v>
      </c>
      <c r="ND33" s="15" t="str">
        <f>HYPERLINK("C:\SVN\SALT ADMIN 525\Projects\SALT\Snapshots\AdminFraudReviewSettle_IN-MU-LT-J27201\2015630\184145\Iterator_1\Merge.html","Result")</f>
        <v>Result</v>
      </c>
      <c r="NE33" s="70" t="s">
        <v>1058</v>
      </c>
    </row>
    <row r="34" spans="2:369" ht="15" customHeight="1">
      <c r="B34" s="31">
        <v>1</v>
      </c>
      <c r="C34" s="25" t="s">
        <v>206</v>
      </c>
      <c r="D34" s="70" t="s">
        <v>1058</v>
      </c>
      <c r="E34" s="71" t="s">
        <v>1340</v>
      </c>
      <c r="F34" s="15" t="str">
        <f>HYPERLINK("C:\SVN\SALT ADMIN 525\Projects\SALT\Snapshots\AdminFraudReviewReject_IN-MU-LT-J27423\2015727\164451\Iterator_1\AdminFraudReviewReject1.xlsx","Snapshot")</f>
        <v>Snapshot</v>
      </c>
      <c r="G34" s="15" t="str">
        <f>HYPERLINK("C:\SVN\SALT ADMIN 525\Projects\SALT\Snapshots\AdminFraudReviewReject_IN-MU-LT-J27423\2015727\164451\Iterator_1\Merge.html","Result")</f>
        <v>Result</v>
      </c>
      <c r="JK34" s="18" t="s">
        <v>292</v>
      </c>
      <c r="JW34" s="16">
        <v>42212.697812500002</v>
      </c>
      <c r="JX34" s="16">
        <v>42212.699282407404</v>
      </c>
      <c r="JY34" s="70" t="s">
        <v>1383</v>
      </c>
      <c r="KD34" s="70"/>
      <c r="LM34" s="15" t="str">
        <f>HYPERLINK("C:\SVN\SALT ADMIN 525\Projects\SALT\Snapshots\AdminFraudReviewReject_IN-MU-LT-J27201\2015630\185112\Iterator_1\AdminFraudReviewReject1.xlsx","Snapshot")</f>
        <v>Snapshot</v>
      </c>
      <c r="MJ34" s="80" t="s">
        <v>1378</v>
      </c>
      <c r="MK34" s="70">
        <v>2</v>
      </c>
      <c r="ML34" s="54" t="s">
        <v>159</v>
      </c>
      <c r="MM34" s="71" t="s">
        <v>198</v>
      </c>
      <c r="MV34" s="73" t="s">
        <v>1381</v>
      </c>
      <c r="MX34" s="26" t="s">
        <v>58</v>
      </c>
      <c r="MY34" s="26" t="s">
        <v>96</v>
      </c>
      <c r="MZ34" s="26" t="s">
        <v>22</v>
      </c>
      <c r="NA34" s="71" t="s">
        <v>1341</v>
      </c>
      <c r="ND34" s="15" t="str">
        <f>HYPERLINK("C:\SVN\SALT ADMIN 525\Projects\SALT\Snapshots\AdminFraudReviewReject_IN-MU-LT-J27201\2015630\185112\Iterator_1\Merge.html","Result")</f>
        <v>Result</v>
      </c>
      <c r="NE34" s="70" t="s">
        <v>1058</v>
      </c>
    </row>
    <row r="35" spans="2:369" ht="15" customHeight="1">
      <c r="B35" s="31">
        <v>1</v>
      </c>
      <c r="C35" s="25" t="s">
        <v>207</v>
      </c>
      <c r="D35" s="70" t="s">
        <v>1058</v>
      </c>
      <c r="E35" s="71" t="s">
        <v>1340</v>
      </c>
      <c r="F35" s="15" t="str">
        <f>HYPERLINK("C:\SVN\SALT ADMIN 525\Projects\SALT\Snapshots\CheckRefundDashBoard_IN-MU-LT-J27423\2015727\20100\Iterator_1\CheckRefundDashBoard1.xlsx","Snapshot")</f>
        <v>Snapshot</v>
      </c>
      <c r="G35" s="15" t="str">
        <f>HYPERLINK("C:\SVN\SALT ADMIN 525\Projects\SALT\Snapshots\CheckRefundDashBoard_IN-MU-LT-J27423\2015727\20100\Iterator_1\Merge.html","Result")</f>
        <v>Result</v>
      </c>
      <c r="JW35" s="16">
        <v>42212.840277777781</v>
      </c>
      <c r="JX35" s="16">
        <v>42212.841886574075</v>
      </c>
      <c r="JY35" s="70" t="s">
        <v>1093</v>
      </c>
      <c r="KD35" s="70"/>
      <c r="KE35" s="70" t="s">
        <v>1341</v>
      </c>
      <c r="LM35" s="15" t="str">
        <f>HYPERLINK("C:\SVN\SALT ADMIN 525\Projects\SALT\Snapshots\CheckRefundDashBoard_IN-MU-LT-J27201\201571\17023\Iterator_1\CheckRefundDashBoard1.xlsx","Snapshot")</f>
        <v>Snapshot</v>
      </c>
      <c r="MJ35" s="80" t="s">
        <v>1378</v>
      </c>
      <c r="MK35" s="70">
        <v>3</v>
      </c>
      <c r="ML35" s="54" t="s">
        <v>159</v>
      </c>
      <c r="MM35" s="71" t="s">
        <v>198</v>
      </c>
      <c r="MQ35" s="70" t="s">
        <v>1341</v>
      </c>
      <c r="MV35" s="70" t="s">
        <v>1384</v>
      </c>
      <c r="MX35" s="70" t="s">
        <v>58</v>
      </c>
      <c r="MY35" s="70" t="s">
        <v>96</v>
      </c>
      <c r="MZ35" s="70" t="s">
        <v>22</v>
      </c>
      <c r="NA35" s="71" t="s">
        <v>1341</v>
      </c>
      <c r="ND35" s="15" t="str">
        <f>HYPERLINK("C:\SVN\SALT ADMIN 525\Projects\SALT\Snapshots\CheckRefundDashBoard_IN-MU-LT-J27201\201571\17023\Iterator_1\Merge.html","Result")</f>
        <v>Result</v>
      </c>
      <c r="NE35" s="71" t="s">
        <v>1058</v>
      </c>
    </row>
    <row r="36" spans="2:369" ht="15" customHeight="1">
      <c r="B36" s="31">
        <v>1</v>
      </c>
      <c r="C36" s="25" t="s">
        <v>208</v>
      </c>
      <c r="D36" s="70" t="s">
        <v>1058</v>
      </c>
      <c r="E36" s="71" t="s">
        <v>1340</v>
      </c>
      <c r="F36" s="15" t="str">
        <f>HYPERLINK("C:\SVN\SALT ADMIN 525\Projects\SALT\Snapshots\RefundCancellation_IN-MU-LT-J27423\2015728\123237\Iterator_1\RefundCancellation1.xlsx","Snapshot")</f>
        <v>Snapshot</v>
      </c>
      <c r="G36" s="15" t="str">
        <f>HYPERLINK("C:\SVN\SALT ADMIN 525\Projects\SALT\Snapshots\RefundCancellation_IN-MU-LT-J27423\2015728\123237\Iterator_1\Merge.html","Result")</f>
        <v>Result</v>
      </c>
      <c r="JL36" s="225">
        <v>0.89190000000000003</v>
      </c>
      <c r="JM36" s="18">
        <v>0.755</v>
      </c>
      <c r="JN36" s="35">
        <v>0.755</v>
      </c>
      <c r="JO36" s="71">
        <v>-10</v>
      </c>
      <c r="JW36" s="16">
        <v>42213.522650462961</v>
      </c>
      <c r="JX36" s="16">
        <v>42213.525833333333</v>
      </c>
      <c r="JY36" s="70" t="s">
        <v>1386</v>
      </c>
      <c r="KD36" s="70"/>
      <c r="KE36" s="70" t="s">
        <v>1341</v>
      </c>
      <c r="LM36" s="15" t="str">
        <f>HYPERLINK("C:\SVN\SALT ADMIN 525\Projects\SALT\Snapshots\RefundCancellation_IN-MU-LT-J27201\201571\17281\Iterator_1\RefundCancellation1.xlsx","Snapshot")</f>
        <v>Snapshot</v>
      </c>
      <c r="MJ36" s="80" t="s">
        <v>1378</v>
      </c>
      <c r="MK36" s="70">
        <v>3</v>
      </c>
      <c r="ML36" s="35" t="s">
        <v>159</v>
      </c>
      <c r="MM36" s="71" t="s">
        <v>198</v>
      </c>
      <c r="MQ36" s="70" t="s">
        <v>1341</v>
      </c>
      <c r="MV36" s="70" t="s">
        <v>1384</v>
      </c>
      <c r="MX36" s="70" t="s">
        <v>58</v>
      </c>
      <c r="MY36" s="70" t="s">
        <v>96</v>
      </c>
      <c r="MZ36" s="70" t="s">
        <v>22</v>
      </c>
      <c r="NA36" s="71" t="s">
        <v>1341</v>
      </c>
      <c r="ND36" s="15" t="str">
        <f>HYPERLINK("C:\SVN\SALT ADMIN 525\Projects\SALT\Snapshots\RefundCancellation_IN-MU-LT-J27201\201571\17281\Iterator_1\Merge.html","Result")</f>
        <v>Result</v>
      </c>
      <c r="NE36" s="71" t="s">
        <v>1058</v>
      </c>
    </row>
    <row r="37" spans="2:369" ht="15" customHeight="1">
      <c r="B37" s="31">
        <v>1</v>
      </c>
      <c r="C37" s="25" t="s">
        <v>211</v>
      </c>
      <c r="D37" s="70" t="s">
        <v>1058</v>
      </c>
      <c r="E37" s="70" t="s">
        <v>1340</v>
      </c>
      <c r="F37" s="15" t="str">
        <f>HYPERLINK("C:\SVN\SALT ADMIN 525\Projects\SALT\Snapshots\CheckOrdersToPack_IN-MU-LT-J27423\2015728\143743\Iterator_1\CheckOrdersToPack1.xlsx","Snapshot")</f>
        <v>Snapshot</v>
      </c>
      <c r="G37" s="15" t="str">
        <f>HYPERLINK("C:\SVN\SALT ADMIN 525\Projects\SALT\Snapshots\CheckOrdersToPack_IN-MU-LT-J27423\2015728\143743\Iterator_1\Merge.html","Result")</f>
        <v>Result</v>
      </c>
      <c r="JM37" s="121"/>
      <c r="JN37" s="121"/>
      <c r="JW37" s="16">
        <v>42213.609525462962</v>
      </c>
      <c r="JX37" s="16">
        <v>42213.617210648146</v>
      </c>
      <c r="JY37" s="70" t="s">
        <v>1389</v>
      </c>
      <c r="KD37" s="70"/>
      <c r="LM37" s="15" t="str">
        <f>HYPERLINK("C:\SVN\SALT ADMIN 525\Projects\SALT\Snapshots\CheckOrdersToPack_IN-MU-LT-J27201\201571\18353\Iterator_1\CheckOrdersToPack1.xlsx","Snapshot")</f>
        <v>Snapshot</v>
      </c>
      <c r="MJ37" s="80" t="s">
        <v>1378</v>
      </c>
      <c r="MK37" s="70">
        <v>4</v>
      </c>
      <c r="ML37" s="70" t="s">
        <v>159</v>
      </c>
      <c r="MM37" s="70" t="s">
        <v>198</v>
      </c>
      <c r="MQ37" s="70" t="s">
        <v>440</v>
      </c>
      <c r="MR37" s="71" t="s">
        <v>1380</v>
      </c>
      <c r="MS37" s="55" t="s">
        <v>1097</v>
      </c>
      <c r="MT37" s="55" t="s">
        <v>1098</v>
      </c>
      <c r="MV37" s="70" t="s">
        <v>1387</v>
      </c>
      <c r="MX37" s="70" t="s">
        <v>58</v>
      </c>
      <c r="MY37" s="70" t="s">
        <v>96</v>
      </c>
      <c r="MZ37" s="70" t="s">
        <v>22</v>
      </c>
      <c r="NA37" s="71" t="s">
        <v>1341</v>
      </c>
      <c r="ND37" s="15" t="str">
        <f>HYPERLINK("C:\SVN\SALT ADMIN 525\Projects\SALT\Snapshots\CheckOrdersToPack_IN-MU-LT-J27201\201571\18353\Iterator_1\Merge.html","Result")</f>
        <v>Result</v>
      </c>
      <c r="NE37" s="71" t="s">
        <v>1058</v>
      </c>
    </row>
    <row r="38" spans="2:369" ht="15" customHeight="1">
      <c r="B38" s="31">
        <v>1</v>
      </c>
      <c r="C38" s="25" t="s">
        <v>214</v>
      </c>
      <c r="D38" s="70" t="s">
        <v>1058</v>
      </c>
      <c r="E38" s="70" t="s">
        <v>1340</v>
      </c>
      <c r="F38" s="15" t="str">
        <f>HYPERLINK("C:\SVN\SALT ADMIN 525\Projects\SALT\Snapshots\StorePackCashOrder_IN-MU-LT-J27423\2015728\144849\Iterator_1\StorePackCashOrder1.xlsx","Snapshot")</f>
        <v>Snapshot</v>
      </c>
      <c r="G38" s="15" t="str">
        <f>HYPERLINK("C:\SVN\SALT ADMIN 525\Projects\SALT\Snapshots\StorePackCashOrder_IN-MU-LT-J27423\2015728\144849\Iterator_1\Merge.html","Result")</f>
        <v>Result</v>
      </c>
      <c r="JM38" s="121"/>
      <c r="JN38" s="121"/>
      <c r="JW38" s="16">
        <v>42213.6172337963</v>
      </c>
      <c r="JX38" s="16">
        <v>42213.620729166665</v>
      </c>
      <c r="JY38" s="70" t="s">
        <v>1390</v>
      </c>
      <c r="KD38" s="70"/>
      <c r="KJ38" s="70" t="s">
        <v>456</v>
      </c>
      <c r="KK38" s="70" t="s">
        <v>456</v>
      </c>
      <c r="LM38" s="15" t="str">
        <f>HYPERLINK("C:\SVN\SALT ADMIN 525\Projects\SALT\Snapshots\StorePackCashOrder_IN-MU-LT-J27201\201571\183757\Iterator_1\StorePackCashOrder1.xlsx","Snapshot")</f>
        <v>Snapshot</v>
      </c>
      <c r="MJ38" s="80" t="s">
        <v>1378</v>
      </c>
      <c r="MK38" s="70">
        <v>4</v>
      </c>
      <c r="ML38" s="70" t="s">
        <v>159</v>
      </c>
      <c r="MM38" s="70" t="s">
        <v>198</v>
      </c>
      <c r="MR38" s="71" t="s">
        <v>1380</v>
      </c>
      <c r="MV38" s="70" t="s">
        <v>1387</v>
      </c>
      <c r="MX38" s="70" t="s">
        <v>58</v>
      </c>
      <c r="MY38" s="70" t="s">
        <v>96</v>
      </c>
      <c r="MZ38" s="70" t="s">
        <v>22</v>
      </c>
      <c r="NA38" s="71" t="s">
        <v>1341</v>
      </c>
      <c r="ND38" s="15" t="str">
        <f>HYPERLINK("C:\SVN\SALT ADMIN 525\Projects\SALT\Snapshots\StorePackCashOrder_IN-MU-LT-J27201\201571\183757\Iterator_1\Merge.html","Result")</f>
        <v>Result</v>
      </c>
      <c r="NE38" s="70" t="s">
        <v>1058</v>
      </c>
    </row>
    <row r="39" spans="2:369" ht="15" customHeight="1">
      <c r="B39" s="31">
        <v>1</v>
      </c>
      <c r="C39" s="25" t="s">
        <v>212</v>
      </c>
      <c r="D39" s="70" t="s">
        <v>1058</v>
      </c>
      <c r="E39" s="70" t="s">
        <v>1340</v>
      </c>
      <c r="F39" s="15" t="str">
        <f>HYPERLINK("C:\SVN\SALT ADMIN 525\Projects\SALT\Snapshots\CheckOrdersToPickUp_IN-MU-LT-J27423\2015728\15343\Iterator_1\CheckOrdersToPickUp1.xlsx","Snapshot")</f>
        <v>Snapshot</v>
      </c>
      <c r="G39" s="15" t="str">
        <f>HYPERLINK("C:\SVN\SALT ADMIN 525\Projects\SALT\Snapshots\CheckOrdersToPickUp_IN-MU-LT-J27423\2015728\15343\Iterator_1\Merge.html","Result")</f>
        <v>Result</v>
      </c>
      <c r="ET39" s="70" t="s">
        <v>1066</v>
      </c>
      <c r="EU39" s="70">
        <v>111111</v>
      </c>
      <c r="JM39" s="121"/>
      <c r="JN39" s="121"/>
      <c r="JW39" s="16">
        <v>42213.627581018518</v>
      </c>
      <c r="JX39" s="16">
        <v>42213.628819444442</v>
      </c>
      <c r="JY39" s="70" t="s">
        <v>1391</v>
      </c>
      <c r="KD39" s="70"/>
      <c r="LM39" s="15" t="str">
        <f>HYPERLINK("C:\SVN\SALT ADMIN 525\Projects\SALT\Snapshots\CheckOrdersToPickUp_IN-MU-LT-J27201\201571\184434\Iterator_1\CheckOrdersToPickUp1.xlsx","Snapshot")</f>
        <v>Snapshot</v>
      </c>
      <c r="MJ39" s="28" t="s">
        <v>214</v>
      </c>
      <c r="MK39" s="70">
        <v>1</v>
      </c>
      <c r="ML39" s="70" t="s">
        <v>198</v>
      </c>
      <c r="MM39" s="70" t="s">
        <v>198</v>
      </c>
      <c r="MR39" s="71" t="s">
        <v>1380</v>
      </c>
      <c r="MV39" s="70" t="s">
        <v>1387</v>
      </c>
      <c r="MX39" s="70" t="s">
        <v>58</v>
      </c>
      <c r="MY39" s="70" t="s">
        <v>96</v>
      </c>
      <c r="MZ39" s="70" t="s">
        <v>22</v>
      </c>
      <c r="NA39" s="71" t="s">
        <v>1341</v>
      </c>
      <c r="ND39" s="15" t="str">
        <f>HYPERLINK("C:\SVN\SALT ADMIN 525\Projects\SALT\Snapshots\CheckOrdersToPickUp_IN-MU-LT-J27201\201571\184434\Iterator_1\Merge.html","Result")</f>
        <v>Result</v>
      </c>
      <c r="NE39" s="71" t="s">
        <v>1058</v>
      </c>
    </row>
    <row r="40" spans="2:369" ht="15" customHeight="1">
      <c r="B40" s="31">
        <v>1</v>
      </c>
      <c r="C40" s="25" t="s">
        <v>213</v>
      </c>
      <c r="D40" s="70" t="s">
        <v>1058</v>
      </c>
      <c r="E40" s="70" t="s">
        <v>1340</v>
      </c>
      <c r="F40" s="15" t="str">
        <f>HYPERLINK("C:\SVN\SALT ADMIN 525\Projects\SALT\Snapshots\CheckOrdersToUnpack_IN-MU-LT-J27423\2015728\15531\Iterator_1\CheckOrdersToUnpack1.xlsx","Snapshot")</f>
        <v>Snapshot</v>
      </c>
      <c r="G40" s="15" t="str">
        <f>HYPERLINK("C:\SVN\SALT ADMIN 525\Projects\SALT\Snapshots\CheckOrdersToUnpack_IN-MU-LT-J27423\2015728\15531\Iterator_1\Merge.html","Result")</f>
        <v>Result</v>
      </c>
      <c r="JM40" s="121"/>
      <c r="JN40" s="121"/>
      <c r="JW40" s="16">
        <v>42213.628831018519</v>
      </c>
      <c r="JX40" s="16">
        <v>42213.632743055554</v>
      </c>
      <c r="JY40" s="70" t="s">
        <v>1392</v>
      </c>
      <c r="KD40" s="70"/>
      <c r="LM40" s="15" t="str">
        <f>HYPERLINK("C:\SVN\SALT ADMIN 525\Projects\SALT\Snapshots\CheckOrdersToUnpack_IN-MU-LT-J27201\201571\184627\Iterator_1\CheckOrdersToUnpack1.xlsx","Snapshot")</f>
        <v>Snapshot</v>
      </c>
      <c r="MJ40" s="80" t="s">
        <v>1378</v>
      </c>
      <c r="MK40" s="71">
        <v>23</v>
      </c>
      <c r="ML40" s="70" t="s">
        <v>159</v>
      </c>
      <c r="MM40" s="70" t="s">
        <v>198</v>
      </c>
      <c r="MQ40" s="49" t="s">
        <v>440</v>
      </c>
      <c r="MR40" s="71" t="s">
        <v>1380</v>
      </c>
      <c r="MV40" s="70" t="s">
        <v>1377</v>
      </c>
      <c r="MX40" s="70" t="s">
        <v>58</v>
      </c>
      <c r="MY40" s="70" t="s">
        <v>96</v>
      </c>
      <c r="MZ40" s="70" t="s">
        <v>22</v>
      </c>
      <c r="NA40" s="71" t="s">
        <v>1341</v>
      </c>
      <c r="ND40" s="15" t="str">
        <f>HYPERLINK("C:\SVN\SALT ADMIN 525\Projects\SALT\Snapshots\CheckOrdersToUnpack_IN-MU-LT-J27201\201571\184627\Iterator_1\Merge.html","Result")</f>
        <v>Result</v>
      </c>
      <c r="NE40" s="70" t="s">
        <v>1058</v>
      </c>
    </row>
    <row r="41" spans="2:369" ht="15" customHeight="1">
      <c r="B41" s="31">
        <v>1</v>
      </c>
      <c r="C41" s="25" t="s">
        <v>215</v>
      </c>
      <c r="D41" s="70" t="s">
        <v>1058</v>
      </c>
      <c r="E41" s="70" t="s">
        <v>1340</v>
      </c>
      <c r="F41" s="15" t="str">
        <f>HYPERLINK("C:\SVN\SALT ADMIN 525\Projects\SALT\Snapshots\StorePackCashPassportOrder_IN-MU-LT-J27423\2015728\151111\Iterator_1\StorePackCashPassportOrder1.xlsx","Snapshot")</f>
        <v>Snapshot</v>
      </c>
      <c r="G41" s="15" t="str">
        <f>HYPERLINK("C:\SVN\SALT ADMIN 525\Projects\SALT\Snapshots\StorePackCashPassportOrder_IN-MU-LT-J27423\2015728\151111\Iterator_1\Merge.html","Result")</f>
        <v>Result</v>
      </c>
      <c r="JM41" s="121"/>
      <c r="JN41" s="121"/>
      <c r="JW41" s="16">
        <v>42213.6327662037</v>
      </c>
      <c r="JX41" s="16">
        <v>42213.635324074072</v>
      </c>
      <c r="JY41" s="70" t="s">
        <v>1393</v>
      </c>
      <c r="KD41" s="70"/>
      <c r="KJ41" s="71" t="s">
        <v>1103</v>
      </c>
      <c r="KK41" s="71" t="s">
        <v>1104</v>
      </c>
      <c r="LM41" s="15" t="str">
        <f>HYPERLINK("C:\SVN\SALT ADMIN 525\Projects\SALT\Snapshots\StorePackCashPassportOrder_IN-MU-LT-J27201\201571\19558\Iterator_1\StorePackCashPassportOrder1.xlsx","Snapshot")</f>
        <v>Snapshot</v>
      </c>
      <c r="MJ41" s="80" t="s">
        <v>1378</v>
      </c>
      <c r="MK41" s="70">
        <v>5</v>
      </c>
      <c r="ML41" s="70" t="s">
        <v>159</v>
      </c>
      <c r="MM41" s="70" t="s">
        <v>198</v>
      </c>
      <c r="MR41" s="71" t="s">
        <v>1380</v>
      </c>
      <c r="MV41" s="70" t="s">
        <v>1359</v>
      </c>
      <c r="MX41" s="70" t="s">
        <v>58</v>
      </c>
      <c r="MY41" s="70" t="s">
        <v>96</v>
      </c>
      <c r="MZ41" s="70" t="s">
        <v>22</v>
      </c>
      <c r="NA41" s="71" t="s">
        <v>1341</v>
      </c>
      <c r="ND41" s="15" t="str">
        <f>HYPERLINK("C:\SVN\SALT ADMIN 525\Projects\SALT\Snapshots\StorePackCashPassportOrder_IN-MU-LT-J27201\201571\19558\Iterator_1\Merge.html","Result")</f>
        <v>Result</v>
      </c>
      <c r="NE41" s="70" t="s">
        <v>1058</v>
      </c>
    </row>
    <row r="42" spans="2:369" ht="15" customHeight="1">
      <c r="B42" s="31">
        <v>1</v>
      </c>
      <c r="C42" s="25" t="s">
        <v>218</v>
      </c>
      <c r="D42" s="70" t="s">
        <v>1058</v>
      </c>
      <c r="E42" s="71" t="s">
        <v>1340</v>
      </c>
      <c r="F42" s="15" t="str">
        <f>HYPERLINK("C:\SVN\SALT ADMIN 525\Projects\SALT\Snapshots\PickUpCashOrder_IN-MU-LT-J27423\2015729\14242\Iterator_1\PickUpCashOrder1.xlsx","Snapshot")</f>
        <v>Snapshot</v>
      </c>
      <c r="G42" s="15" t="str">
        <f>HYPERLINK("C:\SVN\SALT ADMIN 525\Projects\SALT\Snapshots\PickUpCashOrder_IN-MU-LT-J27423\2015729\14242\Iterator_1\Merge.html","Result")</f>
        <v>Result</v>
      </c>
      <c r="JM42" s="121"/>
      <c r="JN42" s="121"/>
      <c r="JW42" s="16">
        <v>42214.600023148145</v>
      </c>
      <c r="JX42" s="16">
        <v>42214.604039351849</v>
      </c>
      <c r="JY42" s="70" t="s">
        <v>1396</v>
      </c>
      <c r="KD42" s="70"/>
      <c r="KJ42" s="71" t="s">
        <v>456</v>
      </c>
      <c r="KK42" s="71" t="s">
        <v>456</v>
      </c>
      <c r="LM42" s="15" t="str">
        <f>HYPERLINK("C:\SVN\SALT ADMIN 525\Projects\SALT\Snapshots\PickUpCashOrder_IN-MU-LT-J27201\201577\153955\Iterator_1\PickUpCashOrder1.xlsx","Snapshot")</f>
        <v>Snapshot</v>
      </c>
      <c r="MJ42" s="80" t="s">
        <v>1378</v>
      </c>
      <c r="MK42" s="70">
        <v>6</v>
      </c>
      <c r="ML42" s="71" t="s">
        <v>159</v>
      </c>
      <c r="MM42" s="71" t="s">
        <v>198</v>
      </c>
      <c r="MR42" s="71" t="s">
        <v>1394</v>
      </c>
      <c r="MV42" s="70" t="s">
        <v>1395</v>
      </c>
      <c r="MX42" s="70" t="s">
        <v>58</v>
      </c>
      <c r="MY42" s="70" t="s">
        <v>96</v>
      </c>
      <c r="MZ42" s="70" t="s">
        <v>22</v>
      </c>
      <c r="NA42" s="71" t="s">
        <v>1341</v>
      </c>
      <c r="ND42" s="15" t="str">
        <f>HYPERLINK("C:\SVN\SALT ADMIN 525\Projects\SALT\Snapshots\PickUpCashOrder_IN-MU-LT-J27201\201577\153955\Iterator_1\Merge.html","Result")</f>
        <v>Result</v>
      </c>
      <c r="NE42" s="70" t="s">
        <v>1058</v>
      </c>
    </row>
    <row r="43" spans="2:369" ht="15" customHeight="1">
      <c r="B43" s="31">
        <v>1</v>
      </c>
      <c r="C43" s="25" t="s">
        <v>219</v>
      </c>
      <c r="D43" s="70" t="s">
        <v>1058</v>
      </c>
      <c r="E43" s="71" t="s">
        <v>1340</v>
      </c>
      <c r="F43" s="15" t="str">
        <f>HYPERLINK("C:\SVN\SALT ADMIN 525\Projects\SALT\Snapshots\PickUpCashPassportOrder_IN-MU-LT-J27423\201585\16834\Iterator_1\PickUpCashPassportOrder1.xlsx","Snapshot")</f>
        <v>Snapshot</v>
      </c>
      <c r="G43" s="15" t="str">
        <f>HYPERLINK("C:\SVN\SALT ADMIN 525\Projects\SALT\Snapshots\PickUpCashPassportOrder_IN-MU-LT-J27423\201585\16834\Iterator_1\Merge.html","Result")</f>
        <v>Result</v>
      </c>
      <c r="JM43" s="121"/>
      <c r="JN43" s="121"/>
      <c r="JW43" s="16">
        <v>42221.672615740739</v>
      </c>
      <c r="JX43" s="16">
        <v>42221.680243055554</v>
      </c>
      <c r="JY43" s="70" t="s">
        <v>1401</v>
      </c>
      <c r="KD43" s="70"/>
      <c r="KJ43" s="71" t="s">
        <v>1107</v>
      </c>
      <c r="KK43" s="71" t="s">
        <v>1108</v>
      </c>
      <c r="LM43" s="15" t="s">
        <v>1109</v>
      </c>
      <c r="MJ43" s="80" t="s">
        <v>1378</v>
      </c>
      <c r="MK43" s="70">
        <v>7</v>
      </c>
      <c r="ML43" s="70" t="s">
        <v>159</v>
      </c>
      <c r="MM43" s="70" t="s">
        <v>198</v>
      </c>
      <c r="MR43" s="71" t="s">
        <v>1380</v>
      </c>
      <c r="MV43" s="70" t="s">
        <v>1400</v>
      </c>
      <c r="MX43" s="70" t="s">
        <v>58</v>
      </c>
      <c r="MY43" s="70" t="s">
        <v>96</v>
      </c>
      <c r="MZ43" s="70" t="s">
        <v>22</v>
      </c>
      <c r="NA43" s="71" t="s">
        <v>1341</v>
      </c>
      <c r="ND43" s="15" t="str">
        <f>HYPERLINK("C:\SVN\SALT ADMIN 525\Projects\SALT\Snapshots\PickUpCashPassportOrder_IN-MU-LT-J27201\201571\19330\Iterator_1\Merge.html","Result")</f>
        <v>Result</v>
      </c>
      <c r="NE43" s="70" t="s">
        <v>1069</v>
      </c>
    </row>
    <row r="44" spans="2:369" ht="15" customHeight="1">
      <c r="B44" s="31">
        <v>1</v>
      </c>
      <c r="C44" s="25" t="s">
        <v>216</v>
      </c>
      <c r="D44" s="70" t="s">
        <v>1058</v>
      </c>
      <c r="E44" s="71" t="s">
        <v>1340</v>
      </c>
      <c r="F44" s="15" t="str">
        <f>HYPERLINK("C:\SVN\SALT ADMIN 525\Projects\SALT\Snapshots\StoreDayEndOrdersPackedInSafe_IN-MU-LT-J27423\201585\1994\Iterator_1\StoreDayEndOrdersPackedInSafe1.xlsx","Snapshot")</f>
        <v>Snapshot</v>
      </c>
      <c r="G44" s="15" t="str">
        <f>HYPERLINK("C:\SVN\SALT ADMIN 525\Projects\SALT\Snapshots\StoreDayEndOrdersPackedInSafe_IN-MU-LT-J27423\201585\1994\Iterator_1\Merge.html","Result")</f>
        <v>Result</v>
      </c>
      <c r="JM44" s="121"/>
      <c r="JN44" s="121"/>
      <c r="JW44" s="16">
        <v>42221.797962962963</v>
      </c>
      <c r="JX44" s="16">
        <v>42221.799791666665</v>
      </c>
      <c r="JY44" s="70" t="s">
        <v>1403</v>
      </c>
      <c r="JZ44" s="71" t="s">
        <v>1110</v>
      </c>
      <c r="KA44" s="55">
        <v>42247</v>
      </c>
      <c r="KC44" s="71" t="s">
        <v>1397</v>
      </c>
      <c r="KD44" s="231" t="s">
        <v>1402</v>
      </c>
      <c r="KE44" s="70" t="s">
        <v>1341</v>
      </c>
      <c r="LM44" s="15" t="str">
        <f>HYPERLINK("C:\SVN\SALT ADMIN 525\Projects\SALT\Snapshots\StoreDayEndOrdersPackedInSafe_IN-MU-LT-J27201\201577\1630\Iterator_1\StoreDayEndOrdersPackedInSafe1.xlsx","Snapshot")</f>
        <v>Snapshot</v>
      </c>
      <c r="MJ44" s="81" t="s">
        <v>214</v>
      </c>
      <c r="MK44" s="21">
        <v>1</v>
      </c>
      <c r="ML44" s="21" t="s">
        <v>868</v>
      </c>
      <c r="MM44" s="21" t="s">
        <v>868</v>
      </c>
      <c r="MQ44" s="70" t="s">
        <v>1341</v>
      </c>
      <c r="MR44" s="71" t="s">
        <v>1380</v>
      </c>
      <c r="MV44" s="71" t="s">
        <v>1387</v>
      </c>
      <c r="MX44" s="70" t="s">
        <v>58</v>
      </c>
      <c r="MY44" s="70" t="s">
        <v>96</v>
      </c>
      <c r="MZ44" s="70" t="s">
        <v>22</v>
      </c>
      <c r="NA44" s="71" t="s">
        <v>1341</v>
      </c>
      <c r="ND44" s="15" t="str">
        <f>HYPERLINK("C:\SVN\SALT ADMIN 525\Projects\SALT\Snapshots\StoreDayEndOrdersPackedInSafe_IN-MU-LT-J27201\201577\1630\Iterator_1\Merge.html","Result")</f>
        <v>Result</v>
      </c>
      <c r="NE44" s="70" t="s">
        <v>1058</v>
      </c>
    </row>
    <row r="45" spans="2:369" ht="15" customHeight="1">
      <c r="B45" s="31">
        <v>1</v>
      </c>
      <c r="C45" s="25" t="s">
        <v>217</v>
      </c>
      <c r="D45" s="70" t="s">
        <v>1058</v>
      </c>
      <c r="E45" s="70" t="s">
        <v>1340</v>
      </c>
      <c r="F45" s="15" t="str">
        <f>HYPERLINK("C:\SVN\SALT ADMIN 525\Projects\SALT\Snapshots\StoreDayEndOrdersCompleted_IN-MU-LT-J27423\201585\194554\Iterator_1\StoreDayEndOrdersCompleted1.xlsx","Snapshot")</f>
        <v>Snapshot</v>
      </c>
      <c r="G45" s="15" t="str">
        <f>HYPERLINK("C:\SVN\SALT ADMIN 525\Projects\SALT\Snapshots\StoreDayEndOrdersCompleted_IN-MU-LT-J27423\201585\194554\Iterator_1\Merge.html","Result")</f>
        <v>Result</v>
      </c>
      <c r="JM45" s="121"/>
      <c r="JN45" s="121"/>
      <c r="JW45" s="16">
        <v>42221.823541666665</v>
      </c>
      <c r="JX45" s="16">
        <v>42221.824699074074</v>
      </c>
      <c r="JY45" s="70" t="s">
        <v>1404</v>
      </c>
      <c r="KA45" s="16">
        <v>42214.415972222225</v>
      </c>
      <c r="KD45" s="70"/>
      <c r="KE45" s="70" t="s">
        <v>462</v>
      </c>
      <c r="KF45" s="70" t="s">
        <v>79</v>
      </c>
      <c r="KG45" s="70" t="s">
        <v>83</v>
      </c>
      <c r="KH45" s="27">
        <v>1000</v>
      </c>
      <c r="KI45" s="27">
        <v>1094.21</v>
      </c>
      <c r="LM45" s="15" t="str">
        <f>HYPERLINK("C:\SVN\SALT ADMIN 525\Projects\SALT\Snapshots\StoreDayEndOrdersCompleted_IN-MU-LT-J27201\201577\16640\Iterator_1\StoreDayEndOrdersCompleted1.xlsx","Snapshot")</f>
        <v>Snapshot</v>
      </c>
      <c r="MJ45" s="70" t="s">
        <v>218</v>
      </c>
      <c r="MK45" s="70">
        <v>1</v>
      </c>
      <c r="ML45" s="70" t="s">
        <v>868</v>
      </c>
      <c r="MM45" s="70" t="s">
        <v>868</v>
      </c>
      <c r="MQ45" s="70" t="s">
        <v>1111</v>
      </c>
      <c r="MR45" s="71" t="s">
        <v>1394</v>
      </c>
      <c r="MV45" s="70" t="s">
        <v>1395</v>
      </c>
      <c r="MX45" s="70" t="s">
        <v>58</v>
      </c>
      <c r="MY45" s="70" t="s">
        <v>96</v>
      </c>
      <c r="MZ45" s="70" t="s">
        <v>22</v>
      </c>
      <c r="NA45" s="71" t="s">
        <v>1341</v>
      </c>
      <c r="ND45" s="15" t="str">
        <f>HYPERLINK("C:\SVN\SALT ADMIN 525\Projects\SALT\Snapshots\StoreDayEndOrdersCompleted_IN-MU-LT-J27201\201577\16640\Iterator_1\Merge.html","Result")</f>
        <v>Result</v>
      </c>
      <c r="NE45" s="70" t="s">
        <v>1058</v>
      </c>
    </row>
    <row r="46" spans="2:369" ht="15" customHeight="1">
      <c r="B46" s="31">
        <v>1</v>
      </c>
      <c r="C46" s="25" t="s">
        <v>220</v>
      </c>
      <c r="D46" s="70" t="s">
        <v>1058</v>
      </c>
      <c r="E46" s="70" t="s">
        <v>1340</v>
      </c>
      <c r="F46" s="15" t="str">
        <f>HYPERLINK("C:\SVN\SALT ADMIN 525\Projects\SALT\Snapshots\CancelledPendingUnpackingstore_IN-MU-LT-J27423\201586\12588\Iterator_1\CancelledPendingUnpackingstore1.xlsx","Snapshot")</f>
        <v>Snapshot</v>
      </c>
      <c r="G46" s="15" t="str">
        <f>HYPERLINK("C:\SVN\SALT ADMIN 525\Projects\SALT\Snapshots\CancelledPendingUnpackingstore_IN-MU-LT-J27423\201586\12588\Iterator_1\Merge.html","Result")</f>
        <v>Result</v>
      </c>
      <c r="JM46" s="121"/>
      <c r="JN46" s="121"/>
      <c r="JW46" s="16">
        <v>42222.540370370371</v>
      </c>
      <c r="JX46" s="16">
        <v>42222.543287037035</v>
      </c>
      <c r="JY46" s="70" t="s">
        <v>1405</v>
      </c>
      <c r="KD46" s="70"/>
      <c r="KJ46" s="70" t="s">
        <v>456</v>
      </c>
      <c r="KK46" s="70" t="s">
        <v>456</v>
      </c>
      <c r="LM46" s="15" t="str">
        <f>HYPERLINK("C:\SVN\SALT ADMIN 525\Projects\SALT\Snapshots\CancelledPendingUnpackingstore_IN-MU-LT-J27201\201571\21556\Iterator_1\CancelledPendingUnpackingstore1.xlsx","Snapshot")</f>
        <v>Snapshot</v>
      </c>
      <c r="MJ46" s="80" t="s">
        <v>1378</v>
      </c>
      <c r="MK46" s="70">
        <v>8</v>
      </c>
      <c r="ML46" s="70" t="s">
        <v>159</v>
      </c>
      <c r="MM46" s="70" t="s">
        <v>198</v>
      </c>
      <c r="MR46" s="71" t="s">
        <v>1394</v>
      </c>
      <c r="MV46" s="70" t="s">
        <v>1362</v>
      </c>
      <c r="MX46" s="70" t="s">
        <v>58</v>
      </c>
      <c r="MY46" s="70" t="s">
        <v>96</v>
      </c>
      <c r="MZ46" s="70" t="s">
        <v>22</v>
      </c>
      <c r="NA46" s="71" t="s">
        <v>1341</v>
      </c>
      <c r="ND46" s="15" t="str">
        <f>HYPERLINK("C:\SVN\SALT ADMIN 525\Projects\SALT\Snapshots\CancelledPendingUnpackingstore_IN-MU-LT-J27201\201571\21556\Iterator_1\Merge.html","Result")</f>
        <v>Result</v>
      </c>
      <c r="NE46" s="70" t="s">
        <v>1058</v>
      </c>
    </row>
    <row r="47" spans="2:369" ht="15" customHeight="1">
      <c r="B47" s="31">
        <v>1</v>
      </c>
      <c r="C47" s="25" t="s">
        <v>221</v>
      </c>
      <c r="D47" s="70" t="s">
        <v>1058</v>
      </c>
      <c r="E47" s="70" t="s">
        <v>1340</v>
      </c>
      <c r="F47" s="15" t="str">
        <f>HYPERLINK("C:\SVN\SALT ADMIN 525\Projects\SALT\Snapshots\CancelledPendingPackingstore_IN-MU-LT-J27423\201586\13550\Iterator_1\CancelledPendingPackingstore1.xlsx","Snapshot")</f>
        <v>Snapshot</v>
      </c>
      <c r="G47" s="15" t="str">
        <f>HYPERLINK("C:\SVN\SALT ADMIN 525\Projects\SALT\Snapshots\CancelledPendingPackingstore_IN-MU-LT-J27423\201586\13550\Iterator_1\Merge.html","Result")</f>
        <v>Result</v>
      </c>
      <c r="JM47" s="121"/>
      <c r="JN47" s="121"/>
      <c r="JW47" s="16">
        <v>42222.545717592591</v>
      </c>
      <c r="JX47" s="16">
        <v>42222.546678240738</v>
      </c>
      <c r="JY47" s="70" t="s">
        <v>1040</v>
      </c>
      <c r="KD47" s="70"/>
      <c r="LM47" s="15" t="str">
        <f>HYPERLINK("C:\SVN\SALT ADMIN 525\Projects\SALT\Snapshots\CancelledPendingPackingstore_IN-MU-LT-J27201\201571\22045\Iterator_1\CancelledPendingPackingstore1.xlsx","Snapshot")</f>
        <v>Snapshot</v>
      </c>
      <c r="MJ47" s="80" t="s">
        <v>1378</v>
      </c>
      <c r="MK47" s="70">
        <v>9</v>
      </c>
      <c r="ML47" s="70" t="s">
        <v>159</v>
      </c>
      <c r="MM47" s="70" t="s">
        <v>198</v>
      </c>
      <c r="MV47" s="70" t="s">
        <v>1365</v>
      </c>
      <c r="MX47" s="70" t="s">
        <v>58</v>
      </c>
      <c r="MY47" s="70" t="s">
        <v>96</v>
      </c>
      <c r="MZ47" s="70" t="s">
        <v>22</v>
      </c>
      <c r="NA47" s="71" t="s">
        <v>1341</v>
      </c>
      <c r="ND47" s="15" t="str">
        <f>HYPERLINK("C:\SVN\SALT ADMIN 525\Projects\SALT\Snapshots\CancelledPendingPackingstore_IN-MU-LT-J27201\201571\22045\Iterator_1\Merge.html","Result")</f>
        <v>Result</v>
      </c>
      <c r="NE47" s="70" t="s">
        <v>1058</v>
      </c>
    </row>
    <row r="48" spans="2:369" ht="15" customHeight="1">
      <c r="B48" s="31">
        <v>1</v>
      </c>
      <c r="C48" s="25" t="s">
        <v>222</v>
      </c>
      <c r="D48" s="70" t="s">
        <v>1058</v>
      </c>
      <c r="E48" s="71" t="s">
        <v>1340</v>
      </c>
      <c r="F48" s="15" t="str">
        <f>HYPERLINK("C:\SVN\SALT ADMIN 525\Projects\SALT\Snapshots\CancelledPendingScheduled_IN-MU-LT-J27423\201586\154912\Iterator_1\CancelledPendingScheduled1.xlsx","Snapshot")</f>
        <v>Snapshot</v>
      </c>
      <c r="G48" s="15" t="str">
        <f>HYPERLINK("C:\SVN\SALT ADMIN 525\Projects\SALT\Snapshots\CancelledPendingScheduled_IN-MU-LT-J27423\201586\154912\Iterator_1\Merge.html","Result")</f>
        <v>Result</v>
      </c>
      <c r="JM48" s="121"/>
      <c r="JN48" s="121"/>
      <c r="JW48" s="16">
        <v>42222.659166666665</v>
      </c>
      <c r="JX48" s="16">
        <v>42222.660231481481</v>
      </c>
      <c r="JY48" s="70" t="s">
        <v>1409</v>
      </c>
      <c r="KD48" s="70"/>
      <c r="LM48" s="15"/>
      <c r="MJ48" s="80" t="s">
        <v>1378</v>
      </c>
      <c r="MK48" s="70">
        <v>27</v>
      </c>
      <c r="ML48" s="70" t="s">
        <v>159</v>
      </c>
      <c r="MM48" s="70" t="s">
        <v>198</v>
      </c>
      <c r="MV48" s="70" t="s">
        <v>1408</v>
      </c>
      <c r="MX48" s="70" t="s">
        <v>58</v>
      </c>
      <c r="MY48" s="70" t="s">
        <v>96</v>
      </c>
      <c r="MZ48" s="70" t="s">
        <v>22</v>
      </c>
      <c r="NA48" s="71" t="s">
        <v>1341</v>
      </c>
      <c r="ND48" s="15"/>
    </row>
    <row r="49" spans="1:369" ht="15" customHeight="1">
      <c r="B49" s="31">
        <v>1</v>
      </c>
      <c r="C49" s="25" t="s">
        <v>306</v>
      </c>
      <c r="T49" s="71"/>
      <c r="BK49" s="70" t="s">
        <v>451</v>
      </c>
      <c r="DE49" s="70" t="s">
        <v>451</v>
      </c>
      <c r="EF49" s="70">
        <v>26</v>
      </c>
      <c r="EG49" s="70" t="s">
        <v>442</v>
      </c>
      <c r="EH49" s="70">
        <v>1988</v>
      </c>
      <c r="EI49" s="70">
        <v>123456</v>
      </c>
      <c r="EJ49" s="70">
        <v>11</v>
      </c>
      <c r="EK49" s="70" t="s">
        <v>443</v>
      </c>
      <c r="EL49" s="70" t="s">
        <v>1113</v>
      </c>
      <c r="EM49" s="70" t="s">
        <v>446</v>
      </c>
      <c r="EN49" s="70" t="s">
        <v>499</v>
      </c>
      <c r="EO49" s="70" t="s">
        <v>499</v>
      </c>
      <c r="EP49" s="70">
        <v>4812</v>
      </c>
      <c r="EQ49" s="70">
        <v>10</v>
      </c>
      <c r="ER49" s="70">
        <v>2021</v>
      </c>
      <c r="ET49" s="70" t="s">
        <v>1114</v>
      </c>
      <c r="EU49" s="70" t="s">
        <v>446</v>
      </c>
      <c r="GD49" s="81" t="s">
        <v>1115</v>
      </c>
      <c r="GJ49" s="18" t="s">
        <v>467</v>
      </c>
      <c r="GK49" s="70">
        <v>29</v>
      </c>
      <c r="GL49" s="70">
        <v>2037</v>
      </c>
      <c r="GM49" s="18" t="s">
        <v>467</v>
      </c>
      <c r="GN49" s="71" t="s">
        <v>441</v>
      </c>
      <c r="GO49" s="70">
        <v>1986</v>
      </c>
      <c r="HF49" s="70">
        <v>456</v>
      </c>
      <c r="HG49" s="70" t="s">
        <v>499</v>
      </c>
      <c r="HH49" s="70" t="s">
        <v>1116</v>
      </c>
      <c r="HI49" s="70" t="s">
        <v>435</v>
      </c>
      <c r="HJ49" s="70" t="s">
        <v>436</v>
      </c>
      <c r="HM49" s="56">
        <v>41733</v>
      </c>
      <c r="HN49" s="70" t="s">
        <v>715</v>
      </c>
      <c r="HP49" s="70" t="s">
        <v>712</v>
      </c>
      <c r="HQ49" s="71" t="s">
        <v>437</v>
      </c>
      <c r="HR49" s="70" t="s">
        <v>1118</v>
      </c>
      <c r="HS49" s="70" t="s">
        <v>444</v>
      </c>
      <c r="HT49" s="70" t="s">
        <v>1119</v>
      </c>
      <c r="HU49" s="71">
        <v>26</v>
      </c>
      <c r="HV49" s="18" t="s">
        <v>442</v>
      </c>
      <c r="HW49" s="70">
        <v>1988</v>
      </c>
      <c r="HX49" s="70" t="s">
        <v>78</v>
      </c>
      <c r="HY49" s="71" t="s">
        <v>440</v>
      </c>
      <c r="IA49" s="70">
        <v>123456</v>
      </c>
      <c r="IB49" s="70">
        <v>123456</v>
      </c>
      <c r="IC49" s="70">
        <v>11</v>
      </c>
      <c r="ID49" s="70" t="s">
        <v>443</v>
      </c>
      <c r="IE49" s="70">
        <v>2037</v>
      </c>
      <c r="IF49" s="70" t="s">
        <v>445</v>
      </c>
      <c r="IG49" s="71" t="s">
        <v>498</v>
      </c>
      <c r="IH49" s="71" t="s">
        <v>498</v>
      </c>
      <c r="II49" s="71" t="s">
        <v>1113</v>
      </c>
      <c r="IJ49" s="71" t="s">
        <v>1113</v>
      </c>
      <c r="IK49" s="71" t="s">
        <v>446</v>
      </c>
      <c r="IL49" s="70" t="s">
        <v>499</v>
      </c>
      <c r="IM49" s="70" t="s">
        <v>499</v>
      </c>
      <c r="IN49" s="70">
        <v>4812</v>
      </c>
      <c r="IO49" s="71" t="s">
        <v>450</v>
      </c>
      <c r="IP49" s="71" t="s">
        <v>194</v>
      </c>
      <c r="IQ49" s="71"/>
      <c r="IR49" s="70" t="s">
        <v>439</v>
      </c>
      <c r="IS49" s="70">
        <v>108</v>
      </c>
      <c r="IT49" s="70">
        <v>10</v>
      </c>
      <c r="IU49" s="70">
        <v>2021</v>
      </c>
      <c r="IV49" s="70" t="b">
        <v>0</v>
      </c>
      <c r="IW49" s="71" t="s">
        <v>488</v>
      </c>
      <c r="IX49" s="70" t="s">
        <v>741</v>
      </c>
      <c r="IY49" s="71" t="s">
        <v>741</v>
      </c>
      <c r="IZ49" s="71" t="s">
        <v>741</v>
      </c>
      <c r="JA49" s="71">
        <v>1234</v>
      </c>
      <c r="JB49" s="71" t="b">
        <v>0</v>
      </c>
      <c r="JC49" s="71" t="b">
        <v>1</v>
      </c>
      <c r="JD49" s="70">
        <v>1234</v>
      </c>
      <c r="JG49" s="27"/>
      <c r="JM49" s="121"/>
      <c r="JN49" s="121"/>
      <c r="JP49" s="70" t="s">
        <v>645</v>
      </c>
      <c r="JW49" s="16">
        <v>42201.953506944446</v>
      </c>
      <c r="JX49" s="16">
        <v>42201.959594907406</v>
      </c>
      <c r="JY49" s="70" t="s">
        <v>1112</v>
      </c>
      <c r="KD49" s="70"/>
      <c r="KE49" s="70" t="s">
        <v>462</v>
      </c>
      <c r="LM49" s="15" t="str">
        <f>HYPERLINK("C:\SVN\SALT ADMIN 525\Projects\SALT\Snapshots\CallCenter_SubmitNewOrder_IN-MU-LT-J27201\201579\151224\Iterator_1\CallCenter_SubmitNewOrder1.xlsx","Snapshot")</f>
        <v>Snapshot</v>
      </c>
      <c r="MH49" s="70" t="s">
        <v>1120</v>
      </c>
      <c r="MI49" s="84"/>
      <c r="MQ49" s="27" t="s">
        <v>1111</v>
      </c>
      <c r="MW49" s="84"/>
      <c r="MX49" s="70" t="s">
        <v>58</v>
      </c>
      <c r="MY49" s="68" t="s">
        <v>96</v>
      </c>
      <c r="MZ49" s="70" t="s">
        <v>22</v>
      </c>
      <c r="NA49" s="71" t="s">
        <v>1341</v>
      </c>
      <c r="NC49" s="70" t="s">
        <v>1117</v>
      </c>
      <c r="ND49" s="15" t="str">
        <f>HYPERLINK("C:\SVN\SALT ADMIN 525\Projects\SALT\Snapshots\CallCenter_SubmitNewOrder_IN-MU-LT-J27201\201579\151224\Iterator_1\Merge.html","Result")</f>
        <v>Result</v>
      </c>
      <c r="NE49" s="71" t="s">
        <v>1058</v>
      </c>
    </row>
    <row r="50" spans="1:369" ht="15" customHeight="1">
      <c r="B50" s="31">
        <v>1</v>
      </c>
      <c r="C50" s="25" t="s">
        <v>307</v>
      </c>
      <c r="EY50" s="70" t="s">
        <v>487</v>
      </c>
      <c r="GE50" s="70" t="s">
        <v>438</v>
      </c>
      <c r="GF50" s="70" t="s">
        <v>78</v>
      </c>
      <c r="GG50" s="70" t="s">
        <v>440</v>
      </c>
      <c r="GI50" s="70">
        <v>258963</v>
      </c>
      <c r="GJ50" s="70" t="s">
        <v>459</v>
      </c>
      <c r="GK50" s="70">
        <v>20</v>
      </c>
      <c r="GL50" s="70">
        <v>2019</v>
      </c>
      <c r="GM50" s="70" t="s">
        <v>459</v>
      </c>
      <c r="GN50" s="70">
        <v>20</v>
      </c>
      <c r="GO50" s="70">
        <v>1989</v>
      </c>
      <c r="GP50" s="70" t="s">
        <v>735</v>
      </c>
      <c r="JM50" s="121"/>
      <c r="JN50" s="121"/>
      <c r="JW50" s="16">
        <v>41815.644479166665</v>
      </c>
      <c r="JX50" s="16">
        <v>41815.650046296294</v>
      </c>
      <c r="JY50" s="70" t="s">
        <v>1121</v>
      </c>
      <c r="KD50" s="70"/>
      <c r="LM50" s="15"/>
      <c r="MJ50" s="80" t="s">
        <v>1378</v>
      </c>
      <c r="MK50" s="70">
        <v>18</v>
      </c>
      <c r="ML50" s="71" t="s">
        <v>159</v>
      </c>
      <c r="MM50" s="71" t="s">
        <v>198</v>
      </c>
      <c r="MR50" s="71" t="s">
        <v>1122</v>
      </c>
      <c r="MV50" s="70" t="s">
        <v>1123</v>
      </c>
      <c r="MX50" s="70" t="s">
        <v>58</v>
      </c>
      <c r="MY50" s="70" t="s">
        <v>96</v>
      </c>
      <c r="MZ50" s="70" t="s">
        <v>22</v>
      </c>
      <c r="NA50" s="71" t="s">
        <v>1341</v>
      </c>
      <c r="ND50" s="15"/>
      <c r="NE50" s="71"/>
    </row>
    <row r="51" spans="1:369" ht="15" customHeight="1">
      <c r="B51" s="31">
        <v>1</v>
      </c>
      <c r="C51" s="25" t="s">
        <v>350</v>
      </c>
      <c r="JJ51" s="70" t="s">
        <v>493</v>
      </c>
      <c r="JM51" s="121"/>
      <c r="JN51" s="121"/>
      <c r="JW51" s="16">
        <v>42201.945289351854</v>
      </c>
      <c r="JX51" s="16">
        <v>42201.946250000001</v>
      </c>
      <c r="JY51" s="70" t="s">
        <v>1040</v>
      </c>
      <c r="KD51" s="70"/>
      <c r="LM51" s="15" t="str">
        <f>HYPERLINK("C:\SVN\SALT ADMIN 525\Projects\SALT\Snapshots\FullPayment_IN-MU-LT-J27201\201571\22155\Iterator_1\FullPayment1.xlsx","Snapshot")</f>
        <v>Snapshot</v>
      </c>
      <c r="MJ51" s="80" t="s">
        <v>1378</v>
      </c>
      <c r="MK51" s="70">
        <v>11</v>
      </c>
      <c r="ML51" s="71" t="s">
        <v>159</v>
      </c>
      <c r="MM51" s="71" t="s">
        <v>198</v>
      </c>
      <c r="MV51" s="70" t="s">
        <v>1124</v>
      </c>
      <c r="MX51" s="70" t="s">
        <v>58</v>
      </c>
      <c r="MY51" s="70" t="s">
        <v>96</v>
      </c>
      <c r="MZ51" s="70" t="s">
        <v>22</v>
      </c>
      <c r="NA51" s="71" t="s">
        <v>1341</v>
      </c>
      <c r="ND51" s="15" t="str">
        <f>HYPERLINK("C:\SVN\SALT ADMIN 525\Projects\SALT\Snapshots\FullPayment_IN-MU-LT-J27201\201571\22155\Iterator_1\Merge.html","Result")</f>
        <v>Result</v>
      </c>
      <c r="NE51" s="71" t="s">
        <v>1058</v>
      </c>
    </row>
    <row r="52" spans="1:369" ht="15" customHeight="1">
      <c r="B52" s="31">
        <v>1</v>
      </c>
      <c r="C52" s="25" t="s">
        <v>351</v>
      </c>
      <c r="JJ52" s="70" t="s">
        <v>494</v>
      </c>
      <c r="JM52" s="121"/>
      <c r="JN52" s="121"/>
      <c r="JW52" s="16">
        <v>42201.947199074071</v>
      </c>
      <c r="JX52" s="16">
        <v>42201.947800925926</v>
      </c>
      <c r="JY52" s="70" t="s">
        <v>1125</v>
      </c>
      <c r="KD52" s="70"/>
      <c r="LM52" s="15" t="str">
        <f>HYPERLINK("C:\SVN\SALT ADMIN 525\Projects\SALT\Snapshots\PartialPayment_IN-MU-LT-J27201\201571\2237\Iterator_1\PartialPayment1.xlsx","Snapshot")</f>
        <v>Snapshot</v>
      </c>
      <c r="MJ52" s="80" t="s">
        <v>1378</v>
      </c>
      <c r="MK52" s="70">
        <v>12</v>
      </c>
      <c r="ML52" s="70" t="s">
        <v>159</v>
      </c>
      <c r="MM52" s="70" t="s">
        <v>198</v>
      </c>
      <c r="MV52" s="70" t="s">
        <v>1126</v>
      </c>
      <c r="MX52" s="70" t="s">
        <v>58</v>
      </c>
      <c r="MY52" s="70" t="s">
        <v>96</v>
      </c>
      <c r="MZ52" s="70" t="s">
        <v>22</v>
      </c>
      <c r="NA52" s="71" t="s">
        <v>1341</v>
      </c>
      <c r="ND52" s="15" t="str">
        <f>HYPERLINK("C:\SVN\SALT ADMIN 525\Projects\SALT\Snapshots\PartialPayment_IN-MU-LT-J27201\201571\2237\Iterator_1\Merge.html","Result")</f>
        <v>Result</v>
      </c>
      <c r="NE52" s="71" t="s">
        <v>1058</v>
      </c>
    </row>
    <row r="53" spans="1:369" ht="15" customHeight="1">
      <c r="B53" s="31">
        <v>1</v>
      </c>
      <c r="C53" s="25" t="s">
        <v>352</v>
      </c>
      <c r="JJ53" s="70" t="s">
        <v>495</v>
      </c>
      <c r="JM53" s="121"/>
      <c r="JN53" s="121"/>
      <c r="JW53" s="16">
        <v>42201.94840277778</v>
      </c>
      <c r="JX53" s="16">
        <v>42201.949004629627</v>
      </c>
      <c r="JY53" s="70" t="s">
        <v>1125</v>
      </c>
      <c r="KD53" s="70"/>
      <c r="LM53" s="15" t="str">
        <f>HYPERLINK("C:\SVN\SALT ADMIN 525\Projects\SALT\Snapshots\HigherPayment_IN-MU-LT-J27201\201571\22351\Iterator_1\HigherPayment1.xlsx","Snapshot")</f>
        <v>Snapshot</v>
      </c>
      <c r="MJ53" s="80" t="s">
        <v>1378</v>
      </c>
      <c r="MK53" s="70">
        <v>13</v>
      </c>
      <c r="ML53" s="70" t="s">
        <v>159</v>
      </c>
      <c r="MM53" s="70" t="s">
        <v>198</v>
      </c>
      <c r="MV53" s="70" t="s">
        <v>1127</v>
      </c>
      <c r="MX53" s="70" t="s">
        <v>58</v>
      </c>
      <c r="MY53" s="70" t="s">
        <v>96</v>
      </c>
      <c r="MZ53" s="70" t="s">
        <v>22</v>
      </c>
      <c r="NA53" s="71" t="s">
        <v>1341</v>
      </c>
      <c r="ND53" s="15" t="str">
        <f>HYPERLINK("C:\SVN\SALT ADMIN 525\Projects\SALT\Snapshots\HigherPayment_IN-MU-LT-J27201\201571\22351\Iterator_1\Merge.html","Result")</f>
        <v>Result</v>
      </c>
      <c r="NE53" s="70" t="s">
        <v>1058</v>
      </c>
    </row>
    <row r="54" spans="1:369" ht="15" customHeight="1">
      <c r="B54" s="31">
        <v>1</v>
      </c>
      <c r="C54" s="25" t="s">
        <v>353</v>
      </c>
      <c r="HR54" s="69" t="s">
        <v>1065</v>
      </c>
      <c r="HS54" s="72" t="s">
        <v>444</v>
      </c>
      <c r="HT54" s="69" t="s">
        <v>1066</v>
      </c>
      <c r="JJ54" s="70" t="s">
        <v>675</v>
      </c>
      <c r="JM54" s="121"/>
      <c r="JN54" s="121"/>
      <c r="JW54" s="16">
        <v>42201.949618055558</v>
      </c>
      <c r="JX54" s="16">
        <v>42201.950277777774</v>
      </c>
      <c r="JY54" s="70" t="s">
        <v>1044</v>
      </c>
      <c r="KD54" s="70"/>
      <c r="LM54" s="15" t="str">
        <f>HYPERLINK("C:\SVN\SALT ADMIN 525\Projects\SALT\Snapshots\IgnorePayment_IN-MU-LT-J27201\201577\185458\Iterator_1\IgnorePayment1.xlsx","Snapshot")</f>
        <v>Snapshot</v>
      </c>
      <c r="MJ54" s="80" t="s">
        <v>1378</v>
      </c>
      <c r="MK54" s="70">
        <v>14</v>
      </c>
      <c r="ML54" s="70" t="s">
        <v>159</v>
      </c>
      <c r="MM54" s="70" t="s">
        <v>198</v>
      </c>
      <c r="MV54" s="70" t="s">
        <v>1128</v>
      </c>
      <c r="MX54" s="70" t="s">
        <v>58</v>
      </c>
      <c r="MY54" s="70" t="s">
        <v>96</v>
      </c>
      <c r="MZ54" s="70" t="s">
        <v>22</v>
      </c>
      <c r="NA54" s="71" t="s">
        <v>1341</v>
      </c>
      <c r="ND54" s="15" t="str">
        <f>HYPERLINK("C:\SVN\SALT ADMIN 525\Projects\SALT\Snapshots\IgnorePayment_IN-MU-LT-J27201\201577\185458\Iterator_1\Merge.html","Result")</f>
        <v>Result</v>
      </c>
      <c r="NE54" s="70" t="s">
        <v>1058</v>
      </c>
    </row>
    <row r="55" spans="1:369" ht="15" customHeight="1" thickBot="1">
      <c r="B55" s="20">
        <v>1</v>
      </c>
      <c r="C55" s="32" t="s">
        <v>825</v>
      </c>
      <c r="JM55" s="121"/>
      <c r="JN55" s="121"/>
      <c r="JW55" s="16">
        <v>42201.94458333333</v>
      </c>
      <c r="JX55" s="16">
        <v>42201.945277777777</v>
      </c>
      <c r="JY55" s="70" t="s">
        <v>982</v>
      </c>
      <c r="KD55" s="70"/>
      <c r="KM55" s="70" t="s">
        <v>1029</v>
      </c>
      <c r="KO55" s="71">
        <v>600</v>
      </c>
      <c r="LM55" s="15" t="str">
        <f>HYPERLINK("C:\SVN\SALT ADMIN 525\Projects\SALT\Snapshots\CancelledBankTransferPandingBpay_IN-MU-LT-J27201\201571\222743\Iterator_1\CancelledBankTransferPandingBpay1.xlsx","Snapshot")</f>
        <v>Snapshot</v>
      </c>
      <c r="MJ55" s="80" t="s">
        <v>1378</v>
      </c>
      <c r="MK55" s="70">
        <v>19</v>
      </c>
      <c r="ML55" s="70" t="s">
        <v>159</v>
      </c>
      <c r="MM55" s="70" t="s">
        <v>198</v>
      </c>
      <c r="MV55" s="70" t="s">
        <v>1129</v>
      </c>
      <c r="MX55" s="68" t="s">
        <v>58</v>
      </c>
      <c r="MY55" s="68" t="s">
        <v>96</v>
      </c>
      <c r="MZ55" s="70" t="s">
        <v>22</v>
      </c>
      <c r="NA55" s="71" t="s">
        <v>1341</v>
      </c>
      <c r="ND55" s="15" t="str">
        <f>HYPERLINK("C:\SVN\SALT ADMIN 525\Projects\SALT\Snapshots\CancelledBankTransferPandingBpay_IN-MU-LT-J27201\201571\222743\Iterator_1\Merge.html","Result")</f>
        <v>Result</v>
      </c>
      <c r="NE55" s="71" t="s">
        <v>1058</v>
      </c>
    </row>
    <row r="56" spans="1:369" ht="15" customHeight="1">
      <c r="B56" s="20">
        <v>1</v>
      </c>
      <c r="C56" s="21" t="s">
        <v>322</v>
      </c>
      <c r="EY56" s="70" t="s">
        <v>852</v>
      </c>
      <c r="JW56" s="16">
        <v>42201.959618055553</v>
      </c>
      <c r="JX56" s="16">
        <v>42201.960787037038</v>
      </c>
      <c r="JY56" s="70" t="s">
        <v>714</v>
      </c>
      <c r="KD56" s="70"/>
      <c r="LM56" s="15" t="str">
        <f>HYPERLINK("C:\SVN\SALT ADMIN 525\Projects\SALT\Snapshots\ChangePickUpDate_IN-MU-LT-J27201\201572\143015\Iterator_1\ChangePickUpDate1.xlsx","Snapshot")</f>
        <v>Snapshot</v>
      </c>
      <c r="MJ56" s="80" t="s">
        <v>1378</v>
      </c>
      <c r="MK56" s="70">
        <v>10</v>
      </c>
      <c r="ML56" s="70" t="s">
        <v>159</v>
      </c>
      <c r="MM56" s="70" t="s">
        <v>198</v>
      </c>
      <c r="MV56" s="70" t="s">
        <v>1130</v>
      </c>
      <c r="MX56" s="108" t="s">
        <v>58</v>
      </c>
      <c r="MY56" s="109" t="s">
        <v>96</v>
      </c>
      <c r="MZ56" s="70" t="s">
        <v>22</v>
      </c>
      <c r="NA56" s="71" t="s">
        <v>1341</v>
      </c>
      <c r="ND56" s="15" t="str">
        <f>HYPERLINK("C:\SVN\SALT ADMIN 525\Projects\SALT\Snapshots\ChangePickUpDate_IN-MU-LT-J27201\201572\143015\Iterator_1\Merge.html","Result")</f>
        <v>Result</v>
      </c>
      <c r="NE56" s="70" t="s">
        <v>1058</v>
      </c>
    </row>
    <row r="57" spans="1:369" ht="15" customHeight="1">
      <c r="B57" s="20">
        <v>1</v>
      </c>
      <c r="C57" s="21" t="s">
        <v>1131</v>
      </c>
      <c r="JE57" s="70" t="s">
        <v>735</v>
      </c>
      <c r="JF57" s="70" t="s">
        <v>1133</v>
      </c>
      <c r="JW57" s="16">
        <v>42201.960810185185</v>
      </c>
      <c r="JX57" s="16">
        <v>42201.962442129632</v>
      </c>
      <c r="JY57" s="70" t="s">
        <v>1132</v>
      </c>
      <c r="KD57" s="70"/>
      <c r="KJ57" s="70" t="s">
        <v>456</v>
      </c>
      <c r="LM57" s="15" t="str">
        <f>HYPERLINK("C:\SVN\SALT ADMIN 525\Projects\SALT\Snapshots\ChangePickUpLocationPacked_IN-MU-LT-J27201\201572\144020\Iterator_1\ChangePickUpLocationPacked1.xlsx","Snapshot")</f>
        <v>Snapshot</v>
      </c>
      <c r="MJ57" s="80" t="s">
        <v>1378</v>
      </c>
      <c r="MK57" s="70">
        <v>22</v>
      </c>
      <c r="ML57" s="70" t="s">
        <v>159</v>
      </c>
      <c r="MM57" s="70" t="s">
        <v>198</v>
      </c>
      <c r="MR57" s="70" t="s">
        <v>1099</v>
      </c>
      <c r="MV57" s="70" t="s">
        <v>1134</v>
      </c>
      <c r="MX57" s="70" t="s">
        <v>58</v>
      </c>
      <c r="MY57" s="70" t="s">
        <v>96</v>
      </c>
      <c r="MZ57" s="70" t="s">
        <v>22</v>
      </c>
      <c r="NA57" s="71" t="s">
        <v>1341</v>
      </c>
      <c r="ND57" s="15" t="str">
        <f>HYPERLINK("C:\SVN\SALT ADMIN 525\Projects\SALT\Snapshots\ChangePickUpLocationPacked_IN-MU-LT-J27201\201572\144020\Iterator_1\Merge.html","Result")</f>
        <v>Result</v>
      </c>
      <c r="NE57" s="70" t="s">
        <v>1058</v>
      </c>
    </row>
    <row r="58" spans="1:369" ht="15" customHeight="1">
      <c r="B58" s="20">
        <v>1</v>
      </c>
      <c r="C58" s="70" t="s">
        <v>793</v>
      </c>
      <c r="EW58" s="70" t="s">
        <v>1136</v>
      </c>
      <c r="EX58" s="71"/>
      <c r="JF58" s="79"/>
      <c r="JM58" s="121"/>
      <c r="JN58" s="121"/>
      <c r="JW58" s="16">
        <v>42201.962453703702</v>
      </c>
      <c r="JX58" s="16">
        <v>42201.962916666664</v>
      </c>
      <c r="JY58" s="70" t="s">
        <v>1135</v>
      </c>
      <c r="KD58" s="70"/>
      <c r="KM58" s="70" t="s">
        <v>1137</v>
      </c>
      <c r="KO58" s="91">
        <v>500</v>
      </c>
      <c r="LM58" s="15" t="str">
        <f>HYPERLINK("C:\SVN\SALT ADMIN 525\Projects\SALT\Snapshots\GetBuyBackNumber_IN-MU-LT-J27201\201572\144430\Iterator_1\GetBuyBackNumber1.xlsx","Snapshot")</f>
        <v>Snapshot</v>
      </c>
      <c r="MH58" s="70" t="s">
        <v>1138</v>
      </c>
      <c r="MJ58" s="80" t="s">
        <v>837</v>
      </c>
      <c r="MK58" s="79">
        <v>1</v>
      </c>
      <c r="ML58" s="80" t="s">
        <v>159</v>
      </c>
      <c r="MM58" s="80" t="s">
        <v>159</v>
      </c>
      <c r="MP58" s="70" t="s">
        <v>807</v>
      </c>
      <c r="MV58" s="71" t="s">
        <v>808</v>
      </c>
      <c r="MX58" s="70" t="s">
        <v>58</v>
      </c>
      <c r="MY58" s="70" t="s">
        <v>96</v>
      </c>
      <c r="MZ58" s="70" t="s">
        <v>22</v>
      </c>
      <c r="NA58" s="71" t="s">
        <v>1341</v>
      </c>
      <c r="ND58" s="15" t="str">
        <f>HYPERLINK("C:\SVN\SALT ADMIN 525\Projects\SALT\Snapshots\GetBuyBackNumber_IN-MU-LT-J27201\201572\144430\Iterator_1\Merge.html","Result")</f>
        <v>Result</v>
      </c>
      <c r="NE58" s="70" t="s">
        <v>1058</v>
      </c>
    </row>
    <row r="59" spans="1:369" s="124" customFormat="1" ht="15" customHeight="1">
      <c r="A59" s="122"/>
      <c r="B59" s="123">
        <v>1</v>
      </c>
      <c r="C59" s="124" t="s">
        <v>841</v>
      </c>
      <c r="EW59" s="124" t="s">
        <v>1139</v>
      </c>
      <c r="EX59" s="126" t="s">
        <v>842</v>
      </c>
      <c r="HF59" s="127" t="s">
        <v>1140</v>
      </c>
      <c r="JF59" s="128"/>
      <c r="JM59" s="121"/>
      <c r="JN59" s="121"/>
      <c r="JW59" s="125">
        <v>42201.96292824074</v>
      </c>
      <c r="JX59" s="125">
        <v>42201.963414351849</v>
      </c>
      <c r="JY59" s="124" t="s">
        <v>1041</v>
      </c>
      <c r="KM59" s="124" t="s">
        <v>74</v>
      </c>
      <c r="KO59" s="126">
        <v>666</v>
      </c>
      <c r="LM59" s="130" t="str">
        <f>HYPERLINK("C:\SVN\SALT ADMIN 525\Projects\SALT\Snapshots\GetBuyBackNumberForMultiple_IN-MU-LT-J27201\201572\151933\Iterator_1\GetBuyBackNumberForMultiple1.xlsx","Snapshot")</f>
        <v>Snapshot</v>
      </c>
      <c r="MH59" s="124" t="s">
        <v>1141</v>
      </c>
      <c r="MJ59" s="129" t="s">
        <v>823</v>
      </c>
      <c r="MK59" s="128">
        <v>1</v>
      </c>
      <c r="ML59" s="129" t="s">
        <v>159</v>
      </c>
      <c r="MM59" s="129" t="s">
        <v>159</v>
      </c>
      <c r="MP59" s="124" t="s">
        <v>807</v>
      </c>
      <c r="MV59" s="126" t="s">
        <v>808</v>
      </c>
      <c r="MX59" s="124" t="s">
        <v>58</v>
      </c>
      <c r="MY59" s="124" t="s">
        <v>96</v>
      </c>
      <c r="MZ59" s="124" t="s">
        <v>22</v>
      </c>
      <c r="NA59" s="71" t="s">
        <v>1341</v>
      </c>
      <c r="ND59" s="130" t="str">
        <f>HYPERLINK("C:\SVN\SALT ADMIN 525\Projects\SALT\Snapshots\GetBuyBackNumberForMultiple_IN-MU-LT-J27201\201572\151933\Iterator_1\Merge.html","Result")</f>
        <v>Result</v>
      </c>
      <c r="NE59" s="124" t="s">
        <v>1058</v>
      </c>
    </row>
    <row r="60" spans="1:369" s="124" customFormat="1" ht="15" customHeight="1">
      <c r="A60" s="122"/>
      <c r="B60" s="123">
        <v>1</v>
      </c>
      <c r="C60" s="124" t="s">
        <v>846</v>
      </c>
      <c r="JM60" s="121"/>
      <c r="JN60" s="121"/>
      <c r="JW60" s="125">
        <v>42201.963425925926</v>
      </c>
      <c r="JX60" s="125">
        <v>42201.964189814818</v>
      </c>
      <c r="JY60" s="124" t="s">
        <v>1070</v>
      </c>
      <c r="KM60" s="124" t="s">
        <v>462</v>
      </c>
      <c r="KO60" s="126">
        <v>500</v>
      </c>
      <c r="LM60" s="130" t="str">
        <f>HYPERLINK("C:\SVN\SALT ADMIN 525\Projects\SALT\Snapshots\CancellBPayBankTransferPending_IN-MU-LT-J27201\201572\152027\Iterator_1\CancellBPayBankTransferPending1.xlsx","Snapshot")</f>
        <v>Snapshot</v>
      </c>
      <c r="MJ60" s="80" t="s">
        <v>1378</v>
      </c>
      <c r="MK60" s="124">
        <v>16</v>
      </c>
      <c r="ML60" s="124" t="s">
        <v>159</v>
      </c>
      <c r="MM60" s="124" t="s">
        <v>198</v>
      </c>
      <c r="MV60" s="124" t="s">
        <v>1142</v>
      </c>
      <c r="MX60" s="124" t="s">
        <v>58</v>
      </c>
      <c r="MY60" s="124" t="s">
        <v>96</v>
      </c>
      <c r="MZ60" s="124" t="s">
        <v>22</v>
      </c>
      <c r="NA60" s="71" t="s">
        <v>1341</v>
      </c>
      <c r="ND60" s="130" t="str">
        <f>HYPERLINK("C:\SVN\SALT ADMIN 525\Projects\SALT\Snapshots\CancellBPayBankTransferPending_IN-MU-LT-J27201\201572\152027\Iterator_1\Merge.html","Result")</f>
        <v>Result</v>
      </c>
      <c r="NE60" s="124" t="s">
        <v>1058</v>
      </c>
    </row>
    <row r="61" spans="1:369" ht="15" customHeight="1">
      <c r="B61" s="20">
        <v>1</v>
      </c>
      <c r="C61" s="21" t="s">
        <v>990</v>
      </c>
      <c r="F61" s="70"/>
      <c r="G61" s="70"/>
      <c r="EW61" s="70">
        <v>0.62549999999999994</v>
      </c>
      <c r="EX61" s="70">
        <v>-30</v>
      </c>
      <c r="EY61" s="70" t="s">
        <v>22</v>
      </c>
      <c r="GC61" s="70">
        <v>0.62549999999999994</v>
      </c>
      <c r="GD61" s="70">
        <v>0.65669999999999995</v>
      </c>
      <c r="GF61" s="70" t="s">
        <v>440</v>
      </c>
      <c r="GG61" s="70" t="s">
        <v>308</v>
      </c>
      <c r="GH61" s="70">
        <v>22</v>
      </c>
      <c r="GI61" s="70" t="s">
        <v>159</v>
      </c>
      <c r="GJ61" s="70" t="s">
        <v>198</v>
      </c>
      <c r="GK61" s="70" t="s">
        <v>1143</v>
      </c>
      <c r="GO61" s="70" t="s">
        <v>58</v>
      </c>
      <c r="GP61" s="70" t="s">
        <v>96</v>
      </c>
      <c r="IS61" s="70" t="s">
        <v>440</v>
      </c>
      <c r="JL61" s="71" t="s">
        <v>1095</v>
      </c>
      <c r="JM61" s="120" t="s">
        <v>1096</v>
      </c>
      <c r="JN61" s="120" t="s">
        <v>1096</v>
      </c>
      <c r="JO61" s="70">
        <v>25</v>
      </c>
      <c r="JP61" s="70" t="s">
        <v>1144</v>
      </c>
      <c r="JW61" s="16">
        <v>42201.964212962965</v>
      </c>
      <c r="JX61" s="16">
        <v>42201.964907407404</v>
      </c>
      <c r="JY61" s="70" t="s">
        <v>982</v>
      </c>
      <c r="KD61" s="70"/>
      <c r="KE61" s="70" t="s">
        <v>462</v>
      </c>
      <c r="LM61" s="15" t="str">
        <f>HYPERLINK("C:\SVN\SALT ADMIN 525\Projects\SALT\Snapshots\CancelAndRefundBapyFullPay_IN-MU-LT-J27201\201578\184611\Iterator_1\CancelAndRefundBapyFullPay1.xlsx","Snapshot")</f>
        <v>Snapshot</v>
      </c>
      <c r="MJ61" s="80" t="s">
        <v>1378</v>
      </c>
      <c r="MK61" s="79">
        <v>25</v>
      </c>
      <c r="ML61" s="80" t="s">
        <v>159</v>
      </c>
      <c r="MM61" s="49" t="s">
        <v>198</v>
      </c>
      <c r="MV61" s="70" t="s">
        <v>1145</v>
      </c>
      <c r="MX61" s="70" t="s">
        <v>58</v>
      </c>
      <c r="MY61" s="70" t="s">
        <v>96</v>
      </c>
      <c r="MZ61" s="70" t="s">
        <v>22</v>
      </c>
      <c r="NA61" s="71" t="s">
        <v>1341</v>
      </c>
      <c r="ND61" s="15" t="str">
        <f>HYPERLINK("C:\SVN\SALT ADMIN 525\Projects\SALT\Snapshots\CancelAndRefundBapyFullPay_IN-MU-LT-J27201\201578\184611\Iterator_1\Merge.html","Result")</f>
        <v>Result</v>
      </c>
      <c r="NE61" s="70" t="s">
        <v>1058</v>
      </c>
    </row>
    <row r="62" spans="1:369" ht="15" customHeight="1">
      <c r="B62" s="20">
        <v>1</v>
      </c>
      <c r="C62" s="23" t="s">
        <v>848</v>
      </c>
      <c r="GE62" s="71" t="s">
        <v>850</v>
      </c>
      <c r="GF62" s="70" t="s">
        <v>78</v>
      </c>
      <c r="GG62" s="70" t="s">
        <v>862</v>
      </c>
      <c r="GI62" s="70">
        <v>111111</v>
      </c>
      <c r="GJ62" s="70" t="s">
        <v>851</v>
      </c>
      <c r="GK62" s="70">
        <v>11</v>
      </c>
      <c r="GL62" s="70">
        <v>2016</v>
      </c>
      <c r="GM62" s="70" t="s">
        <v>851</v>
      </c>
      <c r="GN62" s="70">
        <v>11</v>
      </c>
      <c r="GO62" s="70">
        <v>1977</v>
      </c>
      <c r="GP62" s="70" t="s">
        <v>852</v>
      </c>
      <c r="JM62" s="121"/>
      <c r="JN62" s="121"/>
      <c r="JW62" s="16">
        <v>42201.965578703705</v>
      </c>
      <c r="JX62" s="16">
        <v>42201.967291666668</v>
      </c>
      <c r="JY62" s="70" t="s">
        <v>1146</v>
      </c>
      <c r="KD62" s="70"/>
      <c r="LM62" s="15" t="str">
        <f>HYPERLINK("C:\SVN\SALT ADMIN 525\Projects\SALT\Snapshots\ChangeOrderIDCompletedCallCentre_IN-MU-LT-J27201\201572\152337\Iterator_1\ChangeOrderIDCompletedCallCentre1.xlsx","Snapshot")</f>
        <v>Snapshot</v>
      </c>
      <c r="MJ62" s="80" t="s">
        <v>1378</v>
      </c>
      <c r="MK62" s="70">
        <v>6</v>
      </c>
      <c r="ML62" s="70" t="s">
        <v>159</v>
      </c>
      <c r="MM62" s="70" t="s">
        <v>198</v>
      </c>
      <c r="MV62" s="70" t="s">
        <v>1105</v>
      </c>
      <c r="MX62" s="70" t="s">
        <v>58</v>
      </c>
      <c r="MY62" s="70" t="s">
        <v>96</v>
      </c>
      <c r="MZ62" s="70" t="s">
        <v>22</v>
      </c>
      <c r="NA62" s="71" t="s">
        <v>1341</v>
      </c>
      <c r="ND62" s="15" t="str">
        <f>HYPERLINK("C:\SVN\SALT ADMIN 525\Projects\SALT\Snapshots\ChangeOrderIDCompletedCallCentre_IN-MU-LT-J27201\201572\152337\Iterator_1\Merge.html","Result")</f>
        <v>Result</v>
      </c>
      <c r="NE62" s="70" t="s">
        <v>1058</v>
      </c>
    </row>
    <row r="63" spans="1:369" ht="15" customHeight="1">
      <c r="B63" s="20">
        <v>1</v>
      </c>
      <c r="C63" s="23" t="s">
        <v>853</v>
      </c>
      <c r="JE63" s="70" t="s">
        <v>852</v>
      </c>
      <c r="JF63" s="71" t="s">
        <v>1147</v>
      </c>
      <c r="JM63" s="121"/>
      <c r="JN63" s="121"/>
      <c r="JW63" s="16">
        <v>42201.967303240737</v>
      </c>
      <c r="JX63" s="16">
        <v>42201.968310185184</v>
      </c>
      <c r="JY63" s="70" t="s">
        <v>1039</v>
      </c>
      <c r="KD63" s="70"/>
      <c r="LM63" s="15" t="str">
        <f>HYPERLINK("C:\SVN\SALT ADMIN 525\Projects\SALT\Snapshots\ChangePickUpLocationPackedOrder_IN-MU-LT-J27201\201572\152625\Iterator_1\ChangePickUpLocationPackedOrder1.xlsx","Snapshot")</f>
        <v>Snapshot</v>
      </c>
      <c r="MJ63" s="80" t="s">
        <v>1378</v>
      </c>
      <c r="MK63" s="70">
        <v>4</v>
      </c>
      <c r="ML63" s="70" t="s">
        <v>159</v>
      </c>
      <c r="MM63" s="70" t="s">
        <v>198</v>
      </c>
      <c r="MR63" s="70" t="s">
        <v>1099</v>
      </c>
      <c r="MV63" s="70" t="s">
        <v>1100</v>
      </c>
      <c r="MX63" s="70" t="s">
        <v>58</v>
      </c>
      <c r="MY63" s="70" t="s">
        <v>96</v>
      </c>
      <c r="MZ63" s="70" t="s">
        <v>22</v>
      </c>
      <c r="NA63" s="71" t="s">
        <v>1341</v>
      </c>
      <c r="ND63" s="15" t="str">
        <f>HYPERLINK("C:\SVN\SALT ADMIN 525\Projects\SALT\Snapshots\ChangePickUpLocationPackedOrder_IN-MU-LT-J27201\201572\152625\Iterator_1\Merge.html","Result")</f>
        <v>Result</v>
      </c>
      <c r="NE63" s="70" t="s">
        <v>1058</v>
      </c>
    </row>
    <row r="64" spans="1:369" ht="15" customHeight="1">
      <c r="B64" s="20">
        <v>1</v>
      </c>
      <c r="C64" s="21" t="s">
        <v>859</v>
      </c>
      <c r="GD64" s="71" t="s">
        <v>860</v>
      </c>
      <c r="GE64" s="70" t="s">
        <v>850</v>
      </c>
      <c r="GF64" s="70" t="s">
        <v>78</v>
      </c>
      <c r="GG64" s="70" t="s">
        <v>862</v>
      </c>
      <c r="GI64" s="70">
        <v>111111</v>
      </c>
      <c r="GJ64" s="70" t="s">
        <v>863</v>
      </c>
      <c r="GK64" s="70">
        <v>26</v>
      </c>
      <c r="GL64" s="70">
        <v>2020</v>
      </c>
      <c r="GM64" s="70" t="s">
        <v>863</v>
      </c>
      <c r="GN64" s="70">
        <v>26</v>
      </c>
      <c r="GO64" s="70">
        <v>1980</v>
      </c>
      <c r="GP64" s="70" t="s">
        <v>852</v>
      </c>
      <c r="JM64" s="121"/>
      <c r="JN64" s="121"/>
      <c r="JW64" s="16">
        <v>42201.968333333331</v>
      </c>
      <c r="JX64" s="16">
        <v>42201.969965277778</v>
      </c>
      <c r="JY64" s="70" t="s">
        <v>1132</v>
      </c>
      <c r="KD64" s="70"/>
      <c r="LM64" s="15" t="str">
        <f>HYPERLINK("C:\SVN\SALT ADMIN 525\Projects\SALT\Snapshots\SearchOrderThroughCallCentre_IN-MU-LT-J27201\201579\165913\Iterator_1\SearchOrderThroughCallCentre1.xlsx","Snapshot")</f>
        <v>Snapshot</v>
      </c>
      <c r="MJ64" s="80" t="s">
        <v>1378</v>
      </c>
      <c r="MK64" s="70">
        <v>17</v>
      </c>
      <c r="ML64" s="70" t="s">
        <v>159</v>
      </c>
      <c r="MM64" s="70" t="s">
        <v>198</v>
      </c>
      <c r="MV64" s="70" t="s">
        <v>1148</v>
      </c>
      <c r="MX64" s="70" t="s">
        <v>58</v>
      </c>
      <c r="MY64" s="70" t="s">
        <v>96</v>
      </c>
      <c r="MZ64" s="70" t="s">
        <v>22</v>
      </c>
      <c r="NA64" s="71" t="s">
        <v>1341</v>
      </c>
      <c r="ND64" s="15" t="str">
        <f>HYPERLINK("C:\SVN\SALT ADMIN 525\Projects\SALT\Snapshots\SearchOrderThroughCallCentre_IN-MU-LT-J27201\201579\165913\Iterator_1\Merge.html","Result")</f>
        <v>Result</v>
      </c>
      <c r="NE64" s="70" t="s">
        <v>1058</v>
      </c>
    </row>
    <row r="65" spans="2:369" ht="15" customHeight="1">
      <c r="B65" s="20">
        <v>1</v>
      </c>
      <c r="C65" s="21" t="s">
        <v>847</v>
      </c>
      <c r="JM65" s="121"/>
      <c r="JN65" s="121"/>
      <c r="JW65" s="16">
        <v>42202.824374999997</v>
      </c>
      <c r="JX65" s="16">
        <v>42202.826539351852</v>
      </c>
      <c r="JY65" s="70" t="s">
        <v>1042</v>
      </c>
      <c r="KD65" s="70"/>
      <c r="LM65" s="15" t="str">
        <f>HYPERLINK("C:\SVN\SALT ADMIN 525\Projects\SALT\Snapshots\PrintUnpackOrder_IN-MU-LT-J27201\201572\152234\Iterator_1\PrintUnpackOrder1.xlsx","Snapshot")</f>
        <v>Snapshot</v>
      </c>
      <c r="MR65" s="70" t="s">
        <v>1149</v>
      </c>
      <c r="MX65" s="70" t="s">
        <v>58</v>
      </c>
      <c r="MY65" s="70" t="s">
        <v>96</v>
      </c>
      <c r="MZ65" s="70" t="s">
        <v>22</v>
      </c>
      <c r="NA65" s="71" t="s">
        <v>1341</v>
      </c>
      <c r="ND65" s="15" t="str">
        <f>HYPERLINK("C:\SVN\SALT ADMIN 525\Projects\SALT\Snapshots\PrintUnpackOrder_IN-MU-LT-J27201\201572\152234\Iterator_1\Merge.html","Result")</f>
        <v>Result</v>
      </c>
      <c r="NE65" s="70" t="s">
        <v>1058</v>
      </c>
    </row>
    <row r="66" spans="2:369" ht="15" customHeight="1">
      <c r="B66" s="20">
        <v>1</v>
      </c>
      <c r="C66" s="21" t="s">
        <v>878</v>
      </c>
      <c r="JG66" s="83" t="s">
        <v>945</v>
      </c>
      <c r="JW66" s="16">
        <v>42201.969976851855</v>
      </c>
      <c r="JX66" s="16">
        <v>42201.97078703704</v>
      </c>
      <c r="JY66" s="70" t="s">
        <v>1073</v>
      </c>
      <c r="KD66" s="70"/>
      <c r="LM66" s="15" t="str">
        <f>HYPERLINK("C:\SVN\SALT ADMIN 525\Projects\SALT\Snapshots\StoreLeadTimeValidation_IN-MU-LT-J27201\201572\164258\Iterator_1\StoreLeadTimeValidation1.xlsx","Snapshot")</f>
        <v>Snapshot</v>
      </c>
      <c r="MR66" s="70" t="s">
        <v>1150</v>
      </c>
      <c r="MX66" s="70" t="s">
        <v>58</v>
      </c>
      <c r="MY66" s="70" t="s">
        <v>96</v>
      </c>
      <c r="MZ66" s="70" t="s">
        <v>22</v>
      </c>
      <c r="NA66" s="71" t="s">
        <v>1341</v>
      </c>
      <c r="ND66" s="15" t="str">
        <f>HYPERLINK("C:\SVN\SALT ADMIN 525\Projects\SALT\Snapshots\StoreLeadTimeValidation_IN-MU-LT-J27201\201572\164258\Iterator_1\Merge.html","Result")</f>
        <v>Result</v>
      </c>
      <c r="NE66" s="70" t="s">
        <v>1058</v>
      </c>
    </row>
    <row r="67" spans="2:369" ht="15" customHeight="1">
      <c r="B67" s="20">
        <v>2</v>
      </c>
      <c r="C67" s="21" t="s">
        <v>878</v>
      </c>
      <c r="JG67" s="83" t="s">
        <v>946</v>
      </c>
      <c r="JW67" s="16">
        <v>42201.97079861111</v>
      </c>
      <c r="JX67" s="16">
        <v>42201.971597222226</v>
      </c>
      <c r="JY67" s="70" t="s">
        <v>1047</v>
      </c>
      <c r="KD67" s="70"/>
      <c r="LM67" s="15" t="str">
        <f>HYPERLINK("C:\SVN\SALT ADMIN 525\Projects\SALT\Snapshots\StoreLeadTimeValidation_IN-MU-LT-J27201\201572\16341\Iterator_2\StoreLeadTimeValidation2.xlsx","Snapshot")</f>
        <v>Snapshot</v>
      </c>
      <c r="MR67" s="70" t="s">
        <v>1151</v>
      </c>
      <c r="MX67" s="70" t="s">
        <v>58</v>
      </c>
      <c r="MY67" s="70" t="s">
        <v>96</v>
      </c>
      <c r="MZ67" s="70" t="s">
        <v>22</v>
      </c>
      <c r="NA67" s="71" t="s">
        <v>1341</v>
      </c>
      <c r="ND67" s="15" t="str">
        <f>HYPERLINK("C:\SVN\SALT ADMIN 525\Projects\SALT\Snapshots\StoreLeadTimeValidation_IN-MU-LT-J27201\201572\16341\Iterator_2\Merge.html","Result")</f>
        <v>Result</v>
      </c>
      <c r="NE67" s="70" t="s">
        <v>1058</v>
      </c>
    </row>
    <row r="68" spans="2:369" ht="15" customHeight="1">
      <c r="B68" s="20">
        <v>3</v>
      </c>
      <c r="C68" s="21" t="s">
        <v>878</v>
      </c>
      <c r="JG68" s="83" t="s">
        <v>947</v>
      </c>
      <c r="JW68" s="16">
        <v>42201.971608796295</v>
      </c>
      <c r="JX68" s="16">
        <v>42201.972407407404</v>
      </c>
      <c r="JY68" s="70" t="s">
        <v>1047</v>
      </c>
      <c r="KD68" s="70"/>
      <c r="LM68" s="15" t="str">
        <f>HYPERLINK("C:\SVN\SALT ADMIN 525\Projects\SALT\Snapshots\StoreLeadTimeValidation_IN-MU-LT-J27201\201572\16361\Iterator_3\StoreLeadTimeValidation3.xlsx","Snapshot")</f>
        <v>Snapshot</v>
      </c>
      <c r="MR68" s="70" t="s">
        <v>1152</v>
      </c>
      <c r="MX68" s="70" t="s">
        <v>58</v>
      </c>
      <c r="MY68" s="70" t="s">
        <v>96</v>
      </c>
      <c r="MZ68" s="70" t="s">
        <v>22</v>
      </c>
      <c r="NA68" s="71" t="s">
        <v>1341</v>
      </c>
      <c r="ND68" s="15" t="str">
        <f>HYPERLINK("C:\SVN\SALT ADMIN 525\Projects\SALT\Snapshots\StoreLeadTimeValidation_IN-MU-LT-J27201\201572\16361\Iterator_3\Merge.html","Result")</f>
        <v>Result</v>
      </c>
      <c r="NE68" s="70" t="s">
        <v>1058</v>
      </c>
    </row>
    <row r="69" spans="2:369" ht="15" customHeight="1">
      <c r="B69" s="20">
        <v>4</v>
      </c>
      <c r="C69" s="21" t="s">
        <v>878</v>
      </c>
      <c r="JG69" s="83" t="s">
        <v>948</v>
      </c>
      <c r="JW69" s="16">
        <v>42201.972430555557</v>
      </c>
      <c r="JX69" s="16">
        <v>42201.973229166666</v>
      </c>
      <c r="JY69" s="70" t="s">
        <v>1047</v>
      </c>
      <c r="KD69" s="70"/>
      <c r="LM69" s="15" t="str">
        <f>HYPERLINK("C:\SVN\SALT ADMIN 525\Projects\SALT\Snapshots\StoreLeadTimeValidation_IN-MU-LT-J27201\201572\163729\Iterator_4\StoreLeadTimeValidation4.xlsx","Snapshot")</f>
        <v>Snapshot</v>
      </c>
      <c r="MR69" s="70" t="s">
        <v>1117</v>
      </c>
      <c r="MX69" s="70" t="s">
        <v>58</v>
      </c>
      <c r="MY69" s="70" t="s">
        <v>96</v>
      </c>
      <c r="MZ69" s="70" t="s">
        <v>22</v>
      </c>
      <c r="NA69" s="71" t="s">
        <v>1341</v>
      </c>
      <c r="ND69" s="15" t="str">
        <f>HYPERLINK("C:\SVN\SALT ADMIN 525\Projects\SALT\Snapshots\StoreLeadTimeValidation_IN-MU-LT-J27201\201572\163729\Iterator_4\Merge.html","Result")</f>
        <v>Result</v>
      </c>
      <c r="NE69" s="70" t="s">
        <v>1058</v>
      </c>
    </row>
    <row r="70" spans="2:369" ht="15" customHeight="1">
      <c r="B70" s="20">
        <v>1</v>
      </c>
      <c r="C70" s="21" t="s">
        <v>879</v>
      </c>
      <c r="JG70" s="70" t="s">
        <v>945</v>
      </c>
      <c r="JW70" s="16">
        <v>42201.973252314812</v>
      </c>
      <c r="JX70" s="16">
        <v>42201.97420138889</v>
      </c>
      <c r="JY70" s="70" t="s">
        <v>1153</v>
      </c>
      <c r="KD70" s="70"/>
      <c r="LM70" s="15" t="str">
        <f>HYPERLINK("C:\SVN\SALT ADMIN 525\Projects\SALT\Snapshots\EditStoreLeadTime_IN-MU-LT-J27201\201572\165446\Iterator_1\EditStoreLeadTime1.xlsx","Snapshot")</f>
        <v>Snapshot</v>
      </c>
      <c r="MR70" s="70" t="s">
        <v>1150</v>
      </c>
      <c r="MX70" s="14" t="s">
        <v>58</v>
      </c>
      <c r="MY70" s="14" t="s">
        <v>96</v>
      </c>
      <c r="MZ70" s="14" t="s">
        <v>22</v>
      </c>
      <c r="NA70" s="71" t="s">
        <v>1341</v>
      </c>
      <c r="ND70" s="15" t="str">
        <f>HYPERLINK("C:\SVN\SALT ADMIN 525\Projects\SALT\Snapshots\EditStoreLeadTime_IN-MU-LT-J27201\201572\165446\Iterator_1\Merge.html","Result")</f>
        <v>Result</v>
      </c>
      <c r="NE70" s="70" t="s">
        <v>1058</v>
      </c>
    </row>
    <row r="71" spans="2:369" ht="15" customHeight="1">
      <c r="B71" s="20">
        <v>2</v>
      </c>
      <c r="C71" s="23" t="s">
        <v>879</v>
      </c>
      <c r="JG71" s="72" t="s">
        <v>946</v>
      </c>
      <c r="JW71" s="16">
        <v>42201.974212962959</v>
      </c>
      <c r="JX71" s="16">
        <v>42201.975127314814</v>
      </c>
      <c r="JY71" s="70" t="s">
        <v>1154</v>
      </c>
      <c r="KD71" s="70"/>
      <c r="LM71" s="15" t="str">
        <f>HYPERLINK("C:\SVN\SALT ADMIN 525\Projects\SALT\Snapshots\EditStoreLeadTime_IN-MU-LT-J27201\201572\163835\Iterator_2\EditStoreLeadTime2.xlsx","Snapshot")</f>
        <v>Snapshot</v>
      </c>
      <c r="MR71" s="70" t="s">
        <v>1151</v>
      </c>
      <c r="MX71" s="14" t="s">
        <v>58</v>
      </c>
      <c r="MY71" s="14" t="s">
        <v>96</v>
      </c>
      <c r="MZ71" s="14" t="s">
        <v>22</v>
      </c>
      <c r="NA71" s="71" t="s">
        <v>1341</v>
      </c>
      <c r="ND71" s="15" t="str">
        <f>HYPERLINK("C:\SVN\SALT ADMIN 525\Projects\SALT\Snapshots\EditStoreLeadTime_IN-MU-LT-J27201\201572\163835\Iterator_2\Merge.html","Result")</f>
        <v>Result</v>
      </c>
      <c r="NE71" s="70" t="s">
        <v>1058</v>
      </c>
    </row>
    <row r="72" spans="2:369" ht="15" customHeight="1">
      <c r="B72" s="20">
        <v>3</v>
      </c>
      <c r="C72" s="23" t="s">
        <v>879</v>
      </c>
      <c r="JG72" s="70" t="s">
        <v>947</v>
      </c>
      <c r="JW72" s="16">
        <v>42201.97515046296</v>
      </c>
      <c r="JX72" s="16">
        <v>42201.976076388892</v>
      </c>
      <c r="JY72" s="70" t="s">
        <v>1046</v>
      </c>
      <c r="KD72" s="70"/>
      <c r="LM72" s="15" t="str">
        <f>HYPERLINK("C:\SVN\SALT ADMIN 525\Projects\SALT\Snapshots\EditStoreLeadTime_IN-MU-LT-J27201\201572\163934\Iterator_3\EditStoreLeadTime3.xlsx","Snapshot")</f>
        <v>Snapshot</v>
      </c>
      <c r="MR72" s="70" t="s">
        <v>1152</v>
      </c>
      <c r="MX72" s="14" t="s">
        <v>58</v>
      </c>
      <c r="MY72" s="14" t="s">
        <v>96</v>
      </c>
      <c r="MZ72" s="14" t="s">
        <v>22</v>
      </c>
      <c r="NA72" s="71" t="s">
        <v>1341</v>
      </c>
      <c r="ND72" s="15" t="str">
        <f>HYPERLINK("C:\SVN\SALT ADMIN 525\Projects\SALT\Snapshots\EditStoreLeadTime_IN-MU-LT-J27201\201572\163934\Iterator_3\Merge.html","Result")</f>
        <v>Result</v>
      </c>
      <c r="NE72" s="70" t="s">
        <v>1058</v>
      </c>
    </row>
    <row r="73" spans="2:369" ht="15" customHeight="1">
      <c r="B73" s="20">
        <v>4</v>
      </c>
      <c r="C73" s="23" t="s">
        <v>879</v>
      </c>
      <c r="JG73" s="70" t="s">
        <v>948</v>
      </c>
      <c r="JW73" s="16">
        <v>42201.976087962961</v>
      </c>
      <c r="JX73" s="16">
        <v>42201.977013888885</v>
      </c>
      <c r="JY73" s="70" t="s">
        <v>1046</v>
      </c>
      <c r="KD73" s="70"/>
      <c r="LM73" s="15" t="str">
        <f>HYPERLINK("C:\SVN\SALT ADMIN 525\Projects\SALT\Snapshots\EditStoreLeadTime_IN-MU-LT-J27201\201572\164034\Iterator_4\EditStoreLeadTime4.xlsx","Snapshot")</f>
        <v>Snapshot</v>
      </c>
      <c r="MR73" s="70" t="s">
        <v>1117</v>
      </c>
      <c r="MX73" s="14" t="s">
        <v>58</v>
      </c>
      <c r="MY73" s="14" t="s">
        <v>96</v>
      </c>
      <c r="MZ73" s="14" t="s">
        <v>22</v>
      </c>
      <c r="NA73" s="71" t="s">
        <v>1341</v>
      </c>
      <c r="ND73" s="15" t="str">
        <f>HYPERLINK("C:\SVN\SALT ADMIN 525\Projects\SALT\Snapshots\EditStoreLeadTime_IN-MU-LT-J27201\201572\164034\Iterator_4\Merge.html","Result")</f>
        <v>Result</v>
      </c>
      <c r="NE73" s="70" t="s">
        <v>1058</v>
      </c>
    </row>
    <row r="74" spans="2:369" ht="15" customHeight="1">
      <c r="B74" s="20">
        <v>1</v>
      </c>
      <c r="C74" s="21" t="s">
        <v>880</v>
      </c>
      <c r="FA74" s="70">
        <v>251</v>
      </c>
      <c r="FB74" s="70">
        <v>251</v>
      </c>
      <c r="FC74" s="70" t="s">
        <v>1115</v>
      </c>
      <c r="FD74" s="70" t="s">
        <v>1155</v>
      </c>
      <c r="FE74" s="70" t="s">
        <v>1156</v>
      </c>
      <c r="FG74" s="70" t="s">
        <v>447</v>
      </c>
      <c r="FH74" s="70" t="s">
        <v>462</v>
      </c>
      <c r="FI74" s="70">
        <v>4812</v>
      </c>
      <c r="FJ74" s="70">
        <v>49.050800000000002</v>
      </c>
      <c r="FK74" s="70">
        <v>-122.3125</v>
      </c>
      <c r="FL74" s="70" t="s">
        <v>1157</v>
      </c>
      <c r="FM74" s="70" t="b">
        <v>0</v>
      </c>
      <c r="FN74" s="70" t="s">
        <v>949</v>
      </c>
      <c r="FP74" s="30" t="s">
        <v>1158</v>
      </c>
      <c r="FQ74" s="71" t="s">
        <v>992</v>
      </c>
      <c r="FR74" s="71" t="s">
        <v>992</v>
      </c>
      <c r="FS74" s="71" t="s">
        <v>992</v>
      </c>
      <c r="FT74" s="70" t="b">
        <v>1</v>
      </c>
      <c r="FU74" s="70" t="b">
        <v>1</v>
      </c>
      <c r="FV74" s="70" t="s">
        <v>1159</v>
      </c>
      <c r="FW74" s="70" t="b">
        <v>1</v>
      </c>
      <c r="FZ74" s="70">
        <v>11</v>
      </c>
      <c r="GA74" s="70" t="s">
        <v>1054</v>
      </c>
      <c r="GB74" s="70" t="s">
        <v>1160</v>
      </c>
      <c r="JG74" s="70" t="s">
        <v>949</v>
      </c>
      <c r="JH74" s="70">
        <v>5851</v>
      </c>
      <c r="JW74" s="16">
        <v>42202.595682870371</v>
      </c>
      <c r="JX74" s="16">
        <v>42202.59920138889</v>
      </c>
      <c r="JY74" s="70" t="s">
        <v>1067</v>
      </c>
      <c r="KD74" s="70"/>
      <c r="LM74" s="15" t="str">
        <f>HYPERLINK("C:\SVN\SALT ADMIN 525\Projects\SALT\Snapshots\AddStoreValidateEditStoreLeadTime_IN-MU-LT-J27201\201573\215330\Iterator_1\AddStoreValidateEditStoreLeadTime1.xlsx","Snapshot")</f>
        <v>Snapshot</v>
      </c>
      <c r="MR74" s="71" t="s">
        <v>1161</v>
      </c>
      <c r="MX74" s="71" t="s">
        <v>58</v>
      </c>
      <c r="MY74" s="71" t="s">
        <v>96</v>
      </c>
      <c r="MZ74" s="70" t="s">
        <v>22</v>
      </c>
      <c r="NA74" s="71" t="s">
        <v>1341</v>
      </c>
      <c r="ND74" s="15" t="str">
        <f>HYPERLINK("C:\SVN\SALT ADMIN 525\Projects\SALT\Snapshots\AddStoreValidateEditStoreLeadTime_IN-MU-LT-J27201\201573\215330\Iterator_1\Merge.html","Result")</f>
        <v>Result</v>
      </c>
      <c r="NE74" s="70" t="s">
        <v>1058</v>
      </c>
    </row>
    <row r="75" spans="2:369" ht="15" customHeight="1">
      <c r="B75" s="20">
        <v>2</v>
      </c>
      <c r="C75" s="22" t="s">
        <v>880</v>
      </c>
      <c r="FA75" s="70">
        <v>251</v>
      </c>
      <c r="FB75" s="70">
        <v>251</v>
      </c>
      <c r="FC75" s="70" t="s">
        <v>1115</v>
      </c>
      <c r="FD75" s="70" t="s">
        <v>1155</v>
      </c>
      <c r="FE75" s="70" t="s">
        <v>1156</v>
      </c>
      <c r="FG75" s="70" t="s">
        <v>447</v>
      </c>
      <c r="FH75" s="70" t="s">
        <v>462</v>
      </c>
      <c r="FI75" s="70">
        <v>4812</v>
      </c>
      <c r="FJ75" s="70">
        <v>49.050800000000002</v>
      </c>
      <c r="FK75" s="70">
        <v>-122.3125</v>
      </c>
      <c r="FL75" s="70" t="s">
        <v>1157</v>
      </c>
      <c r="FM75" s="70" t="b">
        <v>0</v>
      </c>
      <c r="FN75" s="70" t="s">
        <v>950</v>
      </c>
      <c r="FP75" s="70" t="s">
        <v>1158</v>
      </c>
      <c r="FQ75" s="71" t="s">
        <v>992</v>
      </c>
      <c r="FR75" s="71" t="s">
        <v>992</v>
      </c>
      <c r="FS75" s="71" t="s">
        <v>992</v>
      </c>
      <c r="FT75" s="70" t="b">
        <v>1</v>
      </c>
      <c r="FU75" s="70" t="b">
        <v>1</v>
      </c>
      <c r="FV75" s="70" t="s">
        <v>1159</v>
      </c>
      <c r="FW75" s="70" t="b">
        <v>1</v>
      </c>
      <c r="FX75" s="70" t="s">
        <v>1163</v>
      </c>
      <c r="FY75" s="70" t="s">
        <v>951</v>
      </c>
      <c r="FZ75" s="70">
        <v>12</v>
      </c>
      <c r="GA75" s="70" t="s">
        <v>1054</v>
      </c>
      <c r="GB75" s="70" t="s">
        <v>1160</v>
      </c>
      <c r="JG75" s="70" t="s">
        <v>950</v>
      </c>
      <c r="JH75" s="70">
        <v>4474</v>
      </c>
      <c r="JW75" s="16">
        <v>42202.599351851852</v>
      </c>
      <c r="JX75" s="16">
        <v>42202.606006944443</v>
      </c>
      <c r="JY75" s="70" t="s">
        <v>1162</v>
      </c>
      <c r="KD75" s="70"/>
      <c r="LM75" s="30" t="str">
        <f>HYPERLINK("C:\SVN\SALT ADMIN 525\Projects\SALT\Snapshots\AddStoreValidateEditStoreLeadTime_IN-MU-LT-J27201\201573\22319\Iterator_2\AddStoreValidateEditStoreLeadTime2.xlsx","Snapshot")</f>
        <v>Snapshot</v>
      </c>
      <c r="MR75" s="70" t="s">
        <v>1164</v>
      </c>
      <c r="MX75" s="71" t="s">
        <v>58</v>
      </c>
      <c r="MY75" s="71" t="s">
        <v>96</v>
      </c>
      <c r="MZ75" s="70" t="s">
        <v>22</v>
      </c>
      <c r="NA75" s="71" t="s">
        <v>1341</v>
      </c>
      <c r="ND75" s="30" t="str">
        <f>HYPERLINK("C:\SVN\SALT ADMIN 525\Projects\SALT\Snapshots\AddStoreValidateEditStoreLeadTime_IN-MU-LT-J27201\201573\22319\Iterator_2\Merge.html","Result")</f>
        <v>Result</v>
      </c>
      <c r="NE75" s="70" t="s">
        <v>1058</v>
      </c>
    </row>
    <row r="76" spans="2:369" ht="15" customHeight="1">
      <c r="B76" s="20">
        <v>3</v>
      </c>
      <c r="C76" s="22" t="s">
        <v>880</v>
      </c>
      <c r="FA76" s="70">
        <v>251</v>
      </c>
      <c r="FB76" s="70">
        <v>251</v>
      </c>
      <c r="FC76" s="70" t="s">
        <v>1115</v>
      </c>
      <c r="FD76" s="70" t="s">
        <v>1155</v>
      </c>
      <c r="FE76" s="70" t="s">
        <v>1156</v>
      </c>
      <c r="FG76" s="70" t="s">
        <v>447</v>
      </c>
      <c r="FH76" s="70" t="s">
        <v>462</v>
      </c>
      <c r="FI76" s="70">
        <v>4812</v>
      </c>
      <c r="FJ76" s="70">
        <v>49.050800000000002</v>
      </c>
      <c r="FK76" s="70">
        <v>-122.3125</v>
      </c>
      <c r="FL76" s="70" t="s">
        <v>1157</v>
      </c>
      <c r="FM76" s="70" t="b">
        <v>0</v>
      </c>
      <c r="FN76" s="70" t="s">
        <v>952</v>
      </c>
      <c r="FP76" s="70" t="s">
        <v>1158</v>
      </c>
      <c r="FQ76" s="71" t="s">
        <v>992</v>
      </c>
      <c r="FR76" s="71" t="s">
        <v>992</v>
      </c>
      <c r="FS76" s="71" t="s">
        <v>992</v>
      </c>
      <c r="FT76" s="70" t="b">
        <v>1</v>
      </c>
      <c r="FU76" s="70" t="b">
        <v>1</v>
      </c>
      <c r="FV76" s="70" t="s">
        <v>1159</v>
      </c>
      <c r="FW76" s="70" t="b">
        <v>1</v>
      </c>
      <c r="FZ76" s="70">
        <v>13</v>
      </c>
      <c r="GA76" s="70" t="s">
        <v>1054</v>
      </c>
      <c r="GB76" s="70" t="s">
        <v>1160</v>
      </c>
      <c r="JG76" s="70" t="s">
        <v>952</v>
      </c>
      <c r="JH76" s="70">
        <v>3503</v>
      </c>
      <c r="JW76" s="16">
        <v>42202.60601851852</v>
      </c>
      <c r="JX76" s="16">
        <v>42202.609155092592</v>
      </c>
      <c r="JY76" s="70" t="s">
        <v>1106</v>
      </c>
      <c r="KD76" s="70"/>
      <c r="LM76" s="30" t="str">
        <f>HYPERLINK("C:\SVN\SALT ADMIN 525\Projects\SALT\Snapshots\AddStoreValidateEditStoreLeadTime_IN-MU-LT-J27201\201573\22719\Iterator_3\AddStoreValidateEditStoreLeadTime3.xlsx","Snapshot")</f>
        <v>Snapshot</v>
      </c>
      <c r="MR76" s="70" t="s">
        <v>1165</v>
      </c>
      <c r="MX76" s="71" t="s">
        <v>58</v>
      </c>
      <c r="MY76" s="71" t="s">
        <v>96</v>
      </c>
      <c r="MZ76" s="70" t="s">
        <v>22</v>
      </c>
      <c r="NA76" s="71" t="s">
        <v>1341</v>
      </c>
      <c r="ND76" s="30" t="str">
        <f>HYPERLINK("C:\SVN\SALT ADMIN 525\Projects\SALT\Snapshots\AddStoreValidateEditStoreLeadTime_IN-MU-LT-J27201\201573\22719\Iterator_3\Merge.html","Result")</f>
        <v>Result</v>
      </c>
      <c r="NE76" s="70" t="s">
        <v>1058</v>
      </c>
    </row>
    <row r="77" spans="2:369" ht="15" customHeight="1">
      <c r="B77" s="20">
        <v>4</v>
      </c>
      <c r="C77" s="22" t="s">
        <v>880</v>
      </c>
      <c r="FA77" s="70">
        <v>251</v>
      </c>
      <c r="FB77" s="70">
        <v>251</v>
      </c>
      <c r="FC77" s="70" t="s">
        <v>1115</v>
      </c>
      <c r="FD77" s="70" t="s">
        <v>1155</v>
      </c>
      <c r="FE77" s="70" t="s">
        <v>1156</v>
      </c>
      <c r="FG77" s="70" t="s">
        <v>447</v>
      </c>
      <c r="FH77" s="70" t="s">
        <v>462</v>
      </c>
      <c r="FI77" s="70">
        <v>4812</v>
      </c>
      <c r="FJ77" s="70">
        <v>49.050800000000002</v>
      </c>
      <c r="FK77" s="70">
        <v>-122.3125</v>
      </c>
      <c r="FL77" s="70" t="s">
        <v>1157</v>
      </c>
      <c r="FM77" s="70" t="b">
        <v>0</v>
      </c>
      <c r="FN77" s="70" t="s">
        <v>953</v>
      </c>
      <c r="FP77" s="70" t="s">
        <v>1158</v>
      </c>
      <c r="FQ77" s="71" t="s">
        <v>992</v>
      </c>
      <c r="FR77" s="71" t="s">
        <v>992</v>
      </c>
      <c r="FS77" s="71" t="s">
        <v>992</v>
      </c>
      <c r="FT77" s="70" t="b">
        <v>1</v>
      </c>
      <c r="FU77" s="70" t="b">
        <v>1</v>
      </c>
      <c r="FV77" s="70" t="s">
        <v>1159</v>
      </c>
      <c r="FW77" s="70" t="b">
        <v>1</v>
      </c>
      <c r="FZ77" s="70">
        <v>13</v>
      </c>
      <c r="GA77" s="70" t="s">
        <v>1054</v>
      </c>
      <c r="GB77" s="70" t="s">
        <v>1160</v>
      </c>
      <c r="JG77" s="70" t="s">
        <v>953</v>
      </c>
      <c r="JH77" s="70">
        <v>2247</v>
      </c>
      <c r="JW77" s="16">
        <v>42202.609178240738</v>
      </c>
      <c r="JX77" s="16">
        <v>42202.612291666665</v>
      </c>
      <c r="JY77" s="70" t="s">
        <v>1166</v>
      </c>
      <c r="KD77" s="70"/>
      <c r="LM77" s="30" t="str">
        <f>HYPERLINK("C:\SVN\SALT ADMIN 525\Projects\SALT\Snapshots\AddStoreValidateEditStoreLeadTime_IN-MU-LT-J27201\201573\221115\Iterator_4\AddStoreValidateEditStoreLeadTime4.xlsx","Snapshot")</f>
        <v>Snapshot</v>
      </c>
      <c r="MR77" s="70" t="s">
        <v>1167</v>
      </c>
      <c r="MX77" s="71" t="s">
        <v>58</v>
      </c>
      <c r="MY77" s="71" t="s">
        <v>96</v>
      </c>
      <c r="MZ77" s="70" t="s">
        <v>22</v>
      </c>
      <c r="NA77" s="71" t="s">
        <v>1341</v>
      </c>
      <c r="ND77" s="30" t="str">
        <f>HYPERLINK("C:\SVN\SALT ADMIN 525\Projects\SALT\Snapshots\AddStoreValidateEditStoreLeadTime_IN-MU-LT-J27201\201573\221115\Iterator_4\Merge.html","Result")</f>
        <v>Result</v>
      </c>
      <c r="NE77" s="70" t="s">
        <v>1058</v>
      </c>
    </row>
    <row r="78" spans="2:369" ht="15" customHeight="1">
      <c r="B78" s="20">
        <v>1</v>
      </c>
      <c r="C78" s="25" t="s">
        <v>480</v>
      </c>
      <c r="EN78" s="72">
        <v>23456723</v>
      </c>
      <c r="HT78" s="72" t="s">
        <v>464</v>
      </c>
      <c r="JM78" s="121"/>
      <c r="JN78" s="121"/>
      <c r="JQ78" s="18" t="s">
        <v>462</v>
      </c>
      <c r="JR78" s="70" t="s">
        <v>484</v>
      </c>
      <c r="JS78" s="70" t="s">
        <v>1068</v>
      </c>
      <c r="JT78" s="30" t="s">
        <v>1225</v>
      </c>
      <c r="JU78" s="27">
        <v>356.05</v>
      </c>
      <c r="JV78" s="71" t="s">
        <v>493</v>
      </c>
      <c r="JW78" s="16">
        <v>42201.901504629626</v>
      </c>
      <c r="JX78" s="16">
        <v>42201.901562500003</v>
      </c>
      <c r="JY78" s="70" t="s">
        <v>844</v>
      </c>
      <c r="KD78" s="70"/>
      <c r="KM78" s="70" t="s">
        <v>1206</v>
      </c>
      <c r="KO78" s="91">
        <v>400</v>
      </c>
      <c r="KR78" s="140" t="s">
        <v>473</v>
      </c>
      <c r="KX78" s="146" t="s">
        <v>438</v>
      </c>
      <c r="KY78" s="70" t="s">
        <v>439</v>
      </c>
      <c r="LM78" s="15" t="str">
        <f>HYPERLINK("C:\SVN\SALT ADMIN 525\Projects\SALT\Snapshots\BPAYbillpayBankTransferPaymentFull_IN-MU-LT-J27201\201571\223258\Iterator_1\BPAYbillpayBankTransferPaymentFull1.xlsx","Snapshot")</f>
        <v>Snapshot</v>
      </c>
      <c r="MJ78" s="70" t="s">
        <v>308</v>
      </c>
      <c r="MK78" s="70">
        <v>11</v>
      </c>
      <c r="ML78" s="70" t="s">
        <v>489</v>
      </c>
      <c r="MM78" s="70" t="s">
        <v>490</v>
      </c>
      <c r="MV78" s="70" t="s">
        <v>1124</v>
      </c>
      <c r="ND78" s="15" t="str">
        <f>HYPERLINK("C:\SVN\SALT ADMIN 525\Projects\SALT\Snapshots\BPAYbillpayBankTransferPaymentFull_IN-MU-LT-J27201\201571\223258\Iterator_1\Merge.html","Result")</f>
        <v>Result</v>
      </c>
      <c r="NE78" s="70" t="s">
        <v>1058</v>
      </c>
    </row>
    <row r="79" spans="2:369" ht="15" customHeight="1">
      <c r="B79" s="20">
        <v>2</v>
      </c>
      <c r="C79" s="25" t="s">
        <v>480</v>
      </c>
      <c r="JM79" s="121"/>
      <c r="JN79" s="121"/>
      <c r="JQ79" s="18" t="s">
        <v>462</v>
      </c>
      <c r="JR79" s="70" t="s">
        <v>484</v>
      </c>
      <c r="JS79" s="70" t="s">
        <v>1068</v>
      </c>
      <c r="JT79" s="30" t="s">
        <v>1225</v>
      </c>
      <c r="JU79" s="70">
        <v>625.54</v>
      </c>
      <c r="JV79" s="71" t="s">
        <v>493</v>
      </c>
      <c r="JW79" s="16">
        <v>42201.901574074072</v>
      </c>
      <c r="JX79" s="16">
        <v>42201.901608796295</v>
      </c>
      <c r="JY79" s="70" t="s">
        <v>1226</v>
      </c>
      <c r="KD79" s="70"/>
      <c r="KR79" s="70" t="s">
        <v>472</v>
      </c>
      <c r="LM79" s="15" t="str">
        <f>HYPERLINK("C:\SVN\SALT ADMIN 525\Projects\SALT\Snapshots\BPAYbillpayBankTransferPaymentFull_IN-MU-LT-J27201\201571\22334\Iterator_2\BPAYbillpayBankTransferPaymentFull2.xlsx","Snapshot")</f>
        <v>Snapshot</v>
      </c>
      <c r="MJ79" s="70" t="s">
        <v>308</v>
      </c>
      <c r="MK79" s="70">
        <v>15</v>
      </c>
      <c r="ML79" s="70" t="s">
        <v>489</v>
      </c>
      <c r="MM79" s="70" t="s">
        <v>490</v>
      </c>
      <c r="MV79" s="70" t="s">
        <v>1218</v>
      </c>
      <c r="ND79" s="15" t="str">
        <f>HYPERLINK("C:\SVN\SALT ADMIN 525\Projects\SALT\Snapshots\BPAYbillpayBankTransferPaymentFull_IN-MU-LT-J27201\201571\22334\Iterator_2\Merge.html","Result")</f>
        <v>Result</v>
      </c>
      <c r="NE79" s="70" t="s">
        <v>1058</v>
      </c>
    </row>
    <row r="80" spans="2:369" ht="15" customHeight="1">
      <c r="B80" s="20">
        <v>3</v>
      </c>
      <c r="C80" s="25" t="s">
        <v>480</v>
      </c>
      <c r="H80" s="70" t="s">
        <v>308</v>
      </c>
      <c r="JM80" s="121"/>
      <c r="JN80" s="121"/>
      <c r="JQ80" s="18" t="s">
        <v>462</v>
      </c>
      <c r="JR80" s="70" t="s">
        <v>484</v>
      </c>
      <c r="JS80" s="70" t="s">
        <v>1068</v>
      </c>
      <c r="JT80" s="30" t="s">
        <v>1225</v>
      </c>
      <c r="JU80" s="70">
        <v>411.23</v>
      </c>
      <c r="JV80" s="71" t="s">
        <v>493</v>
      </c>
      <c r="JW80" s="16">
        <v>42201.901620370372</v>
      </c>
      <c r="JX80" s="16">
        <v>42201.901655092595</v>
      </c>
      <c r="JY80" s="70" t="s">
        <v>1226</v>
      </c>
      <c r="KD80" s="70"/>
      <c r="KR80" s="70" t="s">
        <v>473</v>
      </c>
      <c r="LM80" s="15" t="str">
        <f>HYPERLINK("C:\SVN\SALT ADMIN 525\Projects\SALT\Snapshots\BPAYbillpayBankTransferPaymentFull_IN-MU-LT-J27201\201571\22339\Iterator_3\BPAYbillpayBankTransferPaymentFull3.xlsx","Snapshot")</f>
        <v>Snapshot</v>
      </c>
      <c r="MJ80" s="70" t="s">
        <v>308</v>
      </c>
      <c r="MK80" s="70">
        <v>20</v>
      </c>
      <c r="ML80" s="70" t="s">
        <v>489</v>
      </c>
      <c r="MM80" s="70" t="s">
        <v>490</v>
      </c>
      <c r="MV80" s="70" t="s">
        <v>1221</v>
      </c>
      <c r="ND80" s="15" t="str">
        <f>HYPERLINK("C:\SVN\SALT ADMIN 525\Projects\SALT\Snapshots\BPAYbillpayBankTransferPaymentFull_IN-MU-LT-J27201\201571\22339\Iterator_3\Merge.html","Result")</f>
        <v>Result</v>
      </c>
      <c r="NE80" s="79" t="s">
        <v>1058</v>
      </c>
    </row>
    <row r="81" spans="2:369" ht="15" customHeight="1">
      <c r="B81" s="20">
        <v>4</v>
      </c>
      <c r="C81" s="25" t="s">
        <v>480</v>
      </c>
      <c r="H81" s="70" t="s">
        <v>308</v>
      </c>
      <c r="JM81" s="121"/>
      <c r="JN81" s="121"/>
      <c r="JQ81" s="18" t="s">
        <v>462</v>
      </c>
      <c r="JR81" s="70" t="s">
        <v>484</v>
      </c>
      <c r="JS81" s="70" t="s">
        <v>1068</v>
      </c>
      <c r="JT81" s="30" t="s">
        <v>1225</v>
      </c>
      <c r="JU81" s="70">
        <v>356.05</v>
      </c>
      <c r="JV81" s="71" t="s">
        <v>493</v>
      </c>
      <c r="JW81" s="16">
        <v>42201.901678240742</v>
      </c>
      <c r="JX81" s="16">
        <v>42201.901712962965</v>
      </c>
      <c r="JY81" s="70" t="s">
        <v>1226</v>
      </c>
      <c r="KD81" s="70"/>
      <c r="KR81" s="70" t="s">
        <v>473</v>
      </c>
      <c r="LM81" s="15" t="str">
        <f>HYPERLINK("C:\SVN\SALT ADMIN 525\Projects\SALT\Snapshots\BPAYbillpayBankTransferPaymentFull_IN-MU-LT-J27201\201578\183316\Iterator_4\BPAYbillpayBankTransferPaymentFull4.xlsx","Snapshot")</f>
        <v>Snapshot</v>
      </c>
      <c r="MJ81" s="70" t="s">
        <v>308</v>
      </c>
      <c r="MK81" s="70">
        <v>25</v>
      </c>
      <c r="ML81" s="70" t="s">
        <v>489</v>
      </c>
      <c r="MM81" s="70" t="s">
        <v>490</v>
      </c>
      <c r="MV81" s="70" t="s">
        <v>1145</v>
      </c>
      <c r="ND81" s="15" t="str">
        <f>HYPERLINK("C:\SVN\SALT ADMIN 525\Projects\SALT\Snapshots\BPAYbillpayBankTransferPaymentFull_IN-MU-LT-J27201\201578\183316\Iterator_4\Merge.html","Result")</f>
        <v>Result</v>
      </c>
      <c r="NE81" s="79" t="s">
        <v>1058</v>
      </c>
    </row>
    <row r="82" spans="2:369" ht="15" customHeight="1">
      <c r="B82" s="20">
        <v>1</v>
      </c>
      <c r="C82" s="25" t="s">
        <v>481</v>
      </c>
      <c r="JM82" s="121"/>
      <c r="JN82" s="121"/>
      <c r="JQ82" s="70" t="s">
        <v>462</v>
      </c>
      <c r="JR82" s="70" t="s">
        <v>484</v>
      </c>
      <c r="JS82" s="70" t="s">
        <v>1068</v>
      </c>
      <c r="JT82" s="30" t="s">
        <v>1225</v>
      </c>
      <c r="JU82" s="70">
        <v>411.23</v>
      </c>
      <c r="JV82" s="70" t="s">
        <v>494</v>
      </c>
      <c r="JW82" s="16">
        <v>42201.901724537034</v>
      </c>
      <c r="JX82" s="16">
        <v>42201.901770833334</v>
      </c>
      <c r="JY82" s="70" t="s">
        <v>979</v>
      </c>
      <c r="KD82" s="70"/>
      <c r="KM82" s="70" t="s">
        <v>1137</v>
      </c>
      <c r="KO82" s="71">
        <v>500</v>
      </c>
      <c r="KR82" s="140" t="s">
        <v>473</v>
      </c>
      <c r="KX82" s="146" t="s">
        <v>438</v>
      </c>
      <c r="KY82" s="70" t="s">
        <v>439</v>
      </c>
      <c r="LM82" s="15" t="str">
        <f>HYPERLINK("C:\SVN\SALT ADMIN 525\Projects\SALT\Snapshots\BPAYbillpayBankTransferPaymentPartial_IN-MU-LT-J27201\201571\223320\Iterator_1\BPAYbillpayBankTransferPaymentPartial1.xlsx","Snapshot")</f>
        <v>Snapshot</v>
      </c>
      <c r="MJ82" s="70" t="s">
        <v>308</v>
      </c>
      <c r="MK82" s="70">
        <v>12</v>
      </c>
      <c r="ML82" s="70" t="s">
        <v>489</v>
      </c>
      <c r="MM82" s="70" t="s">
        <v>490</v>
      </c>
      <c r="MV82" s="70" t="s">
        <v>1126</v>
      </c>
      <c r="ND82" s="15" t="str">
        <f>HYPERLINK("C:\SVN\SALT ADMIN 525\Projects\SALT\Snapshots\BPAYbillpayBankTransferPaymentPartial_IN-MU-LT-J27201\201571\223320\Iterator_1\Merge.html","Result")</f>
        <v>Result</v>
      </c>
      <c r="NE82" s="71" t="s">
        <v>1058</v>
      </c>
    </row>
    <row r="83" spans="2:369" ht="15" customHeight="1">
      <c r="B83" s="20">
        <v>1</v>
      </c>
      <c r="C83" s="25" t="s">
        <v>482</v>
      </c>
      <c r="JM83" s="121"/>
      <c r="JN83" s="121"/>
      <c r="JQ83" s="70" t="s">
        <v>462</v>
      </c>
      <c r="JR83" s="70" t="s">
        <v>484</v>
      </c>
      <c r="JS83" s="70" t="s">
        <v>1068</v>
      </c>
      <c r="JT83" s="24" t="s">
        <v>1225</v>
      </c>
      <c r="JU83" s="70">
        <v>394.32</v>
      </c>
      <c r="JV83" s="71" t="s">
        <v>495</v>
      </c>
      <c r="JW83" s="16">
        <v>42201.901886574073</v>
      </c>
      <c r="JX83" s="16">
        <v>42201.901909722219</v>
      </c>
      <c r="JY83" s="70" t="s">
        <v>1033</v>
      </c>
      <c r="KD83" s="70"/>
      <c r="KM83" s="70" t="s">
        <v>1029</v>
      </c>
      <c r="KO83" s="71">
        <v>600</v>
      </c>
      <c r="KR83" s="140" t="s">
        <v>1227</v>
      </c>
      <c r="KX83" s="146" t="s">
        <v>438</v>
      </c>
      <c r="KY83" s="70" t="s">
        <v>439</v>
      </c>
      <c r="LM83" s="15" t="str">
        <f>HYPERLINK("C:\SVN\SALT ADMIN 525\Projects\SALT\Snapshots\BPAYbillpayBankTransferPaymentHigher_IN-MU-LT-J27201\201571\223326\Iterator_1\BPAYbillpayBankTransferPaymentHigher1.xlsx","Snapshot")</f>
        <v>Snapshot</v>
      </c>
      <c r="MJ83" s="70" t="s">
        <v>308</v>
      </c>
      <c r="MK83" s="70">
        <v>13</v>
      </c>
      <c r="ML83" s="70" t="s">
        <v>489</v>
      </c>
      <c r="MM83" s="70" t="s">
        <v>490</v>
      </c>
      <c r="MV83" s="70" t="s">
        <v>1127</v>
      </c>
      <c r="ND83" s="15" t="str">
        <f>HYPERLINK("C:\SVN\SALT ADMIN 525\Projects\SALT\Snapshots\BPAYbillpayBankTransferPaymentHigher_IN-MU-LT-J27201\201571\223326\Iterator_1\Merge.html","Result")</f>
        <v>Result</v>
      </c>
      <c r="NE83" s="70" t="s">
        <v>1058</v>
      </c>
    </row>
    <row r="84" spans="2:369" ht="15" customHeight="1">
      <c r="B84" s="20">
        <v>1</v>
      </c>
      <c r="C84" s="25" t="s">
        <v>843</v>
      </c>
      <c r="F84" s="70"/>
      <c r="G84" s="70"/>
      <c r="JM84" s="121"/>
      <c r="JN84" s="121"/>
      <c r="JQ84" s="70" t="s">
        <v>462</v>
      </c>
      <c r="JR84" s="70" t="s">
        <v>484</v>
      </c>
      <c r="JS84" s="70" t="s">
        <v>1068</v>
      </c>
      <c r="JT84" s="71" t="s">
        <v>1225</v>
      </c>
      <c r="JU84" s="70">
        <v>940</v>
      </c>
      <c r="JV84" s="70" t="s">
        <v>494</v>
      </c>
      <c r="JW84" s="16">
        <v>42201.901979166665</v>
      </c>
      <c r="JX84" s="16">
        <v>42201.902025462965</v>
      </c>
      <c r="JY84" s="70" t="s">
        <v>979</v>
      </c>
      <c r="KD84" s="70"/>
      <c r="KM84" s="70" t="s">
        <v>1137</v>
      </c>
      <c r="KO84" s="71">
        <v>700</v>
      </c>
      <c r="KR84" s="70" t="s">
        <v>473</v>
      </c>
      <c r="LM84" s="15" t="str">
        <f>HYPERLINK("C:\SVN\SALT ADMIN 525\Projects\SALT\Snapshots\BPAYbillpayBankTransferPaymentIgnore_IN-MU-LT-J27201\201577\175645\Iterator_1\BPAYbillpayBankTransferPaymentIgnore1.xlsx","Snapshot")</f>
        <v>Snapshot</v>
      </c>
      <c r="MJ84" s="70" t="s">
        <v>308</v>
      </c>
      <c r="MK84" s="70">
        <v>14</v>
      </c>
      <c r="ML84" s="70" t="s">
        <v>489</v>
      </c>
      <c r="MM84" s="70" t="s">
        <v>490</v>
      </c>
      <c r="MV84" s="70" t="s">
        <v>1128</v>
      </c>
      <c r="ND84" s="15" t="str">
        <f>HYPERLINK("C:\SVN\SALT ADMIN 525\Projects\SALT\Snapshots\BPAYbillpayBankTransferPaymentIgnore_IN-MU-LT-J27201\201577\175645\Iterator_1\Merge.html","Result")</f>
        <v>Result</v>
      </c>
      <c r="NE84" s="70" t="s">
        <v>1058</v>
      </c>
    </row>
    <row r="85" spans="2:369" ht="15" customHeight="1">
      <c r="B85" s="20">
        <v>1</v>
      </c>
      <c r="C85" s="25" t="s">
        <v>1078</v>
      </c>
      <c r="D85" s="70" t="s">
        <v>1411</v>
      </c>
      <c r="E85" s="70" t="s">
        <v>1340</v>
      </c>
      <c r="F85" s="70" t="s">
        <v>1412</v>
      </c>
      <c r="G85" s="70"/>
      <c r="HT85" s="72" t="s">
        <v>464</v>
      </c>
      <c r="JM85" s="121"/>
      <c r="JN85" s="121"/>
      <c r="JQ85" s="18" t="s">
        <v>462</v>
      </c>
      <c r="JR85" s="70" t="s">
        <v>809</v>
      </c>
      <c r="JS85" s="71" t="s">
        <v>1068</v>
      </c>
      <c r="JT85" s="30" t="s">
        <v>1228</v>
      </c>
      <c r="JU85" s="27">
        <v>356.05</v>
      </c>
      <c r="JV85" s="71" t="s">
        <v>493</v>
      </c>
      <c r="JW85" s="16">
        <v>42186.940011574072</v>
      </c>
      <c r="JX85" s="16">
        <v>42186.940046296295</v>
      </c>
      <c r="JY85" s="70" t="s">
        <v>1226</v>
      </c>
      <c r="KD85" s="70"/>
      <c r="KM85" s="70" t="s">
        <v>74</v>
      </c>
      <c r="KO85" s="71">
        <v>666</v>
      </c>
      <c r="KR85" s="70" t="s">
        <v>472</v>
      </c>
      <c r="LM85" s="15" t="str">
        <f>HYPERLINK("C:\SVN\SALT ADMIN 525\Projects\SALT\Snapshots\BankTransferTestingPaymentFull_IN-MU-LT-J27201\201571\223337\Iterator_1\BankTransferTestingPaymentFull1.xlsx","Snapshot")</f>
        <v>Snapshot</v>
      </c>
      <c r="MJ85" s="70" t="s">
        <v>308</v>
      </c>
      <c r="MK85" s="70">
        <v>19</v>
      </c>
      <c r="ML85" s="70" t="s">
        <v>489</v>
      </c>
      <c r="MM85" s="70" t="s">
        <v>490</v>
      </c>
      <c r="MV85" s="70" t="s">
        <v>1129</v>
      </c>
      <c r="ND85" s="15" t="str">
        <f>HYPERLINK("C:\SVN\SALT ADMIN 525\Projects\SALT\Snapshots\BankTransferTestingPaymentFull_IN-MU-LT-J27201\201571\223337\Iterator_1\Merge.html","Result")</f>
        <v>Result</v>
      </c>
      <c r="NE85" s="70" t="s">
        <v>1058</v>
      </c>
    </row>
    <row r="86" spans="2:369" ht="15" customHeight="1">
      <c r="B86" s="20">
        <v>1</v>
      </c>
      <c r="C86" s="25" t="s">
        <v>1229</v>
      </c>
      <c r="F86" s="70"/>
      <c r="G86" s="70"/>
      <c r="JM86" s="121"/>
      <c r="JN86" s="121"/>
      <c r="JQ86" s="70" t="s">
        <v>462</v>
      </c>
      <c r="JR86" s="70" t="s">
        <v>484</v>
      </c>
      <c r="JS86" s="70" t="s">
        <v>1068</v>
      </c>
      <c r="JT86" s="30" t="s">
        <v>1228</v>
      </c>
      <c r="JU86" s="70">
        <v>411.23</v>
      </c>
      <c r="JV86" s="70" t="s">
        <v>494</v>
      </c>
      <c r="JW86" s="16">
        <v>42186.940057870372</v>
      </c>
      <c r="JX86" s="16">
        <v>42186.940104166664</v>
      </c>
      <c r="JY86" s="70" t="s">
        <v>979</v>
      </c>
      <c r="KD86" s="70"/>
      <c r="KM86" s="70" t="s">
        <v>462</v>
      </c>
      <c r="KO86" s="71">
        <v>500</v>
      </c>
      <c r="KR86" s="70" t="s">
        <v>472</v>
      </c>
      <c r="LM86" s="15" t="str">
        <f>HYPERLINK("C:\SVN\SALT ADMIN 525\Projects\SALT\Snapshots\BankTransferAutoPaymentPartial_IN-MU-LT-J27201\201571\223341\Iterator_1\BankTransferAutoPaymentPartial1.xlsx","Snapshot")</f>
        <v>Snapshot</v>
      </c>
      <c r="MJ86" s="70" t="s">
        <v>308</v>
      </c>
      <c r="MK86" s="70">
        <v>20</v>
      </c>
      <c r="ML86" s="70" t="s">
        <v>489</v>
      </c>
      <c r="MM86" s="70" t="s">
        <v>490</v>
      </c>
      <c r="MV86" s="70" t="s">
        <v>1230</v>
      </c>
      <c r="ND86" s="15" t="str">
        <f>HYPERLINK("C:\SVN\SALT ADMIN 525\Projects\SALT\Snapshots\BankTransferAutoPaymentPartial_IN-MU-LT-J27201\201571\223341\Iterator_1\Merge.html","Result")</f>
        <v>Result</v>
      </c>
      <c r="NE86" s="70" t="s">
        <v>1058</v>
      </c>
    </row>
    <row r="87" spans="2:369" ht="15" customHeight="1">
      <c r="B87" s="20">
        <v>1</v>
      </c>
      <c r="C87" s="25" t="s">
        <v>1231</v>
      </c>
      <c r="F87" s="70"/>
      <c r="G87" s="70"/>
      <c r="JM87" s="121"/>
      <c r="JN87" s="121"/>
      <c r="JQ87" s="70" t="s">
        <v>462</v>
      </c>
      <c r="JR87" s="70" t="s">
        <v>484</v>
      </c>
      <c r="JS87" s="70" t="s">
        <v>1068</v>
      </c>
      <c r="JT87" s="30" t="s">
        <v>1228</v>
      </c>
      <c r="JU87" s="70">
        <v>394.32</v>
      </c>
      <c r="JV87" s="71" t="s">
        <v>495</v>
      </c>
      <c r="JW87" s="16">
        <v>42186.940115740741</v>
      </c>
      <c r="JX87" s="16">
        <v>42186.940150462964</v>
      </c>
      <c r="JY87" s="70" t="s">
        <v>1226</v>
      </c>
      <c r="KD87" s="70"/>
      <c r="KR87" s="70" t="s">
        <v>472</v>
      </c>
      <c r="LM87" s="15" t="str">
        <f>HYPERLINK("C:\SVN\SALT ADMIN 525\Projects\SALT\Snapshots\BankAutoTransferPaymentHigher_IN-MU-LT-J27201\201571\223346\Iterator_1\BankAutoTransferPaymentHigher1.xlsx","Snapshot")</f>
        <v>Snapshot</v>
      </c>
      <c r="MJ87" s="70" t="s">
        <v>308</v>
      </c>
      <c r="MK87" s="70">
        <v>21</v>
      </c>
      <c r="ML87" s="70" t="s">
        <v>489</v>
      </c>
      <c r="MM87" s="70" t="s">
        <v>490</v>
      </c>
      <c r="MV87" s="70" t="s">
        <v>1232</v>
      </c>
      <c r="ND87" s="15" t="str">
        <f>HYPERLINK("C:\SVN\SALT ADMIN 525\Projects\SALT\Snapshots\BankAutoTransferPaymentHigher_IN-MU-LT-J27201\201571\223346\Iterator_1\Merge.html","Result")</f>
        <v>Result</v>
      </c>
      <c r="NE87" s="70" t="s">
        <v>1058</v>
      </c>
    </row>
    <row r="88" spans="2:369" ht="15" customHeight="1">
      <c r="B88" s="20">
        <v>1</v>
      </c>
      <c r="C88" s="25" t="s">
        <v>1233</v>
      </c>
      <c r="F88" s="70"/>
      <c r="G88" s="70"/>
      <c r="JM88" s="121"/>
      <c r="JN88" s="121"/>
      <c r="JQ88" s="70" t="s">
        <v>462</v>
      </c>
      <c r="JR88" s="70" t="s">
        <v>484</v>
      </c>
      <c r="JS88" s="70" t="s">
        <v>1068</v>
      </c>
      <c r="JT88" s="30" t="s">
        <v>1228</v>
      </c>
      <c r="JU88" s="70">
        <v>935</v>
      </c>
      <c r="JV88" s="70" t="s">
        <v>494</v>
      </c>
      <c r="JW88" s="16">
        <v>42186.940162037034</v>
      </c>
      <c r="JX88" s="16">
        <v>42186.940208333333</v>
      </c>
      <c r="JY88" s="70" t="s">
        <v>979</v>
      </c>
      <c r="KD88" s="70"/>
      <c r="KR88" s="70" t="s">
        <v>472</v>
      </c>
      <c r="LM88" s="15" t="str">
        <f>HYPERLINK("C:\SVN\SALT ADMIN 525\Projects\SALT\Snapshots\BankAutoTransferPaymentIgnore_IN-MU-LT-J27201\201571\223350\Iterator_1\BankAutoTransferPaymentIgnore1.xlsx","Snapshot")</f>
        <v>Snapshot</v>
      </c>
      <c r="MJ88" s="70" t="s">
        <v>308</v>
      </c>
      <c r="MK88" s="70">
        <v>22</v>
      </c>
      <c r="ML88" s="70" t="s">
        <v>489</v>
      </c>
      <c r="MM88" s="70" t="s">
        <v>490</v>
      </c>
      <c r="MV88" s="70" t="s">
        <v>1234</v>
      </c>
      <c r="ND88" s="15" t="str">
        <f>HYPERLINK("C:\SVN\SALT ADMIN 525\Projects\SALT\Snapshots\BankAutoTransferPaymentIgnore_IN-MU-LT-J27201\201571\223350\Iterator_1\Merge.html","Result")</f>
        <v>Result</v>
      </c>
      <c r="NE88" s="70" t="s">
        <v>1058</v>
      </c>
    </row>
    <row r="89" spans="2:369" ht="15" customHeight="1">
      <c r="B89" s="20">
        <v>1</v>
      </c>
      <c r="C89" s="34" t="s">
        <v>676</v>
      </c>
      <c r="DM89" s="70" t="s">
        <v>83</v>
      </c>
      <c r="DN89" s="18" t="s">
        <v>711</v>
      </c>
      <c r="JM89" s="121"/>
      <c r="JN89" s="121"/>
      <c r="JW89" s="16">
        <v>41739.753240740742</v>
      </c>
      <c r="JX89" s="16">
        <v>41739.75440972222</v>
      </c>
      <c r="JY89" s="70" t="s">
        <v>714</v>
      </c>
      <c r="KD89" s="70"/>
      <c r="LM89" s="15"/>
      <c r="MX89" s="70" t="s">
        <v>58</v>
      </c>
      <c r="MY89" s="70" t="s">
        <v>96</v>
      </c>
      <c r="MZ89" s="70" t="s">
        <v>22</v>
      </c>
      <c r="NA89" s="70" t="s">
        <v>440</v>
      </c>
      <c r="ND89" s="15"/>
    </row>
    <row r="90" spans="2:369" ht="15" customHeight="1">
      <c r="B90" s="20">
        <v>1</v>
      </c>
      <c r="C90" s="34" t="s">
        <v>678</v>
      </c>
      <c r="DM90" s="70" t="s">
        <v>83</v>
      </c>
      <c r="JM90" s="121"/>
      <c r="JN90" s="121"/>
      <c r="JW90" s="16">
        <v>41739.75445601852</v>
      </c>
      <c r="JX90" s="16">
        <v>41739.754745370374</v>
      </c>
      <c r="JY90" s="70" t="s">
        <v>720</v>
      </c>
      <c r="KD90" s="70"/>
      <c r="LM90" s="15"/>
      <c r="NA90" s="70" t="s">
        <v>440</v>
      </c>
      <c r="ND90" s="15"/>
    </row>
    <row r="91" spans="2:369" ht="15" customHeight="1">
      <c r="B91" s="20">
        <v>1</v>
      </c>
      <c r="C91" s="34" t="s">
        <v>680</v>
      </c>
      <c r="DG91" s="70" t="s">
        <v>74</v>
      </c>
      <c r="DH91" s="70">
        <v>500</v>
      </c>
      <c r="DM91" s="70" t="s">
        <v>83</v>
      </c>
      <c r="DN91" s="18" t="s">
        <v>711</v>
      </c>
      <c r="JM91" s="121"/>
      <c r="JN91" s="121"/>
      <c r="JW91" s="16">
        <v>41739.75476851852</v>
      </c>
      <c r="JX91" s="16">
        <v>41739.755381944444</v>
      </c>
      <c r="JY91" s="70" t="s">
        <v>721</v>
      </c>
      <c r="KD91" s="70"/>
      <c r="LM91" s="15"/>
      <c r="MX91" s="70" t="s">
        <v>58</v>
      </c>
      <c r="MY91" s="70" t="s">
        <v>96</v>
      </c>
      <c r="MZ91" s="70" t="s">
        <v>22</v>
      </c>
      <c r="NA91" s="70" t="s">
        <v>440</v>
      </c>
      <c r="ND91" s="15"/>
    </row>
    <row r="92" spans="2:369" ht="15" customHeight="1">
      <c r="B92" s="20">
        <v>1</v>
      </c>
      <c r="C92" s="23" t="s">
        <v>681</v>
      </c>
      <c r="DK92" s="70" t="s">
        <v>736</v>
      </c>
      <c r="DL92" s="71" t="s">
        <v>447</v>
      </c>
      <c r="DM92" s="70" t="s">
        <v>83</v>
      </c>
      <c r="DN92" s="18" t="s">
        <v>711</v>
      </c>
      <c r="JM92" s="121"/>
      <c r="JN92" s="121"/>
      <c r="JW92" s="16">
        <v>41739.75540509259</v>
      </c>
      <c r="JX92" s="16">
        <v>41739.757800925923</v>
      </c>
      <c r="JY92" s="70" t="s">
        <v>722</v>
      </c>
      <c r="KD92" s="70"/>
      <c r="LM92" s="15"/>
      <c r="NA92" s="70" t="s">
        <v>440</v>
      </c>
      <c r="ND92" s="15"/>
    </row>
    <row r="93" spans="2:369" ht="15" customHeight="1">
      <c r="B93" s="20">
        <v>1</v>
      </c>
      <c r="C93" s="23" t="s">
        <v>683</v>
      </c>
      <c r="DK93" s="70" t="s">
        <v>716</v>
      </c>
      <c r="DL93" s="70" t="s">
        <v>717</v>
      </c>
      <c r="DM93" s="70" t="s">
        <v>83</v>
      </c>
      <c r="DN93" s="18" t="s">
        <v>711</v>
      </c>
      <c r="JM93" s="121"/>
      <c r="JN93" s="121"/>
      <c r="JW93" s="16">
        <v>41739.7578125</v>
      </c>
      <c r="JX93" s="16">
        <v>41739.759872685187</v>
      </c>
      <c r="JY93" s="70" t="s">
        <v>723</v>
      </c>
      <c r="KD93" s="70"/>
      <c r="LM93" s="15"/>
      <c r="NA93" s="70" t="s">
        <v>440</v>
      </c>
      <c r="ND93" s="15"/>
    </row>
    <row r="94" spans="2:369" ht="15" customHeight="1">
      <c r="B94" s="20">
        <v>1</v>
      </c>
      <c r="C94" s="23" t="s">
        <v>684</v>
      </c>
      <c r="DK94" s="70" t="s">
        <v>738</v>
      </c>
      <c r="DL94" s="70" t="s">
        <v>737</v>
      </c>
      <c r="DM94" s="70" t="s">
        <v>83</v>
      </c>
      <c r="DN94" s="18" t="s">
        <v>711</v>
      </c>
      <c r="JM94" s="121"/>
      <c r="JN94" s="121"/>
      <c r="JW94" s="16">
        <v>41739.75990740741</v>
      </c>
      <c r="JX94" s="16">
        <v>41739.76295138889</v>
      </c>
      <c r="JY94" s="70" t="s">
        <v>713</v>
      </c>
      <c r="KD94" s="70"/>
      <c r="LM94" s="15"/>
      <c r="NA94" s="70" t="s">
        <v>440</v>
      </c>
      <c r="ND94" s="15"/>
    </row>
    <row r="95" spans="2:369" ht="15" customHeight="1">
      <c r="B95" s="20">
        <v>1</v>
      </c>
      <c r="C95" s="59" t="s">
        <v>790</v>
      </c>
      <c r="D95" s="70" t="s">
        <v>1058</v>
      </c>
      <c r="E95" s="71" t="s">
        <v>1340</v>
      </c>
      <c r="F95" s="15" t="str">
        <f>HYPERLINK("C:\SVN\SALT ADMIN 525\Projects\SALT\Snapshots\ConfigurationBuyBackCountryLevel_IN-MU-LT-J27423\2015724\14258\Iterator_1\ConfigurationBuyBackCountryLevel1.xlsx","Snapshot")</f>
        <v>Snapshot</v>
      </c>
      <c r="G95" s="15" t="str">
        <f>HYPERLINK("C:\SVN\SALT ADMIN 525\Projects\SALT\Snapshots\ConfigurationBuyBackCountryLevel_IN-MU-LT-J27423\2015724\14258\Iterator_1\Merge.html","Result")</f>
        <v>Result</v>
      </c>
      <c r="JM95" s="121"/>
      <c r="JN95" s="121"/>
      <c r="JW95" s="16">
        <v>42209.600787037038</v>
      </c>
      <c r="JX95" s="16">
        <v>42209.612881944442</v>
      </c>
      <c r="JY95" s="70" t="s">
        <v>1379</v>
      </c>
      <c r="KD95" s="70"/>
      <c r="KM95" s="85" t="s">
        <v>1206</v>
      </c>
      <c r="KO95" s="91">
        <v>370</v>
      </c>
      <c r="LM95" s="15" t="str">
        <f>HYPERLINK("C:\SVN\SALT ADMIN 525\Projects\SALT\Snapshots\ConfigurationBuyBackCountryLevel_IN-MU-LT-J27201\201579\20119\Iterator_1\ConfigurationBuyBackCountryLevel1.xlsx","Snapshot")</f>
        <v>Snapshot</v>
      </c>
      <c r="MX95" s="72" t="s">
        <v>58</v>
      </c>
      <c r="MY95" s="14" t="s">
        <v>96</v>
      </c>
      <c r="MZ95" s="72" t="s">
        <v>22</v>
      </c>
      <c r="NA95" s="71" t="s">
        <v>1341</v>
      </c>
      <c r="ND95" s="15" t="str">
        <f>HYPERLINK("C:\SVN\SALT ADMIN 525\Projects\SALT\Snapshots\ConfigurationBuyBackCountryLevel_IN-MU-LT-J27201\201579\20119\Iterator_1\Merge.html","Result")</f>
        <v>Result</v>
      </c>
      <c r="NE95" s="70" t="s">
        <v>1058</v>
      </c>
    </row>
    <row r="96" spans="2:369" ht="15" customHeight="1">
      <c r="B96" s="20">
        <v>1</v>
      </c>
      <c r="C96" s="59" t="s">
        <v>791</v>
      </c>
      <c r="E96" s="71" t="s">
        <v>1340</v>
      </c>
      <c r="F96" s="15"/>
      <c r="G96" s="15"/>
      <c r="JM96" s="121"/>
      <c r="JN96" s="121"/>
      <c r="JW96" s="16"/>
      <c r="JX96" s="16"/>
      <c r="KD96" s="70"/>
      <c r="KO96" s="91"/>
      <c r="LM96" s="15"/>
      <c r="MX96" s="70" t="s">
        <v>58</v>
      </c>
      <c r="MY96" s="70" t="s">
        <v>96</v>
      </c>
      <c r="MZ96" s="70" t="s">
        <v>22</v>
      </c>
      <c r="NA96" s="71" t="s">
        <v>1341</v>
      </c>
      <c r="ND96" s="15"/>
    </row>
    <row r="97" spans="2:436" ht="15" customHeight="1">
      <c r="B97" s="20">
        <v>1</v>
      </c>
      <c r="C97" s="71" t="s">
        <v>792</v>
      </c>
      <c r="JM97" s="121"/>
      <c r="JN97" s="121"/>
      <c r="KD97" s="70"/>
      <c r="KM97" s="70" t="s">
        <v>1029</v>
      </c>
      <c r="KO97" s="91">
        <v>666</v>
      </c>
      <c r="LM97" s="22"/>
      <c r="ND97" s="22"/>
    </row>
    <row r="98" spans="2:436" ht="15" customHeight="1">
      <c r="B98" s="20">
        <v>1</v>
      </c>
      <c r="C98" s="21" t="s">
        <v>810</v>
      </c>
      <c r="DS98" s="66" t="s">
        <v>58</v>
      </c>
      <c r="DT98" s="67" t="s">
        <v>96</v>
      </c>
      <c r="DU98" s="66" t="s">
        <v>22</v>
      </c>
      <c r="DV98" s="24" t="s">
        <v>658</v>
      </c>
      <c r="DW98" s="71" t="s">
        <v>59</v>
      </c>
      <c r="DX98" s="70" t="s">
        <v>629</v>
      </c>
      <c r="EW98" s="70" t="s">
        <v>821</v>
      </c>
      <c r="GQ98" s="71" t="s">
        <v>497</v>
      </c>
      <c r="GR98" s="71" t="s">
        <v>463</v>
      </c>
      <c r="GS98" s="70" t="s">
        <v>817</v>
      </c>
      <c r="GT98" s="70">
        <v>600</v>
      </c>
      <c r="GU98" s="70" t="s">
        <v>818</v>
      </c>
      <c r="GV98" s="70" t="s">
        <v>819</v>
      </c>
      <c r="HE98" s="71" t="s">
        <v>811</v>
      </c>
      <c r="HH98" s="70" t="s">
        <v>447</v>
      </c>
      <c r="HI98" s="70" t="s">
        <v>435</v>
      </c>
      <c r="HJ98" s="71" t="s">
        <v>436</v>
      </c>
      <c r="HQ98" s="70" t="s">
        <v>437</v>
      </c>
      <c r="HR98" s="70" t="s">
        <v>741</v>
      </c>
      <c r="HS98" s="70" t="s">
        <v>444</v>
      </c>
      <c r="HT98" s="70" t="s">
        <v>741</v>
      </c>
      <c r="HU98" s="71" t="s">
        <v>441</v>
      </c>
      <c r="HV98" s="70" t="s">
        <v>442</v>
      </c>
      <c r="HW98" s="175" t="s">
        <v>466</v>
      </c>
      <c r="HX98" s="70" t="s">
        <v>78</v>
      </c>
      <c r="HY98" s="71" t="s">
        <v>440</v>
      </c>
      <c r="IA98" s="70">
        <v>123456</v>
      </c>
      <c r="IB98" s="70">
        <v>123456</v>
      </c>
      <c r="IC98" s="70">
        <v>11</v>
      </c>
      <c r="ID98" s="70" t="s">
        <v>443</v>
      </c>
      <c r="IE98" s="70">
        <v>2037</v>
      </c>
      <c r="IF98" s="70" t="s">
        <v>445</v>
      </c>
      <c r="IG98" s="71" t="s">
        <v>498</v>
      </c>
      <c r="IH98" s="71" t="s">
        <v>498</v>
      </c>
      <c r="II98" s="71" t="s">
        <v>1113</v>
      </c>
      <c r="IJ98" s="71" t="s">
        <v>1113</v>
      </c>
      <c r="IK98" s="70" t="s">
        <v>446</v>
      </c>
      <c r="IL98" s="70" t="s">
        <v>499</v>
      </c>
      <c r="IM98" s="70" t="s">
        <v>499</v>
      </c>
      <c r="IN98" s="71" t="s">
        <v>485</v>
      </c>
      <c r="IO98" s="71" t="s">
        <v>450</v>
      </c>
      <c r="IP98" s="71" t="s">
        <v>194</v>
      </c>
      <c r="IR98" s="70" t="s">
        <v>439</v>
      </c>
      <c r="IS98" s="70">
        <v>108</v>
      </c>
      <c r="IT98" s="70">
        <v>10</v>
      </c>
      <c r="IU98" s="70">
        <v>2021</v>
      </c>
      <c r="IV98" s="71" t="b">
        <v>0</v>
      </c>
      <c r="IW98" s="71" t="s">
        <v>488</v>
      </c>
      <c r="IX98" s="71" t="s">
        <v>741</v>
      </c>
      <c r="IY98" s="71" t="s">
        <v>741</v>
      </c>
      <c r="IZ98" s="71" t="s">
        <v>741</v>
      </c>
      <c r="JA98" s="70">
        <v>1234</v>
      </c>
      <c r="JB98" s="71" t="s">
        <v>448</v>
      </c>
      <c r="JC98" s="71" t="s">
        <v>449</v>
      </c>
      <c r="JM98" s="121"/>
      <c r="JN98" s="121"/>
      <c r="JP98" s="71" t="s">
        <v>645</v>
      </c>
      <c r="JW98" s="16">
        <v>41759.598506944443</v>
      </c>
      <c r="JX98" s="16">
        <v>41759.603946759256</v>
      </c>
      <c r="JY98" s="70" t="s">
        <v>822</v>
      </c>
      <c r="KD98" s="70"/>
      <c r="KM98" s="70" t="s">
        <v>74</v>
      </c>
      <c r="KO98" s="91">
        <v>600</v>
      </c>
      <c r="LM98" s="29"/>
      <c r="MH98" s="70" t="s">
        <v>820</v>
      </c>
      <c r="MI98" s="70">
        <v>697.09</v>
      </c>
      <c r="MO98" s="71" t="s">
        <v>812</v>
      </c>
      <c r="MX98" s="68" t="s">
        <v>58</v>
      </c>
      <c r="MY98" s="68" t="s">
        <v>349</v>
      </c>
      <c r="MZ98" s="70" t="s">
        <v>22</v>
      </c>
      <c r="NA98" s="71" t="s">
        <v>462</v>
      </c>
      <c r="NC98" s="71" t="s">
        <v>731</v>
      </c>
      <c r="ND98" s="15"/>
      <c r="NE98" s="71"/>
    </row>
    <row r="99" spans="2:436" ht="15" customHeight="1">
      <c r="B99" s="20">
        <v>1</v>
      </c>
      <c r="C99" s="21" t="s">
        <v>741</v>
      </c>
      <c r="DS99" s="10" t="s">
        <v>58</v>
      </c>
      <c r="DT99" s="10" t="s">
        <v>96</v>
      </c>
      <c r="DU99" s="70" t="s">
        <v>22</v>
      </c>
      <c r="DV99" s="71" t="s">
        <v>658</v>
      </c>
      <c r="DW99" s="71" t="s">
        <v>59</v>
      </c>
      <c r="DX99" s="70" t="s">
        <v>629</v>
      </c>
      <c r="JM99" s="121"/>
      <c r="JN99" s="121"/>
      <c r="JW99" s="16">
        <v>41759.575659722221</v>
      </c>
      <c r="JX99" s="16">
        <v>41759.576597222222</v>
      </c>
      <c r="JY99" s="70" t="s">
        <v>815</v>
      </c>
      <c r="KD99" s="70"/>
      <c r="KE99" s="70" t="s">
        <v>1111</v>
      </c>
      <c r="KM99" s="70" t="s">
        <v>462</v>
      </c>
      <c r="KO99" s="71">
        <v>700</v>
      </c>
      <c r="LM99" s="15"/>
      <c r="MO99" s="70" t="s">
        <v>1235</v>
      </c>
      <c r="MP99" s="70" t="s">
        <v>1236</v>
      </c>
      <c r="MX99" s="70" t="s">
        <v>58</v>
      </c>
      <c r="MY99" s="70" t="s">
        <v>349</v>
      </c>
      <c r="MZ99" s="70" t="s">
        <v>22</v>
      </c>
      <c r="NA99" s="71" t="s">
        <v>462</v>
      </c>
      <c r="ND99" s="15"/>
    </row>
    <row r="100" spans="2:436" ht="15" customHeight="1">
      <c r="B100" s="20">
        <v>1</v>
      </c>
      <c r="C100" s="23" t="s">
        <v>823</v>
      </c>
      <c r="EF100" s="70">
        <v>5</v>
      </c>
      <c r="EG100" s="70" t="s">
        <v>1170</v>
      </c>
      <c r="EH100" s="70">
        <v>1988</v>
      </c>
      <c r="EI100" s="70">
        <v>1</v>
      </c>
      <c r="EJ100" s="70" t="s">
        <v>1171</v>
      </c>
      <c r="EK100" s="70">
        <v>2020</v>
      </c>
      <c r="EL100" s="70">
        <v>123</v>
      </c>
      <c r="EM100" s="70" t="s">
        <v>455</v>
      </c>
      <c r="EN100" s="70">
        <v>23456723</v>
      </c>
      <c r="EO100" s="70">
        <v>60000</v>
      </c>
      <c r="EP100" s="70" t="s">
        <v>1172</v>
      </c>
      <c r="EQ100" s="70">
        <v>10</v>
      </c>
      <c r="ER100" s="70">
        <v>2018</v>
      </c>
      <c r="GQ100" s="71" t="s">
        <v>497</v>
      </c>
      <c r="GR100" s="71" t="s">
        <v>69</v>
      </c>
      <c r="GS100" s="70" t="s">
        <v>1238</v>
      </c>
      <c r="GT100" s="70">
        <v>400</v>
      </c>
      <c r="GU100" s="70" t="s">
        <v>1239</v>
      </c>
      <c r="GV100" s="70" t="s">
        <v>1240</v>
      </c>
      <c r="GW100" s="71" t="s">
        <v>453</v>
      </c>
      <c r="GX100" s="71" t="s">
        <v>497</v>
      </c>
      <c r="GY100" s="71" t="s">
        <v>74</v>
      </c>
      <c r="GZ100" s="70">
        <v>400</v>
      </c>
      <c r="HA100" s="70" t="s">
        <v>991</v>
      </c>
      <c r="HB100" s="70" t="s">
        <v>1241</v>
      </c>
      <c r="HC100" s="70" t="s">
        <v>1238</v>
      </c>
      <c r="HD100" s="70" t="s">
        <v>1242</v>
      </c>
      <c r="HE100" s="71" t="s">
        <v>1243</v>
      </c>
      <c r="HF100" s="71" t="s">
        <v>1244</v>
      </c>
      <c r="HG100" s="71" t="s">
        <v>1140</v>
      </c>
      <c r="HH100" s="70" t="s">
        <v>1245</v>
      </c>
      <c r="HI100" s="70" t="s">
        <v>435</v>
      </c>
      <c r="HJ100" s="71" t="s">
        <v>436</v>
      </c>
      <c r="HQ100" s="70" t="s">
        <v>437</v>
      </c>
      <c r="HR100" s="70" t="s">
        <v>465</v>
      </c>
      <c r="HS100" s="70" t="s">
        <v>444</v>
      </c>
      <c r="HT100" s="70" t="s">
        <v>1204</v>
      </c>
      <c r="HU100" s="71">
        <v>26</v>
      </c>
      <c r="HV100" s="70" t="s">
        <v>442</v>
      </c>
      <c r="HW100" s="175">
        <v>1977</v>
      </c>
      <c r="HX100" s="70" t="s">
        <v>78</v>
      </c>
      <c r="HY100" s="71" t="s">
        <v>1111</v>
      </c>
      <c r="HZ100" s="69"/>
      <c r="IA100" s="70">
        <v>123456</v>
      </c>
      <c r="IB100" s="70">
        <v>123456</v>
      </c>
      <c r="IC100" s="70">
        <v>11</v>
      </c>
      <c r="ID100" s="70" t="s">
        <v>443</v>
      </c>
      <c r="IE100" s="70">
        <v>2037</v>
      </c>
      <c r="IF100" s="70" t="s">
        <v>445</v>
      </c>
      <c r="IG100" s="71" t="s">
        <v>498</v>
      </c>
      <c r="IH100" s="71" t="s">
        <v>498</v>
      </c>
      <c r="II100" s="71" t="s">
        <v>1113</v>
      </c>
      <c r="IJ100" s="71" t="s">
        <v>1113</v>
      </c>
      <c r="IK100" s="70" t="s">
        <v>446</v>
      </c>
      <c r="IL100" s="70" t="s">
        <v>499</v>
      </c>
      <c r="IM100" s="70" t="s">
        <v>499</v>
      </c>
      <c r="IN100" s="71">
        <v>4812</v>
      </c>
      <c r="IO100" s="71" t="s">
        <v>450</v>
      </c>
      <c r="IP100" s="71" t="s">
        <v>194</v>
      </c>
      <c r="IQ100" s="69"/>
      <c r="IR100" s="70" t="s">
        <v>439</v>
      </c>
      <c r="IS100" s="70">
        <v>108</v>
      </c>
      <c r="IT100" s="70">
        <v>10</v>
      </c>
      <c r="IU100" s="70">
        <v>2021</v>
      </c>
      <c r="IV100" s="71" t="b">
        <v>1</v>
      </c>
      <c r="IW100" s="71" t="s">
        <v>488</v>
      </c>
      <c r="IX100" s="71"/>
      <c r="IY100" s="71"/>
      <c r="IZ100" s="71"/>
      <c r="JB100" s="71" t="b">
        <v>0</v>
      </c>
      <c r="JC100" s="71" t="b">
        <v>1</v>
      </c>
      <c r="JM100" s="121"/>
      <c r="JN100" s="121"/>
      <c r="JP100" s="71" t="s">
        <v>645</v>
      </c>
      <c r="JW100" s="16">
        <v>41912.901736111111</v>
      </c>
      <c r="JX100" s="16">
        <v>41912.906412037039</v>
      </c>
      <c r="JY100" s="70" t="s">
        <v>1237</v>
      </c>
      <c r="KD100" s="70"/>
      <c r="KE100" s="70" t="s">
        <v>462</v>
      </c>
      <c r="KM100" s="70" t="s">
        <v>1206</v>
      </c>
      <c r="KO100" s="71">
        <v>666</v>
      </c>
      <c r="LM100" s="15"/>
      <c r="MH100" s="71" t="s">
        <v>1141</v>
      </c>
      <c r="MI100" s="27">
        <v>1217.5</v>
      </c>
      <c r="MN100" s="69"/>
      <c r="MO100" s="70" t="s">
        <v>812</v>
      </c>
      <c r="MP100" s="71" t="s">
        <v>981</v>
      </c>
      <c r="MQ100" s="70" t="s">
        <v>462</v>
      </c>
      <c r="MW100" s="27"/>
      <c r="MX100" s="68" t="s">
        <v>58</v>
      </c>
      <c r="MY100" s="68" t="s">
        <v>349</v>
      </c>
      <c r="MZ100" s="70" t="s">
        <v>22</v>
      </c>
      <c r="NA100" s="71" t="s">
        <v>462</v>
      </c>
      <c r="NC100" s="71" t="s">
        <v>1246</v>
      </c>
      <c r="ND100" s="15"/>
    </row>
    <row r="101" spans="2:436" ht="15" customHeight="1">
      <c r="B101" s="20">
        <v>1</v>
      </c>
      <c r="C101" s="176" t="s">
        <v>824</v>
      </c>
      <c r="EF101" s="70">
        <v>5</v>
      </c>
      <c r="EG101" s="70" t="s">
        <v>1170</v>
      </c>
      <c r="EH101" s="70">
        <v>1988</v>
      </c>
      <c r="EI101" s="70">
        <v>1</v>
      </c>
      <c r="EJ101" s="70" t="s">
        <v>1171</v>
      </c>
      <c r="EK101" s="70">
        <v>2020</v>
      </c>
      <c r="EL101" s="70">
        <v>123</v>
      </c>
      <c r="EM101" s="70" t="s">
        <v>455</v>
      </c>
      <c r="EN101" s="70">
        <v>23456723</v>
      </c>
      <c r="EO101" s="70">
        <v>60000</v>
      </c>
      <c r="EP101" s="70" t="s">
        <v>1172</v>
      </c>
      <c r="EQ101" s="70">
        <v>10</v>
      </c>
      <c r="ER101" s="70">
        <v>2018</v>
      </c>
      <c r="ES101" s="70">
        <v>2</v>
      </c>
      <c r="ET101" s="70" t="s">
        <v>1247</v>
      </c>
      <c r="EU101" s="70" t="s">
        <v>446</v>
      </c>
      <c r="EZ101" s="70" t="s">
        <v>807</v>
      </c>
      <c r="FA101" s="70" t="s">
        <v>1114</v>
      </c>
      <c r="FB101" s="70" t="s">
        <v>446</v>
      </c>
      <c r="FC101" s="70">
        <v>456</v>
      </c>
      <c r="FD101" s="70" t="s">
        <v>499</v>
      </c>
      <c r="FE101" s="70">
        <v>4812</v>
      </c>
      <c r="HG101" s="70" t="s">
        <v>499</v>
      </c>
      <c r="HQ101" s="70" t="s">
        <v>1248</v>
      </c>
      <c r="HR101" s="70" t="s">
        <v>741</v>
      </c>
      <c r="HS101" s="70" t="s">
        <v>444</v>
      </c>
      <c r="HT101" s="70" t="s">
        <v>741</v>
      </c>
      <c r="HX101" s="70" t="s">
        <v>1249</v>
      </c>
      <c r="HY101" s="70" t="s">
        <v>1111</v>
      </c>
      <c r="IA101" s="70">
        <v>123456</v>
      </c>
      <c r="IB101" s="70">
        <v>123456</v>
      </c>
      <c r="IF101" s="70" t="s">
        <v>445</v>
      </c>
      <c r="IG101" s="70">
        <v>989898989</v>
      </c>
      <c r="IH101" s="70">
        <v>989898989</v>
      </c>
      <c r="II101" s="70" t="s">
        <v>1113</v>
      </c>
      <c r="IJ101" s="70" t="s">
        <v>1113</v>
      </c>
      <c r="IO101" s="70" t="s">
        <v>450</v>
      </c>
      <c r="IP101" s="70">
        <v>4111111111111110</v>
      </c>
      <c r="IR101" s="70" t="s">
        <v>439</v>
      </c>
      <c r="IS101" s="70">
        <v>108</v>
      </c>
      <c r="JB101" s="70" t="b">
        <v>0</v>
      </c>
      <c r="JC101" s="70" t="b">
        <v>1</v>
      </c>
      <c r="JG101" s="70">
        <v>4812</v>
      </c>
      <c r="JH101" s="70" t="s">
        <v>1111</v>
      </c>
      <c r="JM101" s="121"/>
      <c r="JN101" s="121"/>
      <c r="JP101" s="70" t="s">
        <v>645</v>
      </c>
      <c r="JW101" s="16">
        <v>41912.896412037036</v>
      </c>
      <c r="JX101" s="16">
        <v>41912.897349537037</v>
      </c>
      <c r="JY101" s="70" t="s">
        <v>815</v>
      </c>
      <c r="KD101" s="70"/>
      <c r="KM101" s="70" t="s">
        <v>1137</v>
      </c>
      <c r="KO101" s="71">
        <v>500</v>
      </c>
      <c r="LM101" s="15"/>
      <c r="MI101" s="70">
        <v>691.09</v>
      </c>
      <c r="MP101" s="71" t="s">
        <v>981</v>
      </c>
      <c r="MX101" s="14" t="s">
        <v>58</v>
      </c>
      <c r="MY101" s="10" t="s">
        <v>96</v>
      </c>
      <c r="MZ101" s="70" t="s">
        <v>22</v>
      </c>
      <c r="NA101" s="71" t="s">
        <v>462</v>
      </c>
      <c r="ND101" s="15"/>
    </row>
    <row r="102" spans="2:436" ht="15" customHeight="1">
      <c r="B102" s="20">
        <v>1</v>
      </c>
      <c r="C102" s="23" t="s">
        <v>837</v>
      </c>
      <c r="F102" s="70"/>
      <c r="G102" s="70"/>
      <c r="EF102" s="70">
        <v>5</v>
      </c>
      <c r="EG102" s="70" t="s">
        <v>1170</v>
      </c>
      <c r="EH102" s="70">
        <v>1988</v>
      </c>
      <c r="EI102" s="70">
        <v>1</v>
      </c>
      <c r="EJ102" s="70" t="s">
        <v>1171</v>
      </c>
      <c r="EK102" s="70">
        <v>2020</v>
      </c>
      <c r="EL102" s="70">
        <v>123</v>
      </c>
      <c r="EM102" s="70" t="s">
        <v>455</v>
      </c>
      <c r="EN102" s="70">
        <v>23456723</v>
      </c>
      <c r="EO102" s="70">
        <v>60000</v>
      </c>
      <c r="EP102" s="70" t="s">
        <v>1172</v>
      </c>
      <c r="EQ102" s="70">
        <v>10</v>
      </c>
      <c r="ER102" s="70">
        <v>2018</v>
      </c>
      <c r="GQ102" s="71" t="s">
        <v>497</v>
      </c>
      <c r="GR102" s="71" t="s">
        <v>74</v>
      </c>
      <c r="GS102" s="70" t="s">
        <v>1250</v>
      </c>
      <c r="GT102" s="70">
        <v>600</v>
      </c>
      <c r="GU102" s="70" t="s">
        <v>1251</v>
      </c>
      <c r="GV102" s="27" t="s">
        <v>1252</v>
      </c>
      <c r="GW102" s="71" t="s">
        <v>453</v>
      </c>
      <c r="GX102" s="71" t="s">
        <v>497</v>
      </c>
      <c r="GY102" s="71" t="s">
        <v>829</v>
      </c>
      <c r="GZ102" s="70">
        <v>600</v>
      </c>
      <c r="HA102" s="70" t="s">
        <v>833</v>
      </c>
      <c r="HB102" s="70" t="s">
        <v>834</v>
      </c>
      <c r="HC102" s="70" t="s">
        <v>817</v>
      </c>
      <c r="HD102" s="70" t="s">
        <v>832</v>
      </c>
      <c r="HE102" s="71" t="s">
        <v>980</v>
      </c>
      <c r="HF102" s="69" t="s">
        <v>1140</v>
      </c>
      <c r="HH102" s="70" t="s">
        <v>1245</v>
      </c>
      <c r="HI102" s="70" t="s">
        <v>435</v>
      </c>
      <c r="HJ102" s="71" t="s">
        <v>436</v>
      </c>
      <c r="HQ102" s="70" t="s">
        <v>437</v>
      </c>
      <c r="HR102" s="70" t="s">
        <v>465</v>
      </c>
      <c r="HS102" s="70" t="s">
        <v>444</v>
      </c>
      <c r="HT102" s="70" t="s">
        <v>1204</v>
      </c>
      <c r="HU102" s="71">
        <v>26</v>
      </c>
      <c r="HV102" s="70" t="s">
        <v>442</v>
      </c>
      <c r="HW102" s="175">
        <v>1977</v>
      </c>
      <c r="HX102" s="70" t="s">
        <v>78</v>
      </c>
      <c r="HY102" s="71" t="s">
        <v>1111</v>
      </c>
      <c r="HZ102" s="69"/>
      <c r="IA102" s="70">
        <v>123456</v>
      </c>
      <c r="IB102" s="70">
        <v>123456</v>
      </c>
      <c r="IC102" s="70">
        <v>11</v>
      </c>
      <c r="ID102" s="70" t="s">
        <v>443</v>
      </c>
      <c r="IE102" s="70">
        <v>2037</v>
      </c>
      <c r="IF102" s="70" t="s">
        <v>445</v>
      </c>
      <c r="IG102" s="71" t="s">
        <v>498</v>
      </c>
      <c r="IH102" s="71" t="s">
        <v>498</v>
      </c>
      <c r="II102" s="71" t="s">
        <v>1113</v>
      </c>
      <c r="IJ102" s="71" t="s">
        <v>1113</v>
      </c>
      <c r="IK102" s="70" t="s">
        <v>446</v>
      </c>
      <c r="IL102" s="70" t="s">
        <v>499</v>
      </c>
      <c r="IM102" s="70" t="s">
        <v>499</v>
      </c>
      <c r="IN102" s="71">
        <v>4812</v>
      </c>
      <c r="IO102" s="71" t="s">
        <v>450</v>
      </c>
      <c r="IP102" s="71" t="s">
        <v>194</v>
      </c>
      <c r="IQ102" s="69"/>
      <c r="IR102" s="70" t="s">
        <v>439</v>
      </c>
      <c r="IS102" s="70">
        <v>108</v>
      </c>
      <c r="IT102" s="70">
        <v>10</v>
      </c>
      <c r="IU102" s="70">
        <v>2021</v>
      </c>
      <c r="IV102" s="71" t="b">
        <v>1</v>
      </c>
      <c r="IW102" s="71" t="s">
        <v>488</v>
      </c>
      <c r="IX102" s="71"/>
      <c r="IY102" s="71"/>
      <c r="IZ102" s="71"/>
      <c r="JB102" s="71" t="b">
        <v>0</v>
      </c>
      <c r="JC102" s="71" t="b">
        <v>1</v>
      </c>
      <c r="JM102" s="121"/>
      <c r="JN102" s="121"/>
      <c r="JP102" s="71" t="s">
        <v>645</v>
      </c>
      <c r="JW102" s="16">
        <v>41912.897372685184</v>
      </c>
      <c r="JX102" s="16">
        <v>41912.901666666665</v>
      </c>
      <c r="JY102" s="70" t="s">
        <v>1199</v>
      </c>
      <c r="KD102" s="70"/>
      <c r="KE102" s="70" t="s">
        <v>462</v>
      </c>
      <c r="KM102" s="70" t="s">
        <v>1137</v>
      </c>
      <c r="KO102" s="71">
        <v>700</v>
      </c>
      <c r="LM102" s="15"/>
      <c r="MH102" s="71" t="s">
        <v>1138</v>
      </c>
      <c r="MI102" s="27">
        <v>1088.6300000000001</v>
      </c>
      <c r="MN102" s="69"/>
      <c r="MO102" s="70" t="s">
        <v>812</v>
      </c>
      <c r="MP102" s="71" t="s">
        <v>981</v>
      </c>
      <c r="MQ102" s="70" t="s">
        <v>462</v>
      </c>
      <c r="MW102" s="27"/>
      <c r="MX102" s="68" t="s">
        <v>58</v>
      </c>
      <c r="MY102" s="68" t="s">
        <v>349</v>
      </c>
      <c r="MZ102" s="70" t="s">
        <v>22</v>
      </c>
      <c r="NA102" s="71" t="s">
        <v>462</v>
      </c>
      <c r="NC102" s="71" t="s">
        <v>1246</v>
      </c>
      <c r="ND102" s="15"/>
    </row>
    <row r="103" spans="2:436" ht="15" customHeight="1">
      <c r="B103" s="20">
        <v>2</v>
      </c>
      <c r="C103" s="25" t="s">
        <v>481</v>
      </c>
      <c r="JM103" s="121"/>
      <c r="JN103" s="121"/>
      <c r="JQ103" s="70" t="s">
        <v>462</v>
      </c>
      <c r="JR103" s="70" t="s">
        <v>484</v>
      </c>
      <c r="JS103" s="70" t="s">
        <v>1068</v>
      </c>
      <c r="JT103" s="30" t="s">
        <v>1225</v>
      </c>
      <c r="JU103" s="70">
        <v>1510</v>
      </c>
      <c r="JV103" s="70" t="s">
        <v>494</v>
      </c>
      <c r="JW103" s="16">
        <v>42201.901782407411</v>
      </c>
      <c r="JX103" s="16">
        <v>42201.901817129627</v>
      </c>
      <c r="JY103" s="70" t="s">
        <v>1226</v>
      </c>
      <c r="KD103" s="70"/>
      <c r="KR103" s="70" t="s">
        <v>472</v>
      </c>
      <c r="LM103" s="15" t="str">
        <f>HYPERLINK("C:\SVN\SALT ADMIN 525\Projects\SALT\Snapshots\BPAYbillpayBankTransferPaymentPartial_IN-MU-LT-J27201\201579\183354\Iterator_2\BPAYbillpayBankTransferPaymentPartial2.xlsx","Snapshot")</f>
        <v>Snapshot</v>
      </c>
      <c r="MJ103" s="70" t="s">
        <v>308</v>
      </c>
      <c r="MK103" s="70">
        <v>16</v>
      </c>
      <c r="ML103" s="70" t="s">
        <v>489</v>
      </c>
      <c r="MM103" s="70" t="s">
        <v>490</v>
      </c>
      <c r="MV103" s="70" t="s">
        <v>1142</v>
      </c>
      <c r="ND103" s="15" t="str">
        <f>HYPERLINK("C:\SVN\SALT ADMIN 525\Projects\SALT\Snapshots\BPAYbillpayBankTransferPaymentPartial_IN-MU-LT-J27201\201579\183354\Iterator_2\Merge.html","Result")</f>
        <v>Result</v>
      </c>
      <c r="NE103" s="70" t="s">
        <v>1058</v>
      </c>
    </row>
    <row r="104" spans="2:436" ht="15" customHeight="1">
      <c r="B104" s="20">
        <v>1</v>
      </c>
      <c r="C104" s="21" t="s">
        <v>983</v>
      </c>
      <c r="F104" s="70"/>
      <c r="G104" s="70"/>
      <c r="GY104" s="70" t="s">
        <v>493</v>
      </c>
      <c r="JJ104" s="70" t="s">
        <v>493</v>
      </c>
      <c r="JW104" s="16">
        <v>42201.950960648152</v>
      </c>
      <c r="JX104" s="16">
        <v>42201.951631944445</v>
      </c>
      <c r="JY104" s="70" t="s">
        <v>1253</v>
      </c>
      <c r="KD104" s="70"/>
      <c r="LM104" s="15" t="str">
        <f>HYPERLINK("C:\SVN\SALT ADMIN 525\Projects\SALT\Snapshots\FullPaymentBankTransfer_IN-MU-LT-J27201\201571\225635\Iterator_1\FullPaymentBankTransfer1.xlsx","Snapshot")</f>
        <v>Snapshot</v>
      </c>
      <c r="MJ104" s="70" t="s">
        <v>308</v>
      </c>
      <c r="MK104" s="70">
        <v>15</v>
      </c>
      <c r="ML104" s="70" t="s">
        <v>159</v>
      </c>
      <c r="MM104" s="70" t="s">
        <v>198</v>
      </c>
      <c r="MV104" s="70" t="s">
        <v>1218</v>
      </c>
      <c r="MX104" s="70" t="s">
        <v>58</v>
      </c>
      <c r="MY104" s="70" t="s">
        <v>96</v>
      </c>
      <c r="MZ104" s="70" t="s">
        <v>22</v>
      </c>
      <c r="NA104" s="70" t="s">
        <v>462</v>
      </c>
      <c r="ND104" s="15" t="str">
        <f>HYPERLINK("C:\SVN\SALT ADMIN 525\Projects\SALT\Snapshots\FullPaymentBankTransfer_IN-MU-LT-J27201\201571\225635\Iterator_1\Merge.html","Result")</f>
        <v>Result</v>
      </c>
      <c r="NE104" s="70" t="s">
        <v>1058</v>
      </c>
      <c r="OT104" s="16"/>
      <c r="OU104" s="16"/>
    </row>
    <row r="105" spans="2:436" ht="15" customHeight="1">
      <c r="B105" s="20">
        <v>1</v>
      </c>
      <c r="C105" s="21" t="s">
        <v>984</v>
      </c>
      <c r="F105" s="70"/>
      <c r="G105" s="70"/>
      <c r="GY105" s="70" t="s">
        <v>494</v>
      </c>
      <c r="JJ105" s="70" t="s">
        <v>494</v>
      </c>
      <c r="JW105" s="16">
        <v>42201.951643518521</v>
      </c>
      <c r="JX105" s="16">
        <v>42201.952222222222</v>
      </c>
      <c r="JY105" s="70" t="s">
        <v>1254</v>
      </c>
      <c r="KD105" s="70"/>
      <c r="LM105" s="15" t="str">
        <f>HYPERLINK("C:\SVN\SALT ADMIN 525\Projects\SALT\Snapshots\PartialPaymentBankTransfer_IN-MU-LT-J27201\201579\184125\Iterator_1\PartialPaymentBankTransfer1.xlsx","Snapshot")</f>
        <v>Snapshot</v>
      </c>
      <c r="MJ105" s="70" t="s">
        <v>308</v>
      </c>
      <c r="MK105" s="70">
        <v>16</v>
      </c>
      <c r="ML105" s="70" t="s">
        <v>159</v>
      </c>
      <c r="MM105" s="70" t="s">
        <v>198</v>
      </c>
      <c r="MV105" s="70" t="s">
        <v>1142</v>
      </c>
      <c r="MX105" s="70" t="s">
        <v>58</v>
      </c>
      <c r="MY105" s="70" t="s">
        <v>96</v>
      </c>
      <c r="MZ105" s="70" t="s">
        <v>22</v>
      </c>
      <c r="NA105" s="70" t="s">
        <v>462</v>
      </c>
      <c r="ND105" s="15" t="str">
        <f>HYPERLINK("C:\SVN\SALT ADMIN 525\Projects\SALT\Snapshots\PartialPaymentBankTransfer_IN-MU-LT-J27201\201579\184125\Iterator_1\Merge.html","Result")</f>
        <v>Result</v>
      </c>
      <c r="NE105" s="70" t="s">
        <v>1058</v>
      </c>
      <c r="PS105" s="16"/>
      <c r="PT105" s="16"/>
    </row>
    <row r="106" spans="2:436" ht="15" customHeight="1">
      <c r="B106" s="20">
        <v>1</v>
      </c>
      <c r="C106" s="21" t="s">
        <v>985</v>
      </c>
      <c r="F106" s="70"/>
      <c r="G106" s="70"/>
      <c r="GY106" s="70" t="s">
        <v>495</v>
      </c>
      <c r="JJ106" s="70" t="s">
        <v>495</v>
      </c>
      <c r="JW106" s="16">
        <v>42201.952233796299</v>
      </c>
      <c r="JX106" s="16">
        <v>42201.952835648146</v>
      </c>
      <c r="JY106" s="70" t="s">
        <v>1125</v>
      </c>
      <c r="KD106" s="70"/>
      <c r="LM106" s="15" t="str">
        <f>HYPERLINK("C:\SVN\SALT ADMIN 525\Projects\SALT\Snapshots\HigherPaymentBankTransfer_IN-MU-LT-J27201\201579\164755\Iterator_1\HigherPaymentBankTransfer1.xlsx","Snapshot")</f>
        <v>Snapshot</v>
      </c>
      <c r="MJ106" s="70" t="s">
        <v>308</v>
      </c>
      <c r="MK106" s="70">
        <v>17</v>
      </c>
      <c r="ML106" s="70" t="s">
        <v>159</v>
      </c>
      <c r="MM106" s="70" t="s">
        <v>198</v>
      </c>
      <c r="MV106" s="70" t="s">
        <v>1148</v>
      </c>
      <c r="MX106" s="70" t="s">
        <v>58</v>
      </c>
      <c r="MY106" s="70" t="s">
        <v>96</v>
      </c>
      <c r="MZ106" s="70" t="s">
        <v>22</v>
      </c>
      <c r="NA106" s="70" t="s">
        <v>462</v>
      </c>
      <c r="ND106" s="15" t="str">
        <f>HYPERLINK("C:\SVN\SALT ADMIN 525\Projects\SALT\Snapshots\HigherPaymentBankTransfer_IN-MU-LT-J27201\201579\164755\Iterator_1\Merge.html","Result")</f>
        <v>Result</v>
      </c>
      <c r="NE106" s="70" t="s">
        <v>1058</v>
      </c>
      <c r="PS106" s="16"/>
      <c r="PT106" s="16"/>
    </row>
    <row r="107" spans="2:436" ht="15" customHeight="1">
      <c r="B107" s="20">
        <v>1</v>
      </c>
      <c r="C107" s="21" t="s">
        <v>986</v>
      </c>
      <c r="F107" s="70"/>
      <c r="G107" s="70"/>
      <c r="GY107" s="70" t="s">
        <v>675</v>
      </c>
      <c r="JJ107" s="70" t="s">
        <v>675</v>
      </c>
      <c r="JW107" s="16">
        <v>42201.952847222223</v>
      </c>
      <c r="JX107" s="16">
        <v>42201.95349537037</v>
      </c>
      <c r="JY107" s="70" t="s">
        <v>1045</v>
      </c>
      <c r="KD107" s="70"/>
      <c r="LM107" s="15" t="str">
        <f>HYPERLINK("C:\SVN\SALT ADMIN 525\Projects\SALT\Snapshots\IgnorePaymentBankTransfer_IN-MU-LT-J27201\201579\185611\Iterator_1\IgnorePaymentBankTransfer1.xlsx","Snapshot")</f>
        <v>Snapshot</v>
      </c>
      <c r="MJ107" s="70" t="s">
        <v>308</v>
      </c>
      <c r="MK107" s="71" t="s">
        <v>987</v>
      </c>
      <c r="ML107" s="70" t="s">
        <v>159</v>
      </c>
      <c r="MM107" s="70" t="s">
        <v>198</v>
      </c>
      <c r="MV107" s="70" t="s">
        <v>1220</v>
      </c>
      <c r="MX107" s="70" t="s">
        <v>58</v>
      </c>
      <c r="MY107" s="70" t="s">
        <v>96</v>
      </c>
      <c r="MZ107" s="70" t="s">
        <v>22</v>
      </c>
      <c r="NA107" s="70" t="s">
        <v>462</v>
      </c>
      <c r="ND107" s="15" t="str">
        <f>HYPERLINK("C:\SVN\SALT ADMIN 525\Projects\SALT\Snapshots\IgnorePaymentBankTransfer_IN-MU-LT-J27201\201579\185611\Iterator_1\Merge.html","Result")</f>
        <v>Result</v>
      </c>
      <c r="NE107" s="70" t="s">
        <v>1058</v>
      </c>
      <c r="PS107" s="16"/>
      <c r="PT107" s="16"/>
    </row>
    <row r="108" spans="2:436" ht="15" customHeight="1">
      <c r="B108" s="20">
        <v>3</v>
      </c>
      <c r="C108" s="25" t="s">
        <v>481</v>
      </c>
      <c r="H108" s="70" t="s">
        <v>308</v>
      </c>
      <c r="JM108" s="121"/>
      <c r="JN108" s="121"/>
      <c r="JQ108" s="70" t="s">
        <v>462</v>
      </c>
      <c r="JR108" s="70" t="s">
        <v>484</v>
      </c>
      <c r="JS108" s="70" t="s">
        <v>1068</v>
      </c>
      <c r="JT108" s="30" t="s">
        <v>1225</v>
      </c>
      <c r="JU108" s="70">
        <v>394.32</v>
      </c>
      <c r="JV108" s="70" t="s">
        <v>494</v>
      </c>
      <c r="JW108" s="16">
        <v>42201.901828703703</v>
      </c>
      <c r="JX108" s="16">
        <v>42201.901875000003</v>
      </c>
      <c r="JY108" s="70" t="s">
        <v>979</v>
      </c>
      <c r="KD108" s="70"/>
      <c r="KR108" s="70" t="s">
        <v>473</v>
      </c>
      <c r="LM108" s="15" t="str">
        <f>HYPERLINK("\\gdc-data\Team\Test Team\!Testing Details\Automation\Demo\SALT SVN NZ\Projects\SALT\Snapshots\BPAYbillpayBankTransferPaymentPartial_IN-MU-DT-J27068\20141124\205842\Iterator_3\BPAYbillpayBankTransferPaymentPartial3.xlsx","Snapshot")</f>
        <v>Snapshot</v>
      </c>
      <c r="MJ108" s="70" t="s">
        <v>308</v>
      </c>
      <c r="MK108" s="70">
        <v>21</v>
      </c>
      <c r="ML108" s="70" t="s">
        <v>489</v>
      </c>
      <c r="MM108" s="70" t="s">
        <v>490</v>
      </c>
      <c r="MV108" s="70" t="s">
        <v>1223</v>
      </c>
      <c r="ND108" s="15" t="str">
        <f>HYPERLINK("\\gdc-data\Team\Test Team\!Testing Details\Automation\Demo\SALT SVN NZ\Projects\SALT\Snapshots\BPAYbillpayBankTransferPaymentPartial_IN-MU-DT-J27068\20141124\205842\Iterator_3\Merge.html","Result")</f>
        <v>Result</v>
      </c>
      <c r="NE108" s="79" t="s">
        <v>1058</v>
      </c>
    </row>
    <row r="109" spans="2:436" ht="15" customHeight="1">
      <c r="B109" s="20">
        <v>2</v>
      </c>
      <c r="C109" s="25" t="s">
        <v>482</v>
      </c>
      <c r="H109" s="70" t="s">
        <v>308</v>
      </c>
      <c r="JM109" s="121"/>
      <c r="JN109" s="121"/>
      <c r="JQ109" s="70" t="s">
        <v>462</v>
      </c>
      <c r="JR109" s="70" t="s">
        <v>484</v>
      </c>
      <c r="JS109" s="70" t="s">
        <v>1068</v>
      </c>
      <c r="JT109" s="24" t="s">
        <v>1225</v>
      </c>
      <c r="JU109" s="70">
        <v>365.69</v>
      </c>
      <c r="JV109" s="70" t="s">
        <v>495</v>
      </c>
      <c r="JW109" s="16">
        <v>42201.901932870373</v>
      </c>
      <c r="JX109" s="16">
        <v>42201.901967592596</v>
      </c>
      <c r="JY109" s="70" t="s">
        <v>1226</v>
      </c>
      <c r="KD109" s="70"/>
      <c r="KR109" s="70" t="s">
        <v>472</v>
      </c>
      <c r="LM109" s="15" t="str">
        <f>HYPERLINK("C:\SVN\SALT ADMIN 525\Projects\SALT\Snapshots\BPAYbillpayBankTransferPaymentHigher_IN-MU-LT-J27201\201579\16222\Iterator_2\BPAYbillpayBankTransferPaymentHigher2.xlsx","Snapshot")</f>
        <v>Snapshot</v>
      </c>
      <c r="MJ109" s="70" t="s">
        <v>308</v>
      </c>
      <c r="MK109" s="70">
        <v>17</v>
      </c>
      <c r="ML109" s="70" t="s">
        <v>489</v>
      </c>
      <c r="MM109" s="70" t="s">
        <v>490</v>
      </c>
      <c r="MV109" s="70" t="s">
        <v>1148</v>
      </c>
      <c r="ND109" s="15" t="str">
        <f>HYPERLINK("C:\SVN\SALT ADMIN 525\Projects\SALT\Snapshots\BPAYbillpayBankTransferPaymentHigher_IN-MU-LT-J27201\201579\16222\Iterator_2\Merge.html","Result")</f>
        <v>Result</v>
      </c>
      <c r="NE109" s="70" t="s">
        <v>1058</v>
      </c>
    </row>
    <row r="110" spans="2:436" ht="15" customHeight="1">
      <c r="B110" s="20">
        <v>2</v>
      </c>
      <c r="C110" s="25" t="s">
        <v>843</v>
      </c>
      <c r="JM110" s="121"/>
      <c r="JN110" s="121"/>
      <c r="JQ110" s="70" t="s">
        <v>462</v>
      </c>
      <c r="JR110" s="70" t="s">
        <v>484</v>
      </c>
      <c r="JS110" s="70" t="s">
        <v>1068</v>
      </c>
      <c r="JT110" s="71" t="s">
        <v>1225</v>
      </c>
      <c r="JU110" s="70">
        <v>371.98</v>
      </c>
      <c r="JV110" s="70" t="s">
        <v>494</v>
      </c>
      <c r="JW110" s="16">
        <v>42201.902037037034</v>
      </c>
      <c r="JX110" s="16">
        <v>42201.902083333334</v>
      </c>
      <c r="JY110" s="70" t="s">
        <v>979</v>
      </c>
      <c r="KD110" s="70"/>
      <c r="KR110" s="70" t="s">
        <v>472</v>
      </c>
      <c r="LM110" s="15" t="str">
        <f>HYPERLINK("C:\SVN\SALT ADMIN 525\Projects\SALT\Snapshots\BPAYbillpayBankTransferPaymentIgnore_IN-MU-LT-J27201\201579\185248\Iterator_2\BPAYbillpayBankTransferPaymentIgnore2.xlsx","Snapshot")</f>
        <v>Snapshot</v>
      </c>
      <c r="MJ110" s="70" t="s">
        <v>308</v>
      </c>
      <c r="MK110" s="70">
        <v>18</v>
      </c>
      <c r="ML110" s="70" t="s">
        <v>489</v>
      </c>
      <c r="MM110" s="70" t="s">
        <v>490</v>
      </c>
      <c r="MV110" s="70" t="s">
        <v>1220</v>
      </c>
      <c r="ND110" s="15" t="str">
        <f>HYPERLINK("C:\SVN\SALT ADMIN 525\Projects\SALT\Snapshots\BPAYbillpayBankTransferPaymentIgnore_IN-MU-LT-J27201\201579\185248\Iterator_2\Merge.html","Result")</f>
        <v>Result</v>
      </c>
      <c r="NE110" s="70" t="s">
        <v>1058</v>
      </c>
    </row>
    <row r="111" spans="2:436" ht="15" customHeight="1">
      <c r="B111" s="20">
        <v>2</v>
      </c>
      <c r="C111" s="25" t="s">
        <v>350</v>
      </c>
      <c r="JJ111" s="70" t="s">
        <v>493</v>
      </c>
      <c r="JM111" s="121"/>
      <c r="JN111" s="121"/>
      <c r="JW111" s="16">
        <v>42201.946261574078</v>
      </c>
      <c r="JX111" s="16">
        <v>42201.947187500002</v>
      </c>
      <c r="JY111" s="70" t="s">
        <v>1046</v>
      </c>
      <c r="KD111" s="70"/>
      <c r="LM111" s="15" t="str">
        <f>HYPERLINK("\\gdc-data\Team\Test Team\!Testing Details\Automation\Demo\SALT SVN NZ\Projects\SALT\Snapshots\FullPayment_IN-MU-DT-J27068\20141124\21361\Iterator_2\FullPayment2.xlsx","Snapshot")</f>
        <v>Snapshot</v>
      </c>
      <c r="MJ111" s="71" t="s">
        <v>308</v>
      </c>
      <c r="MK111" s="70">
        <v>15</v>
      </c>
      <c r="ML111" s="71" t="s">
        <v>159</v>
      </c>
      <c r="MM111" s="71" t="s">
        <v>198</v>
      </c>
      <c r="MV111" s="70" t="s">
        <v>1218</v>
      </c>
      <c r="MX111" s="70" t="s">
        <v>58</v>
      </c>
      <c r="MY111" s="70" t="s">
        <v>96</v>
      </c>
      <c r="MZ111" s="70" t="s">
        <v>22</v>
      </c>
      <c r="NA111" s="71" t="s">
        <v>462</v>
      </c>
      <c r="ND111" s="15" t="str">
        <f>HYPERLINK("\\gdc-data\Team\Test Team\!Testing Details\Automation\Demo\SALT SVN NZ\Projects\SALT\Snapshots\FullPayment_IN-MU-DT-J27068\20141124\21361\Iterator_2\Merge.html","Result")</f>
        <v>Result</v>
      </c>
      <c r="NE111" s="70" t="s">
        <v>1069</v>
      </c>
    </row>
    <row r="112" spans="2:436" ht="15" customHeight="1">
      <c r="B112" s="20">
        <v>2</v>
      </c>
      <c r="C112" s="25" t="s">
        <v>351</v>
      </c>
      <c r="JJ112" s="70" t="s">
        <v>494</v>
      </c>
      <c r="JM112" s="121"/>
      <c r="JN112" s="121"/>
      <c r="JW112" s="16">
        <v>42201.947812500002</v>
      </c>
      <c r="JX112" s="16">
        <v>42201.948391203703</v>
      </c>
      <c r="JY112" s="70" t="s">
        <v>1254</v>
      </c>
      <c r="KD112" s="70"/>
      <c r="LM112" s="15" t="str">
        <f>HYPERLINK("\\gdc-data\Team\Test Team\!Testing Details\Automation\Demo\SALT SVN NZ\Projects\SALT\Snapshots\PartialPayment_IN-MU-DT-J27068\20141124\214011\Iterator_2\PartialPayment2.xlsx","Snapshot")</f>
        <v>Snapshot</v>
      </c>
      <c r="MJ112" s="70" t="s">
        <v>308</v>
      </c>
      <c r="MK112" s="70">
        <v>16</v>
      </c>
      <c r="ML112" s="70" t="s">
        <v>159</v>
      </c>
      <c r="MM112" s="70" t="s">
        <v>198</v>
      </c>
      <c r="MV112" s="70" t="s">
        <v>1142</v>
      </c>
      <c r="MX112" s="70" t="s">
        <v>58</v>
      </c>
      <c r="MY112" s="70" t="s">
        <v>96</v>
      </c>
      <c r="MZ112" s="70" t="s">
        <v>22</v>
      </c>
      <c r="NA112" s="70" t="s">
        <v>462</v>
      </c>
      <c r="ND112" s="15" t="str">
        <f>HYPERLINK("\\gdc-data\Team\Test Team\!Testing Details\Automation\Demo\SALT SVN NZ\Projects\SALT\Snapshots\PartialPayment_IN-MU-DT-J27068\20141124\214011\Iterator_2\Merge.html","Result")</f>
        <v>Result</v>
      </c>
      <c r="NE112" s="71" t="s">
        <v>1069</v>
      </c>
    </row>
    <row r="113" spans="1:573" ht="15" customHeight="1">
      <c r="B113" s="20">
        <v>2</v>
      </c>
      <c r="C113" s="25" t="s">
        <v>352</v>
      </c>
      <c r="JJ113" s="70" t="s">
        <v>495</v>
      </c>
      <c r="JM113" s="121"/>
      <c r="JN113" s="121"/>
      <c r="JW113" s="16">
        <v>42201.949016203704</v>
      </c>
      <c r="JX113" s="16">
        <v>42201.949594907404</v>
      </c>
      <c r="JY113" s="70" t="s">
        <v>1254</v>
      </c>
      <c r="KD113" s="70"/>
      <c r="LM113" s="15" t="str">
        <f>HYPERLINK("\\gdc-data\Team\Test Team\!Testing Details\Automation\Demo\SALT SVN NZ\Projects\SALT\Snapshots\HigherPayment_IN-MU-DT-J27068\20141124\21444\Iterator_2\HigherPayment2.xlsx","Snapshot")</f>
        <v>Snapshot</v>
      </c>
      <c r="MJ113" s="71" t="s">
        <v>308</v>
      </c>
      <c r="MK113" s="70">
        <v>17</v>
      </c>
      <c r="ML113" s="70" t="s">
        <v>159</v>
      </c>
      <c r="MM113" s="70" t="s">
        <v>198</v>
      </c>
      <c r="MV113" s="70" t="s">
        <v>1148</v>
      </c>
      <c r="MX113" s="70" t="s">
        <v>58</v>
      </c>
      <c r="MY113" s="70" t="s">
        <v>96</v>
      </c>
      <c r="MZ113" s="70" t="s">
        <v>22</v>
      </c>
      <c r="NA113" s="70" t="s">
        <v>462</v>
      </c>
      <c r="ND113" s="15" t="str">
        <f>HYPERLINK("\\gdc-data\Team\Test Team\!Testing Details\Automation\Demo\SALT SVN NZ\Projects\SALT\Snapshots\HigherPayment_IN-MU-DT-J27068\20141124\21444\Iterator_2\Merge.html","Result")</f>
        <v>Result</v>
      </c>
      <c r="NE113" s="70" t="s">
        <v>1069</v>
      </c>
    </row>
    <row r="114" spans="1:573" ht="15" customHeight="1">
      <c r="B114" s="20">
        <v>2</v>
      </c>
      <c r="C114" s="25" t="s">
        <v>353</v>
      </c>
      <c r="JJ114" s="70" t="s">
        <v>675</v>
      </c>
      <c r="JM114" s="121"/>
      <c r="JN114" s="121"/>
      <c r="JW114" s="16">
        <v>42201.950289351851</v>
      </c>
      <c r="JX114" s="16">
        <v>42201.950949074075</v>
      </c>
      <c r="JY114" s="70" t="s">
        <v>1044</v>
      </c>
      <c r="KD114" s="70"/>
      <c r="LM114" s="15" t="str">
        <f>HYPERLINK("C:\SVN\SALT ADMIN 525\Projects\SALT\Snapshots\IgnorePayment_IN-MU-LT-J27201\201571\225536\Iterator_2\IgnorePayment2.xlsx","Snapshot")</f>
        <v>Snapshot</v>
      </c>
      <c r="MJ114" s="70" t="s">
        <v>308</v>
      </c>
      <c r="MK114" s="70">
        <v>18</v>
      </c>
      <c r="ML114" s="70" t="s">
        <v>159</v>
      </c>
      <c r="MM114" s="70" t="s">
        <v>198</v>
      </c>
      <c r="MV114" s="70" t="s">
        <v>1220</v>
      </c>
      <c r="MX114" s="70" t="s">
        <v>58</v>
      </c>
      <c r="MY114" s="70" t="s">
        <v>96</v>
      </c>
      <c r="MZ114" s="70" t="s">
        <v>22</v>
      </c>
      <c r="NA114" s="70" t="s">
        <v>462</v>
      </c>
      <c r="ND114" s="15" t="str">
        <f>HYPERLINK("C:\SVN\SALT ADMIN 525\Projects\SALT\Snapshots\IgnorePayment_IN-MU-LT-J27201\201571\225536\Iterator_2\Merge.html","Result")</f>
        <v>Result</v>
      </c>
      <c r="NE114" s="70" t="s">
        <v>1069</v>
      </c>
    </row>
    <row r="115" spans="1:573" ht="15" customHeight="1">
      <c r="A115" s="70"/>
      <c r="B115" s="20">
        <v>1</v>
      </c>
      <c r="C115" s="25" t="s">
        <v>1255</v>
      </c>
      <c r="GF115" s="70" t="s">
        <v>78</v>
      </c>
      <c r="GG115" s="70" t="s">
        <v>440</v>
      </c>
      <c r="GI115" s="70">
        <v>258963</v>
      </c>
      <c r="GJ115" s="70" t="s">
        <v>459</v>
      </c>
      <c r="GK115" s="70">
        <v>20</v>
      </c>
      <c r="GL115" s="70">
        <v>2019</v>
      </c>
      <c r="GM115" s="70" t="s">
        <v>459</v>
      </c>
      <c r="GN115" s="70">
        <v>20</v>
      </c>
      <c r="GO115" s="70">
        <v>1989</v>
      </c>
      <c r="GP115" s="70" t="s">
        <v>735</v>
      </c>
      <c r="KD115" s="70"/>
      <c r="LM115" s="22"/>
      <c r="MJ115" s="70" t="s">
        <v>308</v>
      </c>
      <c r="MK115" s="70">
        <v>10</v>
      </c>
      <c r="ML115" s="70" t="s">
        <v>159</v>
      </c>
      <c r="MM115" s="70" t="s">
        <v>198</v>
      </c>
      <c r="MX115" s="70" t="s">
        <v>58</v>
      </c>
      <c r="MY115" s="70" t="s">
        <v>96</v>
      </c>
      <c r="MZ115" s="70" t="s">
        <v>22</v>
      </c>
      <c r="NA115" s="70" t="s">
        <v>462</v>
      </c>
      <c r="ND115" s="22"/>
    </row>
    <row r="116" spans="1:573" ht="15" customHeight="1">
      <c r="A116" s="70"/>
      <c r="B116" s="20">
        <v>1</v>
      </c>
      <c r="C116" s="21" t="s">
        <v>881</v>
      </c>
      <c r="FA116" s="70">
        <v>251</v>
      </c>
      <c r="JG116" s="70" t="s">
        <v>947</v>
      </c>
      <c r="JH116" s="70">
        <v>50</v>
      </c>
      <c r="JW116" s="16">
        <v>42202.612303240741</v>
      </c>
      <c r="JX116" s="16">
        <v>42202.612627314818</v>
      </c>
      <c r="JY116" s="70" t="s">
        <v>1256</v>
      </c>
      <c r="KD116" s="70"/>
      <c r="LM116" s="15" t="str">
        <f>HYPERLINK("C:\SVN\SALT ADMIN 525\Projects\SALT\Snapshots\ValidatePaymentTypes_IN-MU-LT-J27201\201577\145028\Iterator_1\ValidatePaymentTypes1.xlsx","Snapshot")</f>
        <v>Snapshot</v>
      </c>
      <c r="MX116" s="70" t="s">
        <v>58</v>
      </c>
      <c r="MY116" s="70" t="s">
        <v>96</v>
      </c>
      <c r="MZ116" s="70" t="s">
        <v>22</v>
      </c>
      <c r="NA116" s="70" t="s">
        <v>462</v>
      </c>
      <c r="ND116" s="15" t="str">
        <f>HYPERLINK("C:\SVN\SALT ADMIN 525\Projects\SALT\Snapshots\ValidatePaymentTypes_IN-MU-LT-J27201\201577\145028\Iterator_1\Merge.html","Result")</f>
        <v>Result</v>
      </c>
      <c r="NE116" s="70" t="s">
        <v>1058</v>
      </c>
    </row>
    <row r="117" spans="1:573" ht="15" customHeight="1">
      <c r="A117" s="70"/>
      <c r="B117" s="20">
        <v>1</v>
      </c>
      <c r="C117" s="21" t="s">
        <v>882</v>
      </c>
      <c r="FA117" s="70">
        <v>251</v>
      </c>
      <c r="JG117" s="70" t="s">
        <v>948</v>
      </c>
      <c r="JH117" s="70">
        <v>1</v>
      </c>
      <c r="JW117" s="16">
        <v>42202.612638888888</v>
      </c>
      <c r="JX117" s="16">
        <v>42202.613009259258</v>
      </c>
      <c r="JY117" s="70" t="s">
        <v>1257</v>
      </c>
      <c r="KD117" s="70"/>
      <c r="LM117" s="15" t="str">
        <f>HYPERLINK("C:\SVN\SALT ADMIN 525\Projects\SALT\Snapshots\ValidateLeadTimePaymentPage_IN-MU-LT-J27201\201577\14514\Iterator_1\ValidateLeadTimePaymentPage1.xlsx","Snapshot")</f>
        <v>Snapshot</v>
      </c>
      <c r="MX117" s="70" t="s">
        <v>58</v>
      </c>
      <c r="MY117" s="70" t="s">
        <v>96</v>
      </c>
      <c r="MZ117" s="70" t="s">
        <v>22</v>
      </c>
      <c r="NA117" s="70" t="s">
        <v>462</v>
      </c>
      <c r="ND117" s="15" t="str">
        <f>HYPERLINK("C:\SVN\SALT ADMIN 525\Projects\SALT\Snapshots\ValidateLeadTimePaymentPage_IN-MU-LT-J27201\201577\14514\Iterator_1\Merge.html","Result")</f>
        <v>Result</v>
      </c>
      <c r="NE117" s="70" t="s">
        <v>1058</v>
      </c>
    </row>
    <row r="118" spans="1:573" ht="15" customHeight="1">
      <c r="A118" s="70"/>
      <c r="B118" s="20">
        <v>1</v>
      </c>
      <c r="C118" s="21" t="s">
        <v>883</v>
      </c>
      <c r="FA118" s="70">
        <v>251</v>
      </c>
      <c r="JH118" s="70">
        <v>89</v>
      </c>
      <c r="JW118" s="16">
        <v>42202.613020833334</v>
      </c>
      <c r="JX118" s="16">
        <v>42202.613645833335</v>
      </c>
      <c r="JY118" s="70" t="s">
        <v>1258</v>
      </c>
      <c r="KD118" s="70"/>
      <c r="LM118" s="15" t="str">
        <f>HYPERLINK("C:\SVN\SALT ADMIN 525\Projects\SALT\Snapshots\ValidatePaymentLeadTime_IN-MU-LT-J27201\201577\145149\Iterator_1\ValidatePaymentLeadTime1.xlsx","Snapshot")</f>
        <v>Snapshot</v>
      </c>
      <c r="MX118" s="70" t="s">
        <v>58</v>
      </c>
      <c r="MY118" s="70" t="s">
        <v>96</v>
      </c>
      <c r="MZ118" s="70" t="s">
        <v>22</v>
      </c>
      <c r="NA118" s="70" t="s">
        <v>462</v>
      </c>
      <c r="ND118" s="15" t="str">
        <f>HYPERLINK("C:\SVN\SALT ADMIN 525\Projects\SALT\Snapshots\ValidatePaymentLeadTime_IN-MU-LT-J27201\201577\145149\Iterator_1\Merge.html","Result")</f>
        <v>Result</v>
      </c>
      <c r="NE118" s="70" t="s">
        <v>1058</v>
      </c>
    </row>
    <row r="119" spans="1:573" ht="15" customHeight="1">
      <c r="A119" s="70"/>
      <c r="B119" s="20">
        <v>1</v>
      </c>
      <c r="C119" s="21" t="s">
        <v>884</v>
      </c>
      <c r="JW119" s="16">
        <v>42202.613657407404</v>
      </c>
      <c r="JX119" s="16">
        <v>42202.616875</v>
      </c>
      <c r="JY119" s="70" t="s">
        <v>1102</v>
      </c>
      <c r="KD119" s="70"/>
      <c r="KJ119" s="70" t="s">
        <v>456</v>
      </c>
      <c r="KK119" s="70" t="s">
        <v>456</v>
      </c>
      <c r="LM119" s="15" t="str">
        <f>HYPERLINK("C:\SVN\SALT ADMIN 525\Projects\SALT\Snapshots\CallCentreCancelledUnpackOrder_IN-MU-LT-J27201\201577\145256\Iterator_1\CallCentreCancelledUnpackOrder1.xlsx","Snapshot")</f>
        <v>Snapshot</v>
      </c>
      <c r="MJ119" s="80" t="s">
        <v>308</v>
      </c>
      <c r="MK119" s="70">
        <v>26</v>
      </c>
      <c r="ML119" s="70" t="s">
        <v>159</v>
      </c>
      <c r="MM119" s="70" t="s">
        <v>198</v>
      </c>
      <c r="MR119" s="70" t="s">
        <v>1099</v>
      </c>
      <c r="MV119" s="70" t="s">
        <v>1259</v>
      </c>
      <c r="MX119" s="70" t="s">
        <v>58</v>
      </c>
      <c r="MY119" s="70" t="s">
        <v>96</v>
      </c>
      <c r="MZ119" s="70" t="s">
        <v>22</v>
      </c>
      <c r="NA119" s="70" t="s">
        <v>462</v>
      </c>
      <c r="ND119" s="15" t="str">
        <f>HYPERLINK("C:\SVN\SALT ADMIN 525\Projects\SALT\Snapshots\CallCentreCancelledUnpackOrder_IN-MU-LT-J27201\201577\145256\Iterator_1\Merge.html","Result")</f>
        <v>Result</v>
      </c>
      <c r="NE119" s="70" t="s">
        <v>1058</v>
      </c>
    </row>
    <row r="120" spans="1:573" ht="15" customHeight="1">
      <c r="A120" s="70"/>
      <c r="B120" s="20">
        <v>1</v>
      </c>
      <c r="C120" s="21" t="s">
        <v>885</v>
      </c>
      <c r="JW120" s="16">
        <v>41970.679502314815</v>
      </c>
      <c r="JX120" s="16">
        <v>41970.680034722223</v>
      </c>
      <c r="JY120" s="70" t="s">
        <v>1260</v>
      </c>
      <c r="KD120" s="70"/>
      <c r="LM120" s="22"/>
      <c r="ND120" s="22"/>
    </row>
    <row r="121" spans="1:573" ht="15" customHeight="1">
      <c r="A121" s="70"/>
      <c r="B121" s="20">
        <v>2</v>
      </c>
      <c r="C121" s="25" t="s">
        <v>214</v>
      </c>
      <c r="D121" s="70" t="s">
        <v>1058</v>
      </c>
      <c r="E121" s="70" t="s">
        <v>1340</v>
      </c>
      <c r="F121" s="15" t="str">
        <f>HYPERLINK("C:\SVN\SALT ADMIN 525\Projects\SALT\Snapshots\StorePackCashOrder_IN-MU-LT-J27423\2015728\145950\Iterator_2\StorePackCashOrder2.xlsx","Snapshot")</f>
        <v>Snapshot</v>
      </c>
      <c r="G121" s="15" t="str">
        <f>HYPERLINK("C:\SVN\SALT ADMIN 525\Projects\SALT\Snapshots\StorePackCashOrder_IN-MU-LT-J27423\2015728\145950\Iterator_2\Merge.html","Result")</f>
        <v>Result</v>
      </c>
      <c r="JW121" s="16">
        <v>42213.624884259261</v>
      </c>
      <c r="JX121" s="16">
        <v>42213.627569444441</v>
      </c>
      <c r="JY121" s="70" t="s">
        <v>1385</v>
      </c>
      <c r="KD121" s="70"/>
      <c r="KJ121" s="70" t="s">
        <v>456</v>
      </c>
      <c r="KK121" s="70" t="s">
        <v>456</v>
      </c>
      <c r="LM121" s="15" t="str">
        <f>HYPERLINK("\\gdc-data\Team\Test Team\!Testing Details\Automation\Demo\SALT SVN NZ\Projects\SALT\Snapshots\StorePackCashOrder_IN-MU-DT-J27068\20141124\211521\Iterator_2\StorePackCashOrder2.xlsx","Snapshot")</f>
        <v>Snapshot</v>
      </c>
      <c r="MJ121" s="54" t="s">
        <v>1378</v>
      </c>
      <c r="MK121" s="70">
        <v>10</v>
      </c>
      <c r="ML121" s="70" t="s">
        <v>159</v>
      </c>
      <c r="MM121" s="70" t="s">
        <v>198</v>
      </c>
      <c r="MR121" s="71" t="s">
        <v>1380</v>
      </c>
      <c r="MV121" s="70" t="s">
        <v>1366</v>
      </c>
      <c r="MX121" s="70" t="s">
        <v>58</v>
      </c>
      <c r="MY121" s="70" t="s">
        <v>96</v>
      </c>
      <c r="MZ121" s="70" t="s">
        <v>22</v>
      </c>
      <c r="NA121" s="71" t="s">
        <v>1341</v>
      </c>
      <c r="ND121" s="15" t="str">
        <f>HYPERLINK("\\gdc-data\Team\Test Team\!Testing Details\Automation\Demo\SALT SVN NZ\Projects\SALT\Snapshots\StorePackCashOrder_IN-MU-DT-J27068\20141124\211521\Iterator_2\Merge.html","Result")</f>
        <v>Result</v>
      </c>
      <c r="NE121" s="70" t="s">
        <v>1069</v>
      </c>
    </row>
    <row r="122" spans="1:573" ht="15" customHeight="1">
      <c r="A122" s="70"/>
      <c r="B122" s="20">
        <v>1</v>
      </c>
      <c r="C122" s="26" t="s">
        <v>1413</v>
      </c>
      <c r="D122" s="71" t="s">
        <v>1411</v>
      </c>
      <c r="E122" s="71" t="s">
        <v>1340</v>
      </c>
      <c r="F122" s="15"/>
      <c r="G122" s="15"/>
      <c r="JW122" s="16">
        <v>42353.534629629627</v>
      </c>
      <c r="JX122" s="16">
        <v>42353.535104166665</v>
      </c>
      <c r="JY122" s="70" t="s">
        <v>1415</v>
      </c>
      <c r="MX122" s="70" t="s">
        <v>58</v>
      </c>
      <c r="MY122" s="70" t="s">
        <v>96</v>
      </c>
      <c r="MZ122" s="70" t="s">
        <v>22</v>
      </c>
      <c r="NA122" s="70" t="s">
        <v>1341</v>
      </c>
    </row>
    <row r="123" spans="1:573" ht="15" customHeight="1">
      <c r="B123" s="31">
        <v>1</v>
      </c>
      <c r="C123" s="25" t="s">
        <v>1417</v>
      </c>
      <c r="D123" s="25" t="s">
        <v>1411</v>
      </c>
      <c r="E123" s="71" t="s">
        <v>1340</v>
      </c>
      <c r="F123" s="15" t="s">
        <v>1433</v>
      </c>
      <c r="G123" s="15"/>
      <c r="FS123" s="121"/>
      <c r="FT123" s="121"/>
      <c r="GB123" s="16">
        <v>42347.899317129632</v>
      </c>
      <c r="GC123" s="16">
        <v>42347.902453703704</v>
      </c>
      <c r="GD123" s="70" t="s">
        <v>1106</v>
      </c>
      <c r="GN123" s="70" t="s">
        <v>440</v>
      </c>
      <c r="JI123" s="71" t="s">
        <v>1058</v>
      </c>
      <c r="JK123" s="15" t="str">
        <f>HYPERLINK("C:\SVN\SALT ADMIN 525\Projects\SALT\Snapshots\CheckOrdersToPack_IN-MU-LT-J27201\201571\18353\Iterator_1\Merge.html","Result")</f>
        <v>Result</v>
      </c>
      <c r="JW123" s="16">
        <v>42354.71601851852</v>
      </c>
      <c r="JX123" s="16">
        <v>42354.719398148147</v>
      </c>
      <c r="JY123" s="70" t="s">
        <v>1388</v>
      </c>
      <c r="KD123" s="70"/>
      <c r="MR123" s="71" t="s">
        <v>1380</v>
      </c>
      <c r="MS123" s="234" t="s">
        <v>1098</v>
      </c>
      <c r="MT123" s="234" t="s">
        <v>1422</v>
      </c>
      <c r="MX123" s="70" t="s">
        <v>58</v>
      </c>
      <c r="MY123" s="70" t="s">
        <v>96</v>
      </c>
      <c r="MZ123" s="70" t="s">
        <v>22</v>
      </c>
      <c r="NA123" s="70" t="s">
        <v>1341</v>
      </c>
      <c r="NB123" s="70" t="s">
        <v>1419</v>
      </c>
      <c r="NC123" s="71" t="s">
        <v>1380</v>
      </c>
      <c r="ND123" s="234" t="s">
        <v>1098</v>
      </c>
      <c r="NE123" s="234"/>
      <c r="QS123" s="15" t="str">
        <f>HYPERLINK("C:\SVN\SALT ADMIN 525\Projects\SALT\Snapshots\CheckOrdersToPack_IN-MU-LT-J27201\201571\18353\Iterator_1\CheckOrdersToPack1.xlsx","Snapshot")</f>
        <v>Snapshot</v>
      </c>
      <c r="UJ123" s="80" t="s">
        <v>1378</v>
      </c>
      <c r="UK123" s="70">
        <v>4</v>
      </c>
      <c r="UL123" s="70" t="s">
        <v>159</v>
      </c>
      <c r="UM123" s="70" t="s">
        <v>198</v>
      </c>
      <c r="UN123" s="70" t="s">
        <v>1411</v>
      </c>
      <c r="UO123" s="70" t="s">
        <v>1419</v>
      </c>
      <c r="UP123" s="70" t="s">
        <v>1420</v>
      </c>
      <c r="UQ123" s="71" t="s">
        <v>1380</v>
      </c>
      <c r="UR123" s="55" t="s">
        <v>1421</v>
      </c>
      <c r="US123" s="55" t="s">
        <v>1422</v>
      </c>
      <c r="UT123" s="71" t="s">
        <v>1380</v>
      </c>
      <c r="UU123" s="55" t="s">
        <v>1097</v>
      </c>
      <c r="UV123" s="55" t="s">
        <v>1098</v>
      </c>
      <c r="UX123" s="70" t="s">
        <v>58</v>
      </c>
      <c r="UY123" s="70" t="s">
        <v>96</v>
      </c>
      <c r="UZ123" s="70" t="s">
        <v>22</v>
      </c>
      <c r="VA123" s="71" t="s">
        <v>1341</v>
      </c>
    </row>
    <row r="124" spans="1:573" ht="15" customHeight="1">
      <c r="B124" s="20">
        <v>1</v>
      </c>
      <c r="C124" s="21" t="s">
        <v>1434</v>
      </c>
      <c r="D124" s="70" t="s">
        <v>1411</v>
      </c>
      <c r="E124" s="70" t="s">
        <v>1340</v>
      </c>
      <c r="F124" s="15"/>
      <c r="G124" s="15"/>
      <c r="JW124" s="16">
        <v>42355.827916666669</v>
      </c>
      <c r="JX124" s="16">
        <v>42355.828425925924</v>
      </c>
      <c r="JY124" s="70" t="s">
        <v>1438</v>
      </c>
      <c r="MX124" s="70" t="s">
        <v>58</v>
      </c>
      <c r="MY124" s="70" t="s">
        <v>96</v>
      </c>
      <c r="MZ124" s="70" t="s">
        <v>22</v>
      </c>
      <c r="NA124" s="70" t="s">
        <v>1341</v>
      </c>
      <c r="NB124" s="70" t="s">
        <v>1419</v>
      </c>
      <c r="NC124" s="71" t="s">
        <v>1380</v>
      </c>
      <c r="ND124" s="234" t="s">
        <v>1098</v>
      </c>
      <c r="NE124" s="234" t="s">
        <v>1437</v>
      </c>
    </row>
    <row r="125" spans="1:573" ht="15" customHeight="1">
      <c r="A125" s="70"/>
    </row>
    <row r="126" spans="1:573" ht="15" customHeight="1">
      <c r="A126" s="70"/>
    </row>
    <row r="127" spans="1:573" ht="15" customHeight="1">
      <c r="A127" s="70"/>
    </row>
    <row r="128" spans="1:573" ht="15" customHeight="1">
      <c r="A128" s="70"/>
    </row>
    <row r="129" spans="1:7" ht="15" customHeight="1">
      <c r="A129" s="70"/>
    </row>
    <row r="130" spans="1:7" ht="15" customHeight="1">
      <c r="A130" s="70"/>
      <c r="B130" s="70"/>
      <c r="C130" s="70"/>
      <c r="F130" s="70"/>
      <c r="G130" s="70"/>
    </row>
    <row r="131" spans="1:7" ht="15" customHeight="1">
      <c r="A131" s="70"/>
      <c r="B131" s="70"/>
      <c r="C131" s="70"/>
      <c r="F131" s="70"/>
      <c r="G131" s="70"/>
    </row>
    <row r="132" spans="1:7" ht="15" customHeight="1">
      <c r="A132" s="70"/>
      <c r="B132" s="70"/>
      <c r="C132" s="70"/>
      <c r="F132" s="70"/>
      <c r="G132" s="70"/>
    </row>
    <row r="133" spans="1:7" ht="15" customHeight="1">
      <c r="A133" s="70"/>
      <c r="B133" s="70"/>
      <c r="C133" s="70"/>
      <c r="F133" s="70"/>
      <c r="G133" s="70"/>
    </row>
    <row r="134" spans="1:7" ht="15" customHeight="1">
      <c r="A134" s="70"/>
      <c r="B134" s="70"/>
      <c r="C134" s="70"/>
      <c r="F134" s="70"/>
      <c r="G134" s="70"/>
    </row>
    <row r="135" spans="1:7" ht="15" customHeight="1">
      <c r="A135" s="70"/>
      <c r="B135" s="70"/>
      <c r="C135" s="70"/>
      <c r="F135" s="70"/>
      <c r="G135" s="70"/>
    </row>
    <row r="136" spans="1:7" ht="15" customHeight="1">
      <c r="A136" s="70"/>
      <c r="B136" s="70"/>
      <c r="C136" s="70"/>
      <c r="F136" s="70"/>
      <c r="G136" s="70"/>
    </row>
    <row r="137" spans="1:7" ht="15" customHeight="1">
      <c r="A137" s="70"/>
      <c r="B137" s="70"/>
      <c r="C137" s="70"/>
      <c r="F137" s="70"/>
      <c r="G137" s="70"/>
    </row>
    <row r="138" spans="1:7" ht="15" customHeight="1">
      <c r="A138" s="70"/>
      <c r="B138" s="70"/>
      <c r="C138" s="70"/>
      <c r="F138" s="70"/>
      <c r="G138" s="70"/>
    </row>
    <row r="139" spans="1:7" ht="15" customHeight="1">
      <c r="A139" s="70"/>
      <c r="B139" s="70"/>
      <c r="C139" s="70"/>
      <c r="F139" s="70"/>
      <c r="G139" s="70"/>
    </row>
    <row r="140" spans="1:7" ht="15" customHeight="1">
      <c r="A140" s="70"/>
      <c r="B140" s="70"/>
      <c r="C140" s="70"/>
      <c r="F140" s="70"/>
      <c r="G140" s="70"/>
    </row>
    <row r="141" spans="1:7" ht="15" customHeight="1">
      <c r="A141" s="70"/>
      <c r="B141" s="70"/>
      <c r="C141" s="70"/>
      <c r="F141" s="70"/>
      <c r="G141" s="70"/>
    </row>
    <row r="142" spans="1:7" ht="15" customHeight="1">
      <c r="A142" s="70"/>
      <c r="B142" s="70"/>
      <c r="C142" s="70"/>
      <c r="F142" s="70"/>
      <c r="G142" s="70"/>
    </row>
    <row r="143" spans="1:7" ht="15" customHeight="1">
      <c r="A143" s="70"/>
      <c r="B143" s="70"/>
      <c r="C143" s="70"/>
      <c r="F143" s="70"/>
      <c r="G143" s="70"/>
    </row>
    <row r="144" spans="1:7" ht="15" customHeight="1">
      <c r="A144" s="70"/>
      <c r="B144" s="70"/>
      <c r="C144" s="70"/>
      <c r="F144" s="70"/>
      <c r="G144" s="70"/>
    </row>
    <row r="145" spans="1:7" ht="15" customHeight="1">
      <c r="A145" s="70"/>
      <c r="B145" s="70"/>
      <c r="C145" s="70"/>
      <c r="F145" s="70"/>
      <c r="G145" s="70"/>
    </row>
    <row r="146" spans="1:7" ht="15" customHeight="1">
      <c r="A146" s="70"/>
      <c r="B146" s="70"/>
      <c r="C146" s="70"/>
      <c r="F146" s="70"/>
      <c r="G146" s="70"/>
    </row>
    <row r="147" spans="1:7" ht="15" customHeight="1">
      <c r="A147" s="70"/>
      <c r="B147" s="70"/>
      <c r="C147" s="70"/>
      <c r="F147" s="70"/>
      <c r="G147" s="70"/>
    </row>
    <row r="148" spans="1:7" ht="15" customHeight="1">
      <c r="A148" s="70"/>
      <c r="B148" s="70"/>
      <c r="C148" s="70"/>
      <c r="F148" s="70"/>
      <c r="G148" s="70"/>
    </row>
    <row r="149" spans="1:7" ht="15" customHeight="1">
      <c r="A149" s="70"/>
      <c r="B149" s="70"/>
      <c r="C149" s="70"/>
      <c r="F149" s="70"/>
      <c r="G149" s="70"/>
    </row>
    <row r="150" spans="1:7" ht="15" customHeight="1">
      <c r="A150" s="70"/>
      <c r="B150" s="70"/>
      <c r="C150" s="70"/>
      <c r="F150" s="70"/>
      <c r="G150" s="70"/>
    </row>
    <row r="151" spans="1:7" ht="15" customHeight="1">
      <c r="A151" s="70"/>
      <c r="B151" s="70"/>
      <c r="C151" s="70"/>
      <c r="F151" s="70"/>
      <c r="G151" s="70"/>
    </row>
    <row r="152" spans="1:7" ht="15" customHeight="1">
      <c r="A152" s="70"/>
      <c r="B152" s="70"/>
      <c r="C152" s="70"/>
      <c r="F152" s="70"/>
      <c r="G152" s="70"/>
    </row>
    <row r="153" spans="1:7" ht="15" customHeight="1">
      <c r="A153" s="70"/>
      <c r="B153" s="70"/>
      <c r="C153" s="70"/>
      <c r="F153" s="70"/>
      <c r="G153" s="70"/>
    </row>
    <row r="154" spans="1:7" ht="15" customHeight="1">
      <c r="A154" s="70"/>
      <c r="B154" s="70"/>
      <c r="C154" s="70"/>
      <c r="F154" s="70"/>
      <c r="G154" s="70"/>
    </row>
    <row r="155" spans="1:7" ht="15" customHeight="1">
      <c r="A155" s="70"/>
      <c r="B155" s="70"/>
      <c r="C155" s="70"/>
      <c r="F155" s="70"/>
      <c r="G155" s="70"/>
    </row>
    <row r="156" spans="1:7" ht="15" customHeight="1">
      <c r="A156" s="70"/>
      <c r="B156" s="70"/>
      <c r="C156" s="70"/>
      <c r="F156" s="70"/>
      <c r="G156" s="70"/>
    </row>
    <row r="157" spans="1:7" ht="15" customHeight="1">
      <c r="A157" s="70"/>
      <c r="B157" s="70"/>
      <c r="C157" s="70"/>
      <c r="F157" s="70"/>
      <c r="G157" s="70"/>
    </row>
    <row r="158" spans="1:7" ht="15" customHeight="1">
      <c r="A158" s="70"/>
      <c r="B158" s="70"/>
      <c r="C158" s="70"/>
      <c r="F158" s="70"/>
      <c r="G158" s="70"/>
    </row>
    <row r="159" spans="1:7" ht="15" customHeight="1">
      <c r="A159" s="70"/>
      <c r="B159" s="70"/>
      <c r="C159" s="70"/>
      <c r="F159" s="70"/>
      <c r="G159" s="70"/>
    </row>
    <row r="160" spans="1:7" ht="15" customHeight="1">
      <c r="A160" s="70"/>
      <c r="B160" s="70"/>
      <c r="C160" s="70"/>
      <c r="F160" s="70"/>
      <c r="G160" s="70"/>
    </row>
    <row r="161" spans="1:7" ht="15" customHeight="1">
      <c r="A161" s="70"/>
      <c r="B161" s="70"/>
      <c r="C161" s="70"/>
      <c r="F161" s="70"/>
      <c r="G161" s="70"/>
    </row>
    <row r="162" spans="1:7" ht="15" customHeight="1">
      <c r="A162" s="70"/>
      <c r="B162" s="70"/>
      <c r="C162" s="70"/>
      <c r="F162" s="70"/>
      <c r="G162" s="70"/>
    </row>
    <row r="163" spans="1:7" ht="15" customHeight="1">
      <c r="A163" s="70"/>
      <c r="B163" s="70"/>
      <c r="C163" s="70"/>
      <c r="F163" s="70"/>
      <c r="G163" s="70"/>
    </row>
  </sheetData>
  <protectedRanges>
    <protectedRange sqref="C35" name="Range1_1"/>
  </protectedRanges>
  <dataConsolidate/>
  <customSheetViews>
    <customSheetView guid="{A8F9189F-30EC-448E-8FA3-1F1B01D22A46}" scale="80" filter="1" showAutoFilter="1" hiddenRows="1" hiddenColumns="1">
      <selection activeCell="FP58" sqref="FP58"/>
      <pageMargins left="0.7" right="0.7" top="0.75" bottom="0.75" header="0.3" footer="0.3"/>
      <pageSetup orientation="portrait" r:id="rId1"/>
      <autoFilter ref="B3:D58">
        <filterColumn colId="1">
          <filters>
            <filter val="MobilePickUpCashPassportOrder"/>
          </filters>
        </filterColumn>
      </autoFilter>
    </customSheetView>
  </customSheetViews>
  <hyperlinks>
    <hyperlink ref="DV98" r:id="rId2"/>
    <hyperlink ref="JT85" r:id="rId3"/>
    <hyperlink ref="JT86" r:id="rId4"/>
    <hyperlink ref="JT87" r:id="rId5"/>
    <hyperlink ref="JT88" r:id="rId6"/>
    <hyperlink ref="JT108" r:id="rId7"/>
    <hyperlink ref="JT82" r:id="rId8"/>
    <hyperlink ref="JT103" r:id="rId9"/>
    <hyperlink ref="FP74" r:id="rId10"/>
    <hyperlink ref="JT78" r:id="rId11"/>
    <hyperlink ref="II5" r:id="rId12"/>
    <hyperlink ref="IJ5" r:id="rId13"/>
    <hyperlink ref="II6:IJ6" r:id="rId14" display="harshit.wadaskar@travelex.com"/>
    <hyperlink ref="II7:IJ28" r:id="rId15" display="harshit.wadaskar@travelex.com"/>
    <hyperlink ref="KL4" r:id="rId16"/>
    <hyperlink ref="KL5:KL28" r:id="rId17" display="http://www.travelex.co.uk.rgt.salt/gb/purchase"/>
    <hyperlink ref="LB5" r:id="rId18"/>
    <hyperlink ref="LC5" r:id="rId19"/>
    <hyperlink ref="LC6" r:id="rId20"/>
    <hyperlink ref="LC7:LC28" r:id="rId21" display="harshit.wadaskar@travelex.com"/>
    <hyperlink ref="KL29" r:id="rId22"/>
    <hyperlink ref="LC29" r:id="rId23"/>
    <hyperlink ref="KL30" r:id="rId24"/>
    <hyperlink ref="LC30" r:id="rId25"/>
  </hyperlinks>
  <pageMargins left="0.7" right="0.7" top="0.75" bottom="0.75" header="0.3" footer="0.3"/>
  <pageSetup orientation="portrait" r:id="rId26"/>
  <drawing r:id="rId27"/>
  <legacyDrawing r:id="rId28"/>
  <controls>
    <mc:AlternateContent xmlns:mc="http://schemas.openxmlformats.org/markup-compatibility/2006">
      <mc:Choice Requires="x14">
        <control shapeId="3094" r:id="rId29" name="cmdTCExecutionTime">
          <controlPr defaultSize="0" autoLine="0" r:id="rId30">
            <anchor>
              <from>
                <xdr:col>0</xdr:col>
                <xdr:colOff>0</xdr:colOff>
                <xdr:row>12</xdr:row>
                <xdr:rowOff>142875</xdr:rowOff>
              </from>
              <to>
                <xdr:col>0</xdr:col>
                <xdr:colOff>1371600</xdr:colOff>
                <xdr:row>14</xdr:row>
                <xdr:rowOff>76200</xdr:rowOff>
              </to>
            </anchor>
          </controlPr>
        </control>
      </mc:Choice>
      <mc:Fallback>
        <control shapeId="3094" r:id="rId29" name="cmdTCExecutionTime"/>
      </mc:Fallback>
    </mc:AlternateContent>
    <mc:AlternateContent xmlns:mc="http://schemas.openxmlformats.org/markup-compatibility/2006">
      <mc:Choice Requires="x14">
        <control shapeId="3089" r:id="rId31" name="cmdImportHeaders">
          <controlPr defaultSize="0" autoLine="0" r:id="rId32">
            <anchor>
              <from>
                <xdr:col>0</xdr:col>
                <xdr:colOff>209550</xdr:colOff>
                <xdr:row>4</xdr:row>
                <xdr:rowOff>38100</xdr:rowOff>
              </from>
              <to>
                <xdr:col>0</xdr:col>
                <xdr:colOff>1638300</xdr:colOff>
                <xdr:row>5</xdr:row>
                <xdr:rowOff>171450</xdr:rowOff>
              </to>
            </anchor>
          </controlPr>
        </control>
      </mc:Choice>
      <mc:Fallback>
        <control shapeId="3089" r:id="rId31" name="cmdImportHeaders"/>
      </mc:Fallback>
    </mc:AlternateContent>
    <mc:AlternateContent xmlns:mc="http://schemas.openxmlformats.org/markup-compatibility/2006">
      <mc:Choice Requires="x14">
        <control shapeId="3088" r:id="rId33" name="cmdShowAllCol">
          <controlPr defaultSize="0" autoLine="0" r:id="rId34">
            <anchor>
              <from>
                <xdr:col>0</xdr:col>
                <xdr:colOff>123825</xdr:colOff>
                <xdr:row>12</xdr:row>
                <xdr:rowOff>171450</xdr:rowOff>
              </from>
              <to>
                <xdr:col>0</xdr:col>
                <xdr:colOff>1619250</xdr:colOff>
                <xdr:row>15</xdr:row>
                <xdr:rowOff>57150</xdr:rowOff>
              </to>
            </anchor>
          </controlPr>
        </control>
      </mc:Choice>
      <mc:Fallback>
        <control shapeId="3088" r:id="rId33" name="cmdShowAllCol"/>
      </mc:Fallback>
    </mc:AlternateContent>
    <mc:AlternateContent xmlns:mc="http://schemas.openxmlformats.org/markup-compatibility/2006">
      <mc:Choice Requires="x14">
        <control shapeId="3087" r:id="rId35" name="cmdPrevious">
          <controlPr defaultSize="0" autoLine="0" r:id="rId36">
            <anchor>
              <from>
                <xdr:col>0</xdr:col>
                <xdr:colOff>200025</xdr:colOff>
                <xdr:row>11</xdr:row>
                <xdr:rowOff>142875</xdr:rowOff>
              </from>
              <to>
                <xdr:col>0</xdr:col>
                <xdr:colOff>1543050</xdr:colOff>
                <xdr:row>13</xdr:row>
                <xdr:rowOff>85725</xdr:rowOff>
              </to>
            </anchor>
          </controlPr>
        </control>
      </mc:Choice>
      <mc:Fallback>
        <control shapeId="3087" r:id="rId35" name="cmdPrevious"/>
      </mc:Fallback>
    </mc:AlternateContent>
    <mc:AlternateContent xmlns:mc="http://schemas.openxmlformats.org/markup-compatibility/2006">
      <mc:Choice Requires="x14">
        <control shapeId="3086" r:id="rId37" name="cmdNext">
          <controlPr defaultSize="0" autoLine="0" r:id="rId38">
            <anchor>
              <from>
                <xdr:col>0</xdr:col>
                <xdr:colOff>0</xdr:colOff>
                <xdr:row>7</xdr:row>
                <xdr:rowOff>19050</xdr:rowOff>
              </from>
              <to>
                <xdr:col>0</xdr:col>
                <xdr:colOff>1447800</xdr:colOff>
                <xdr:row>8</xdr:row>
                <xdr:rowOff>142875</xdr:rowOff>
              </to>
            </anchor>
          </controlPr>
        </control>
      </mc:Choice>
      <mc:Fallback>
        <control shapeId="3086" r:id="rId37" name="cmdNext"/>
      </mc:Fallback>
    </mc:AlternateContent>
    <mc:AlternateContent xmlns:mc="http://schemas.openxmlformats.org/markup-compatibility/2006">
      <mc:Choice Requires="x14">
        <control shapeId="3085" r:id="rId39" name="cmdFindBC">
          <controlPr defaultSize="0" autoLine="0" r:id="rId40">
            <anchor>
              <from>
                <xdr:col>0</xdr:col>
                <xdr:colOff>0</xdr:colOff>
                <xdr:row>7</xdr:row>
                <xdr:rowOff>104775</xdr:rowOff>
              </from>
              <to>
                <xdr:col>0</xdr:col>
                <xdr:colOff>3409950</xdr:colOff>
                <xdr:row>10</xdr:row>
                <xdr:rowOff>66675</xdr:rowOff>
              </to>
            </anchor>
          </controlPr>
        </control>
      </mc:Choice>
      <mc:Fallback>
        <control shapeId="3085" r:id="rId39" name="cmdFindBC"/>
      </mc:Fallback>
    </mc:AlternateContent>
    <mc:AlternateContent xmlns:mc="http://schemas.openxmlformats.org/markup-compatibility/2006">
      <mc:Choice Requires="x14">
        <control shapeId="3084" r:id="rId41" name="cmdFindTest">
          <controlPr defaultSize="0" autoLine="0" r:id="rId42">
            <anchor>
              <from>
                <xdr:col>0</xdr:col>
                <xdr:colOff>0</xdr:colOff>
                <xdr:row>0</xdr:row>
                <xdr:rowOff>85725</xdr:rowOff>
              </from>
              <to>
                <xdr:col>0</xdr:col>
                <xdr:colOff>3381375</xdr:colOff>
                <xdr:row>0</xdr:row>
                <xdr:rowOff>95250</xdr:rowOff>
              </to>
            </anchor>
          </controlPr>
        </control>
      </mc:Choice>
      <mc:Fallback>
        <control shapeId="3084" r:id="rId41" name="cmdFindTest"/>
      </mc:Fallback>
    </mc:AlternateContent>
    <mc:AlternateContent xmlns:mc="http://schemas.openxmlformats.org/markup-compatibility/2006">
      <mc:Choice Requires="x14">
        <control shapeId="3083" r:id="rId43" name="CmbBCName">
          <controlPr defaultSize="0" autoLine="0" r:id="rId44">
            <anchor>
              <from>
                <xdr:col>0</xdr:col>
                <xdr:colOff>0</xdr:colOff>
                <xdr:row>6</xdr:row>
                <xdr:rowOff>85725</xdr:rowOff>
              </from>
              <to>
                <xdr:col>0</xdr:col>
                <xdr:colOff>3390900</xdr:colOff>
                <xdr:row>8</xdr:row>
                <xdr:rowOff>38100</xdr:rowOff>
              </to>
            </anchor>
          </controlPr>
        </control>
      </mc:Choice>
      <mc:Fallback>
        <control shapeId="3083" r:id="rId43" name="CmbBCName"/>
      </mc:Fallback>
    </mc:AlternateContent>
    <mc:AlternateContent xmlns:mc="http://schemas.openxmlformats.org/markup-compatibility/2006">
      <mc:Choice Requires="x14">
        <control shapeId="3082" r:id="rId45" name="cmbTestCase">
          <controlPr defaultSize="0" autoLine="0" listFillRange="Mapping!B2:B106" r:id="rId46">
            <anchor>
              <from>
                <xdr:col>0</xdr:col>
                <xdr:colOff>0</xdr:colOff>
                <xdr:row>17</xdr:row>
                <xdr:rowOff>47625</xdr:rowOff>
              </from>
              <to>
                <xdr:col>0</xdr:col>
                <xdr:colOff>3362325</xdr:colOff>
                <xdr:row>19</xdr:row>
                <xdr:rowOff>0</xdr:rowOff>
              </to>
            </anchor>
          </controlPr>
        </control>
      </mc:Choice>
      <mc:Fallback>
        <control shapeId="3082" r:id="rId45" name="cmbTestCase"/>
      </mc:Fallback>
    </mc:AlternateContent>
    <mc:AlternateContent xmlns:mc="http://schemas.openxmlformats.org/markup-compatibility/2006">
      <mc:Choice Requires="x14">
        <control shapeId="3090" r:id="rId47" name="cmdDeletedCol">
          <controlPr defaultSize="0" autoLine="0" r:id="rId48">
            <anchor>
              <from>
                <xdr:col>0</xdr:col>
                <xdr:colOff>266700</xdr:colOff>
                <xdr:row>14</xdr:row>
                <xdr:rowOff>38100</xdr:rowOff>
              </from>
              <to>
                <xdr:col>1</xdr:col>
                <xdr:colOff>123825</xdr:colOff>
                <xdr:row>16</xdr:row>
                <xdr:rowOff>171450</xdr:rowOff>
              </to>
            </anchor>
          </controlPr>
        </control>
      </mc:Choice>
      <mc:Fallback>
        <control shapeId="3090" r:id="rId47" name="cmdDeletedCol"/>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382"/>
  <sheetViews>
    <sheetView topLeftCell="B1" zoomScaleNormal="100" workbookViewId="0">
      <pane ySplit="1" topLeftCell="A92" activePane="bottomLeft" state="frozen"/>
      <selection activeCell="E122" sqref="E122"/>
      <selection pane="bottomLeft" activeCell="D182" sqref="D182"/>
    </sheetView>
  </sheetViews>
  <sheetFormatPr defaultColWidth="22.5703125" defaultRowHeight="12" customHeight="1"/>
  <cols>
    <col min="1" max="1" width="11" style="14" customWidth="1"/>
    <col min="2" max="2" width="39.42578125" style="179" bestFit="1" customWidth="1"/>
    <col min="3" max="3" width="65.7109375" style="14" customWidth="1"/>
    <col min="4" max="4" width="34.5703125" style="14" customWidth="1"/>
    <col min="5" max="5" width="39" style="14" customWidth="1"/>
    <col min="6" max="6" width="26.42578125" style="14" customWidth="1"/>
    <col min="7" max="7" width="19.7109375" style="14" customWidth="1"/>
    <col min="8" max="16384" width="22.5703125" style="14"/>
  </cols>
  <sheetData>
    <row r="1" spans="1:7" s="69" customFormat="1" ht="12" customHeight="1">
      <c r="A1" s="177" t="s">
        <v>0</v>
      </c>
      <c r="B1" s="177" t="s">
        <v>36</v>
      </c>
      <c r="C1" s="177" t="s">
        <v>35</v>
      </c>
      <c r="D1" s="178" t="s">
        <v>33</v>
      </c>
      <c r="E1" s="177" t="s">
        <v>34</v>
      </c>
      <c r="F1" s="177" t="s">
        <v>1</v>
      </c>
      <c r="G1" s="177" t="s">
        <v>2</v>
      </c>
    </row>
    <row r="2" spans="1:7" ht="12" customHeight="1">
      <c r="B2" s="179" t="s">
        <v>434</v>
      </c>
      <c r="C2" s="180" t="s">
        <v>460</v>
      </c>
      <c r="D2" s="180" t="s">
        <v>3</v>
      </c>
      <c r="E2" s="180" t="s">
        <v>52</v>
      </c>
      <c r="F2" s="14" t="s">
        <v>4</v>
      </c>
    </row>
    <row r="3" spans="1:7" ht="12" customHeight="1">
      <c r="B3" s="220" t="s">
        <v>1378</v>
      </c>
      <c r="C3" s="181" t="s">
        <v>1339</v>
      </c>
      <c r="D3" s="180" t="s">
        <v>37</v>
      </c>
      <c r="E3" s="180" t="s">
        <v>40</v>
      </c>
      <c r="F3" s="14" t="s">
        <v>51</v>
      </c>
    </row>
    <row r="4" spans="1:7" ht="12" customHeight="1">
      <c r="B4" s="179" t="s">
        <v>309</v>
      </c>
      <c r="C4" s="14" t="s">
        <v>324</v>
      </c>
      <c r="D4" s="180" t="s">
        <v>41</v>
      </c>
      <c r="E4" s="180" t="s">
        <v>44</v>
      </c>
      <c r="F4" s="14" t="s">
        <v>5</v>
      </c>
    </row>
    <row r="5" spans="1:7" ht="12" customHeight="1">
      <c r="B5" s="179" t="s">
        <v>310</v>
      </c>
      <c r="C5" s="180" t="s">
        <v>718</v>
      </c>
      <c r="D5" s="180" t="s">
        <v>45</v>
      </c>
      <c r="E5" s="180" t="s">
        <v>50</v>
      </c>
      <c r="F5" s="14" t="s">
        <v>6</v>
      </c>
    </row>
    <row r="6" spans="1:7" ht="12" customHeight="1">
      <c r="B6" s="179" t="s">
        <v>311</v>
      </c>
      <c r="C6" s="14" t="s">
        <v>325</v>
      </c>
      <c r="D6" s="180" t="s">
        <v>53</v>
      </c>
      <c r="E6" s="180" t="s">
        <v>54</v>
      </c>
      <c r="F6" s="14" t="s">
        <v>7</v>
      </c>
    </row>
    <row r="7" spans="1:7" ht="12" customHeight="1">
      <c r="B7" s="179" t="s">
        <v>480</v>
      </c>
      <c r="C7" s="14" t="s">
        <v>483</v>
      </c>
      <c r="D7" s="180" t="s">
        <v>304</v>
      </c>
      <c r="E7" s="180" t="s">
        <v>1261</v>
      </c>
      <c r="F7" s="14" t="s">
        <v>8</v>
      </c>
    </row>
    <row r="8" spans="1:7" ht="12" customHeight="1">
      <c r="B8" s="179" t="s">
        <v>481</v>
      </c>
      <c r="C8" s="14" t="s">
        <v>483</v>
      </c>
      <c r="D8" s="180" t="s">
        <v>110</v>
      </c>
      <c r="E8" s="180" t="s">
        <v>730</v>
      </c>
      <c r="F8" s="14" t="s">
        <v>38</v>
      </c>
    </row>
    <row r="9" spans="1:7" ht="12" customHeight="1">
      <c r="B9" s="179" t="s">
        <v>482</v>
      </c>
      <c r="C9" s="14" t="s">
        <v>483</v>
      </c>
      <c r="D9" s="180" t="s">
        <v>326</v>
      </c>
      <c r="E9" s="180" t="s">
        <v>63</v>
      </c>
      <c r="F9" s="14" t="s">
        <v>39</v>
      </c>
    </row>
    <row r="10" spans="1:7" ht="12" customHeight="1">
      <c r="B10" s="182" t="s">
        <v>204</v>
      </c>
      <c r="C10" s="180" t="s">
        <v>1059</v>
      </c>
      <c r="D10" s="180" t="s">
        <v>100</v>
      </c>
      <c r="E10" s="180" t="s">
        <v>63</v>
      </c>
      <c r="F10" s="14" t="s">
        <v>42</v>
      </c>
    </row>
    <row r="11" spans="1:7" ht="12" customHeight="1">
      <c r="B11" s="182" t="s">
        <v>205</v>
      </c>
      <c r="C11" s="14" t="s">
        <v>1060</v>
      </c>
      <c r="D11" s="180" t="s">
        <v>111</v>
      </c>
      <c r="E11" s="180" t="s">
        <v>327</v>
      </c>
      <c r="F11" s="14" t="s">
        <v>43</v>
      </c>
    </row>
    <row r="12" spans="1:7" ht="12" customHeight="1">
      <c r="B12" s="182" t="s">
        <v>206</v>
      </c>
      <c r="C12" s="14" t="s">
        <v>1060</v>
      </c>
      <c r="D12" s="180" t="s">
        <v>119</v>
      </c>
      <c r="E12" s="180" t="s">
        <v>328</v>
      </c>
      <c r="F12" s="14" t="s">
        <v>46</v>
      </c>
    </row>
    <row r="13" spans="1:7" ht="12" customHeight="1">
      <c r="B13" s="182" t="s">
        <v>207</v>
      </c>
      <c r="C13" s="180" t="s">
        <v>1262</v>
      </c>
      <c r="D13" s="180" t="s">
        <v>124</v>
      </c>
      <c r="E13" s="180" t="s">
        <v>660</v>
      </c>
      <c r="F13" s="14" t="s">
        <v>47</v>
      </c>
    </row>
    <row r="14" spans="1:7" ht="12" customHeight="1">
      <c r="B14" s="182" t="s">
        <v>208</v>
      </c>
      <c r="C14" s="180" t="s">
        <v>1263</v>
      </c>
      <c r="D14" s="180" t="s">
        <v>500</v>
      </c>
      <c r="E14" s="180" t="s">
        <v>501</v>
      </c>
      <c r="F14" s="14" t="s">
        <v>48</v>
      </c>
    </row>
    <row r="15" spans="1:7" ht="12" customHeight="1">
      <c r="B15" s="182" t="s">
        <v>209</v>
      </c>
      <c r="C15" s="183" t="s">
        <v>1264</v>
      </c>
      <c r="D15" s="180" t="s">
        <v>158</v>
      </c>
      <c r="E15" s="180" t="s">
        <v>329</v>
      </c>
      <c r="F15" s="14" t="s">
        <v>49</v>
      </c>
    </row>
    <row r="16" spans="1:7" ht="12" customHeight="1">
      <c r="B16" s="182" t="s">
        <v>210</v>
      </c>
      <c r="C16" s="183" t="s">
        <v>1265</v>
      </c>
      <c r="D16" s="180" t="s">
        <v>330</v>
      </c>
      <c r="E16" s="180" t="s">
        <v>461</v>
      </c>
      <c r="F16" s="14" t="s">
        <v>54</v>
      </c>
    </row>
    <row r="17" spans="2:6" ht="12" customHeight="1">
      <c r="B17" s="182" t="s">
        <v>211</v>
      </c>
      <c r="C17" s="180" t="s">
        <v>1061</v>
      </c>
      <c r="D17" s="180" t="s">
        <v>305</v>
      </c>
      <c r="E17" s="180" t="s">
        <v>63</v>
      </c>
      <c r="F17" s="14" t="s">
        <v>1092</v>
      </c>
    </row>
    <row r="18" spans="2:6" ht="12" customHeight="1">
      <c r="B18" s="182" t="s">
        <v>212</v>
      </c>
      <c r="C18" s="180" t="s">
        <v>1266</v>
      </c>
      <c r="D18" s="180" t="s">
        <v>331</v>
      </c>
      <c r="E18" s="180" t="s">
        <v>789</v>
      </c>
      <c r="F18" s="14" t="s">
        <v>12</v>
      </c>
    </row>
    <row r="19" spans="2:6" ht="12" customHeight="1">
      <c r="B19" s="182" t="s">
        <v>213</v>
      </c>
      <c r="C19" s="180" t="s">
        <v>1267</v>
      </c>
      <c r="D19" s="180" t="s">
        <v>332</v>
      </c>
      <c r="E19" s="180" t="s">
        <v>63</v>
      </c>
      <c r="F19" s="14" t="s">
        <v>10</v>
      </c>
    </row>
    <row r="20" spans="2:6" ht="12" customHeight="1">
      <c r="B20" s="182" t="s">
        <v>214</v>
      </c>
      <c r="C20" s="180" t="s">
        <v>1268</v>
      </c>
      <c r="D20" s="180" t="s">
        <v>333</v>
      </c>
      <c r="E20" s="180" t="s">
        <v>334</v>
      </c>
      <c r="F20" s="14" t="s">
        <v>13</v>
      </c>
    </row>
    <row r="21" spans="2:6" ht="12" customHeight="1">
      <c r="B21" s="182" t="s">
        <v>215</v>
      </c>
      <c r="C21" s="180" t="s">
        <v>1269</v>
      </c>
      <c r="D21" s="180" t="s">
        <v>335</v>
      </c>
      <c r="E21" s="180" t="s">
        <v>733</v>
      </c>
      <c r="F21" s="14" t="s">
        <v>97</v>
      </c>
    </row>
    <row r="22" spans="2:6" ht="12" customHeight="1">
      <c r="B22" s="182" t="s">
        <v>216</v>
      </c>
      <c r="C22" s="180" t="s">
        <v>867</v>
      </c>
      <c r="D22" s="180" t="s">
        <v>336</v>
      </c>
      <c r="E22" s="180" t="s">
        <v>663</v>
      </c>
      <c r="F22" s="14" t="s">
        <v>98</v>
      </c>
    </row>
    <row r="23" spans="2:6" ht="12" customHeight="1">
      <c r="B23" s="182" t="s">
        <v>217</v>
      </c>
      <c r="C23" s="180" t="s">
        <v>877</v>
      </c>
      <c r="D23" s="180" t="s">
        <v>337</v>
      </c>
      <c r="E23" s="180" t="s">
        <v>338</v>
      </c>
      <c r="F23" s="14" t="s">
        <v>104</v>
      </c>
    </row>
    <row r="24" spans="2:6" ht="12" customHeight="1">
      <c r="B24" s="182" t="s">
        <v>218</v>
      </c>
      <c r="C24" s="180" t="s">
        <v>1270</v>
      </c>
      <c r="D24" s="180" t="s">
        <v>339</v>
      </c>
      <c r="E24" s="180" t="s">
        <v>340</v>
      </c>
      <c r="F24" s="14" t="s">
        <v>99</v>
      </c>
    </row>
    <row r="25" spans="2:6" ht="12" customHeight="1">
      <c r="B25" s="182" t="s">
        <v>219</v>
      </c>
      <c r="C25" s="180" t="s">
        <v>1270</v>
      </c>
      <c r="D25" s="180" t="s">
        <v>341</v>
      </c>
      <c r="E25" s="180" t="s">
        <v>342</v>
      </c>
      <c r="F25" s="14" t="s">
        <v>103</v>
      </c>
    </row>
    <row r="26" spans="2:6" ht="12" customHeight="1">
      <c r="B26" s="182" t="s">
        <v>220</v>
      </c>
      <c r="C26" s="180" t="s">
        <v>1271</v>
      </c>
      <c r="D26" s="180" t="s">
        <v>343</v>
      </c>
      <c r="E26" s="180" t="s">
        <v>122</v>
      </c>
      <c r="F26" s="14" t="s">
        <v>105</v>
      </c>
    </row>
    <row r="27" spans="2:6" ht="12" customHeight="1">
      <c r="B27" s="182" t="s">
        <v>221</v>
      </c>
      <c r="C27" s="180" t="s">
        <v>1272</v>
      </c>
      <c r="D27" s="180" t="s">
        <v>344</v>
      </c>
      <c r="E27" s="180" t="s">
        <v>63</v>
      </c>
      <c r="F27" s="14" t="s">
        <v>636</v>
      </c>
    </row>
    <row r="28" spans="2:6" ht="12" customHeight="1">
      <c r="B28" s="182" t="s">
        <v>222</v>
      </c>
      <c r="C28" s="180" t="s">
        <v>1272</v>
      </c>
      <c r="D28" s="180" t="s">
        <v>345</v>
      </c>
      <c r="E28" s="180" t="s">
        <v>63</v>
      </c>
      <c r="F28" s="14" t="s">
        <v>63</v>
      </c>
    </row>
    <row r="29" spans="2:6" ht="12" customHeight="1">
      <c r="B29" s="182" t="s">
        <v>306</v>
      </c>
      <c r="C29" s="183" t="s">
        <v>1273</v>
      </c>
      <c r="D29" s="180" t="s">
        <v>346</v>
      </c>
      <c r="E29" s="180" t="s">
        <v>63</v>
      </c>
      <c r="F29" s="14" t="s">
        <v>101</v>
      </c>
    </row>
    <row r="30" spans="2:6" ht="12" customHeight="1">
      <c r="B30" s="182" t="s">
        <v>322</v>
      </c>
      <c r="C30" s="183" t="s">
        <v>1274</v>
      </c>
      <c r="D30" s="180" t="s">
        <v>347</v>
      </c>
      <c r="E30" s="180" t="s">
        <v>348</v>
      </c>
      <c r="F30" s="14" t="s">
        <v>102</v>
      </c>
    </row>
    <row r="31" spans="2:6" ht="12" customHeight="1">
      <c r="B31" s="182" t="s">
        <v>350</v>
      </c>
      <c r="C31" s="183" t="s">
        <v>1275</v>
      </c>
      <c r="D31" s="180" t="s">
        <v>226</v>
      </c>
      <c r="E31" s="180" t="s">
        <v>227</v>
      </c>
      <c r="F31" s="14" t="s">
        <v>122</v>
      </c>
    </row>
    <row r="32" spans="2:6" ht="12" customHeight="1">
      <c r="B32" s="182" t="s">
        <v>351</v>
      </c>
      <c r="C32" s="183" t="s">
        <v>1276</v>
      </c>
      <c r="D32" s="180" t="s">
        <v>228</v>
      </c>
      <c r="E32" s="180" t="s">
        <v>229</v>
      </c>
      <c r="F32" s="14" t="s">
        <v>123</v>
      </c>
    </row>
    <row r="33" spans="2:6" ht="12" customHeight="1">
      <c r="B33" s="182" t="s">
        <v>352</v>
      </c>
      <c r="C33" s="183" t="s">
        <v>1276</v>
      </c>
      <c r="D33" s="180" t="s">
        <v>230</v>
      </c>
      <c r="E33" s="180" t="s">
        <v>231</v>
      </c>
      <c r="F33" s="14" t="s">
        <v>192</v>
      </c>
    </row>
    <row r="34" spans="2:6" ht="12" customHeight="1">
      <c r="B34" s="182" t="s">
        <v>353</v>
      </c>
      <c r="C34" s="183" t="s">
        <v>1276</v>
      </c>
      <c r="D34" s="180" t="s">
        <v>232</v>
      </c>
      <c r="E34" s="180" t="s">
        <v>63</v>
      </c>
      <c r="F34" s="14" t="s">
        <v>118</v>
      </c>
    </row>
    <row r="35" spans="2:6" ht="12" customHeight="1">
      <c r="B35" s="179" t="s">
        <v>508</v>
      </c>
      <c r="C35" s="176" t="s">
        <v>651</v>
      </c>
      <c r="D35" s="180" t="s">
        <v>233</v>
      </c>
      <c r="E35" s="180" t="s">
        <v>63</v>
      </c>
      <c r="F35" s="14" t="s">
        <v>112</v>
      </c>
    </row>
    <row r="36" spans="2:6" ht="12" customHeight="1">
      <c r="B36" s="179" t="s">
        <v>509</v>
      </c>
      <c r="C36" s="176" t="s">
        <v>651</v>
      </c>
      <c r="D36" s="180" t="s">
        <v>230</v>
      </c>
      <c r="E36" s="180" t="s">
        <v>231</v>
      </c>
      <c r="F36" s="14" t="s">
        <v>113</v>
      </c>
    </row>
    <row r="37" spans="2:6" ht="12" customHeight="1">
      <c r="B37" s="179" t="s">
        <v>511</v>
      </c>
      <c r="C37" s="179" t="s">
        <v>457</v>
      </c>
      <c r="D37" s="180" t="s">
        <v>234</v>
      </c>
      <c r="E37" s="180" t="s">
        <v>63</v>
      </c>
      <c r="F37" s="14" t="s">
        <v>114</v>
      </c>
    </row>
    <row r="38" spans="2:6" ht="12" customHeight="1">
      <c r="B38" s="179" t="s">
        <v>512</v>
      </c>
      <c r="C38" s="179" t="s">
        <v>457</v>
      </c>
      <c r="D38" s="180" t="s">
        <v>235</v>
      </c>
      <c r="E38" s="180" t="s">
        <v>63</v>
      </c>
      <c r="F38" s="14" t="s">
        <v>115</v>
      </c>
    </row>
    <row r="39" spans="2:6" ht="12" customHeight="1">
      <c r="B39" s="179" t="s">
        <v>513</v>
      </c>
      <c r="C39" s="179" t="s">
        <v>458</v>
      </c>
      <c r="D39" s="180" t="s">
        <v>228</v>
      </c>
      <c r="E39" s="180" t="s">
        <v>236</v>
      </c>
      <c r="F39" s="14" t="s">
        <v>116</v>
      </c>
    </row>
    <row r="40" spans="2:6" ht="12" customHeight="1">
      <c r="B40" s="179" t="s">
        <v>514</v>
      </c>
      <c r="C40" s="179" t="s">
        <v>458</v>
      </c>
      <c r="D40" s="180" t="s">
        <v>237</v>
      </c>
      <c r="E40" s="180" t="s">
        <v>63</v>
      </c>
      <c r="F40" s="14" t="s">
        <v>117</v>
      </c>
    </row>
    <row r="41" spans="2:6" ht="12" customHeight="1">
      <c r="B41" s="184" t="s">
        <v>641</v>
      </c>
      <c r="C41" s="184" t="s">
        <v>650</v>
      </c>
      <c r="D41" s="180" t="s">
        <v>238</v>
      </c>
      <c r="E41" s="180" t="s">
        <v>239</v>
      </c>
      <c r="F41" s="14" t="s">
        <v>356</v>
      </c>
    </row>
    <row r="42" spans="2:6" ht="12" customHeight="1">
      <c r="B42" s="184" t="s">
        <v>642</v>
      </c>
      <c r="C42" s="184" t="s">
        <v>642</v>
      </c>
      <c r="D42" s="180" t="s">
        <v>240</v>
      </c>
      <c r="E42" s="180" t="s">
        <v>63</v>
      </c>
      <c r="F42" s="14" t="s">
        <v>661</v>
      </c>
    </row>
    <row r="43" spans="2:6" ht="12" customHeight="1">
      <c r="B43" s="184" t="s">
        <v>643</v>
      </c>
      <c r="C43" s="184" t="s">
        <v>643</v>
      </c>
      <c r="D43" s="180" t="s">
        <v>241</v>
      </c>
      <c r="E43" s="180" t="s">
        <v>242</v>
      </c>
      <c r="F43" s="14" t="s">
        <v>127</v>
      </c>
    </row>
    <row r="44" spans="2:6" ht="12" customHeight="1">
      <c r="B44" s="183" t="s">
        <v>633</v>
      </c>
      <c r="C44" s="183" t="s">
        <v>633</v>
      </c>
      <c r="D44" s="180" t="s">
        <v>243</v>
      </c>
      <c r="E44" s="180" t="s">
        <v>244</v>
      </c>
      <c r="F44" s="14" t="s">
        <v>126</v>
      </c>
    </row>
    <row r="45" spans="2:6" ht="12" customHeight="1">
      <c r="B45" s="71" t="s">
        <v>510</v>
      </c>
      <c r="C45" s="176" t="s">
        <v>654</v>
      </c>
      <c r="D45" s="180" t="s">
        <v>245</v>
      </c>
      <c r="E45" s="180" t="s">
        <v>63</v>
      </c>
      <c r="F45" s="14" t="s">
        <v>125</v>
      </c>
    </row>
    <row r="46" spans="2:6" ht="12" customHeight="1">
      <c r="B46" s="179" t="s">
        <v>657</v>
      </c>
      <c r="C46" s="14" t="s">
        <v>657</v>
      </c>
      <c r="D46" s="180" t="s">
        <v>246</v>
      </c>
      <c r="E46" s="180" t="s">
        <v>63</v>
      </c>
      <c r="F46" s="14" t="s">
        <v>128</v>
      </c>
    </row>
    <row r="47" spans="2:6" ht="12" customHeight="1">
      <c r="B47" s="185" t="s">
        <v>676</v>
      </c>
      <c r="C47" s="181" t="s">
        <v>677</v>
      </c>
      <c r="D47" s="180" t="s">
        <v>247</v>
      </c>
      <c r="E47" s="180" t="s">
        <v>63</v>
      </c>
      <c r="F47" s="14" t="s">
        <v>129</v>
      </c>
    </row>
    <row r="48" spans="2:6" ht="12" customHeight="1">
      <c r="B48" s="185" t="s">
        <v>678</v>
      </c>
      <c r="C48" s="181" t="s">
        <v>679</v>
      </c>
      <c r="D48" s="180" t="s">
        <v>248</v>
      </c>
      <c r="E48" s="180" t="s">
        <v>63</v>
      </c>
      <c r="F48" s="14" t="s">
        <v>130</v>
      </c>
    </row>
    <row r="49" spans="2:6" ht="12" customHeight="1">
      <c r="B49" s="185" t="s">
        <v>680</v>
      </c>
      <c r="C49" s="181" t="s">
        <v>734</v>
      </c>
      <c r="D49" s="180" t="s">
        <v>249</v>
      </c>
      <c r="E49" s="180" t="s">
        <v>11</v>
      </c>
      <c r="F49" s="14" t="s">
        <v>131</v>
      </c>
    </row>
    <row r="50" spans="2:6" ht="12" customHeight="1">
      <c r="B50" s="136" t="s">
        <v>681</v>
      </c>
      <c r="C50" s="181" t="s">
        <v>682</v>
      </c>
      <c r="D50" s="180" t="s">
        <v>250</v>
      </c>
      <c r="E50" s="180" t="s">
        <v>198</v>
      </c>
      <c r="F50" s="14" t="s">
        <v>132</v>
      </c>
    </row>
    <row r="51" spans="2:6" ht="12" customHeight="1">
      <c r="B51" s="136" t="s">
        <v>683</v>
      </c>
      <c r="C51" s="181" t="s">
        <v>682</v>
      </c>
      <c r="D51" s="180" t="s">
        <v>251</v>
      </c>
      <c r="E51" s="180" t="s">
        <v>198</v>
      </c>
      <c r="F51" s="14" t="s">
        <v>133</v>
      </c>
    </row>
    <row r="52" spans="2:6" ht="12" customHeight="1">
      <c r="B52" s="136" t="s">
        <v>684</v>
      </c>
      <c r="C52" s="181" t="s">
        <v>685</v>
      </c>
      <c r="D52" s="180" t="s">
        <v>252</v>
      </c>
      <c r="E52" s="180" t="s">
        <v>253</v>
      </c>
      <c r="F52" s="14" t="s">
        <v>134</v>
      </c>
    </row>
    <row r="53" spans="2:6" ht="12" customHeight="1">
      <c r="B53" s="179" t="s">
        <v>724</v>
      </c>
      <c r="C53" s="180" t="s">
        <v>760</v>
      </c>
      <c r="D53" s="180" t="s">
        <v>254</v>
      </c>
      <c r="E53" s="180" t="s">
        <v>198</v>
      </c>
      <c r="F53" s="14" t="s">
        <v>135</v>
      </c>
    </row>
    <row r="54" spans="2:6" ht="12" customHeight="1">
      <c r="B54" s="179" t="s">
        <v>725</v>
      </c>
      <c r="C54" s="180" t="s">
        <v>761</v>
      </c>
      <c r="D54" s="180" t="s">
        <v>255</v>
      </c>
      <c r="E54" s="180" t="s">
        <v>256</v>
      </c>
      <c r="F54" s="14" t="s">
        <v>136</v>
      </c>
    </row>
    <row r="55" spans="2:6" ht="12" customHeight="1">
      <c r="B55" s="179" t="s">
        <v>726</v>
      </c>
      <c r="C55" s="180" t="s">
        <v>760</v>
      </c>
      <c r="D55" s="180" t="s">
        <v>257</v>
      </c>
      <c r="E55" s="180" t="s">
        <v>1277</v>
      </c>
      <c r="F55" s="14" t="s">
        <v>137</v>
      </c>
    </row>
    <row r="56" spans="2:6" ht="12" customHeight="1">
      <c r="B56" s="179" t="s">
        <v>753</v>
      </c>
      <c r="C56" s="180" t="s">
        <v>762</v>
      </c>
      <c r="D56" s="34" t="s">
        <v>223</v>
      </c>
      <c r="E56" s="176" t="s">
        <v>1278</v>
      </c>
      <c r="F56" s="14" t="s">
        <v>138</v>
      </c>
    </row>
    <row r="57" spans="2:6" ht="12" customHeight="1">
      <c r="B57" s="179" t="s">
        <v>727</v>
      </c>
      <c r="C57" s="180" t="s">
        <v>761</v>
      </c>
      <c r="D57" s="180" t="s">
        <v>200</v>
      </c>
      <c r="E57" s="180" t="s">
        <v>199</v>
      </c>
      <c r="F57" s="14" t="s">
        <v>139</v>
      </c>
    </row>
    <row r="58" spans="2:6" ht="12" customHeight="1">
      <c r="B58" s="179" t="s">
        <v>728</v>
      </c>
      <c r="C58" s="180" t="s">
        <v>760</v>
      </c>
      <c r="D58" s="180" t="s">
        <v>201</v>
      </c>
      <c r="E58" s="176" t="s">
        <v>302</v>
      </c>
      <c r="F58" s="14" t="s">
        <v>754</v>
      </c>
    </row>
    <row r="59" spans="2:6" ht="12" customHeight="1">
      <c r="B59" s="186" t="s">
        <v>763</v>
      </c>
      <c r="C59" s="187" t="s">
        <v>768</v>
      </c>
      <c r="D59" s="34" t="s">
        <v>258</v>
      </c>
      <c r="E59" s="176" t="s">
        <v>869</v>
      </c>
      <c r="F59" s="14" t="s">
        <v>140</v>
      </c>
    </row>
    <row r="60" spans="2:6" ht="12" customHeight="1">
      <c r="B60" s="188" t="s">
        <v>764</v>
      </c>
      <c r="C60" s="189" t="s">
        <v>769</v>
      </c>
      <c r="D60" s="180" t="s">
        <v>259</v>
      </c>
      <c r="E60" s="176" t="s">
        <v>995</v>
      </c>
      <c r="F60" s="14" t="s">
        <v>141</v>
      </c>
    </row>
    <row r="61" spans="2:6" ht="12" customHeight="1">
      <c r="B61" s="186" t="s">
        <v>765</v>
      </c>
      <c r="C61" s="189" t="s">
        <v>770</v>
      </c>
      <c r="D61" s="180" t="s">
        <v>260</v>
      </c>
      <c r="E61" s="176" t="s">
        <v>302</v>
      </c>
      <c r="F61" s="14" t="s">
        <v>142</v>
      </c>
    </row>
    <row r="62" spans="2:6" ht="12" customHeight="1">
      <c r="B62" s="188" t="s">
        <v>766</v>
      </c>
      <c r="C62" s="189" t="s">
        <v>771</v>
      </c>
      <c r="D62" s="180" t="s">
        <v>261</v>
      </c>
      <c r="E62" s="180" t="s">
        <v>63</v>
      </c>
      <c r="F62" s="14" t="s">
        <v>357</v>
      </c>
    </row>
    <row r="63" spans="2:6" ht="12" customHeight="1">
      <c r="B63" s="188" t="s">
        <v>767</v>
      </c>
      <c r="C63" s="187" t="s">
        <v>772</v>
      </c>
      <c r="D63" s="65" t="s">
        <v>262</v>
      </c>
      <c r="E63" s="176" t="s">
        <v>198</v>
      </c>
      <c r="F63" s="14" t="s">
        <v>143</v>
      </c>
    </row>
    <row r="64" spans="2:6" ht="12" customHeight="1">
      <c r="B64" s="60" t="s">
        <v>790</v>
      </c>
      <c r="C64" s="61" t="s">
        <v>1279</v>
      </c>
      <c r="D64" s="180" t="s">
        <v>224</v>
      </c>
      <c r="E64" s="180" t="s">
        <v>63</v>
      </c>
      <c r="F64" s="14" t="s">
        <v>144</v>
      </c>
    </row>
    <row r="65" spans="2:6" ht="12" customHeight="1">
      <c r="B65" s="60" t="s">
        <v>791</v>
      </c>
      <c r="C65" s="61" t="s">
        <v>1280</v>
      </c>
      <c r="D65" s="180" t="s">
        <v>263</v>
      </c>
      <c r="E65" s="180" t="s">
        <v>866</v>
      </c>
      <c r="F65" s="14" t="s">
        <v>145</v>
      </c>
    </row>
    <row r="66" spans="2:6" ht="12" customHeight="1">
      <c r="B66" s="62" t="s">
        <v>792</v>
      </c>
      <c r="C66" s="63" t="s">
        <v>794</v>
      </c>
      <c r="D66" s="180" t="s">
        <v>264</v>
      </c>
      <c r="E66" s="180" t="s">
        <v>198</v>
      </c>
      <c r="F66" s="14" t="s">
        <v>146</v>
      </c>
    </row>
    <row r="67" spans="2:6" ht="12" customHeight="1">
      <c r="B67" s="64" t="s">
        <v>793</v>
      </c>
      <c r="C67" s="63" t="s">
        <v>1281</v>
      </c>
      <c r="D67" s="180" t="s">
        <v>225</v>
      </c>
      <c r="E67" s="180" t="s">
        <v>265</v>
      </c>
      <c r="F67" s="14" t="s">
        <v>147</v>
      </c>
    </row>
    <row r="68" spans="2:6" ht="12" customHeight="1">
      <c r="B68" s="62" t="s">
        <v>810</v>
      </c>
      <c r="C68" s="63" t="s">
        <v>816</v>
      </c>
      <c r="D68" s="180" t="s">
        <v>266</v>
      </c>
      <c r="E68" s="180" t="s">
        <v>63</v>
      </c>
      <c r="F68" s="14" t="s">
        <v>148</v>
      </c>
    </row>
    <row r="69" spans="2:6" ht="12" customHeight="1">
      <c r="B69" s="190" t="s">
        <v>741</v>
      </c>
      <c r="C69" s="191" t="s">
        <v>1282</v>
      </c>
      <c r="D69" s="180" t="s">
        <v>267</v>
      </c>
      <c r="E69" s="180" t="s">
        <v>873</v>
      </c>
      <c r="F69" s="14" t="s">
        <v>149</v>
      </c>
    </row>
    <row r="70" spans="2:6" ht="12" customHeight="1">
      <c r="B70" s="176" t="s">
        <v>823</v>
      </c>
      <c r="C70" s="63" t="s">
        <v>996</v>
      </c>
      <c r="D70" s="180" t="s">
        <v>268</v>
      </c>
      <c r="E70" s="180" t="s">
        <v>63</v>
      </c>
      <c r="F70" s="14" t="s">
        <v>160</v>
      </c>
    </row>
    <row r="71" spans="2:6" ht="12" customHeight="1">
      <c r="B71" s="176" t="s">
        <v>824</v>
      </c>
      <c r="C71" s="63" t="s">
        <v>1283</v>
      </c>
      <c r="D71" s="65" t="s">
        <v>303</v>
      </c>
      <c r="E71" s="176" t="s">
        <v>302</v>
      </c>
      <c r="F71" s="14" t="s">
        <v>150</v>
      </c>
    </row>
    <row r="72" spans="2:6" ht="12" customHeight="1">
      <c r="B72" s="32" t="s">
        <v>825</v>
      </c>
      <c r="C72" s="180" t="s">
        <v>1284</v>
      </c>
      <c r="D72" s="65" t="s">
        <v>312</v>
      </c>
      <c r="E72" s="176" t="s">
        <v>63</v>
      </c>
      <c r="F72" s="14" t="s">
        <v>151</v>
      </c>
    </row>
    <row r="73" spans="2:6" ht="12" customHeight="1">
      <c r="B73" s="176" t="s">
        <v>837</v>
      </c>
      <c r="C73" s="63" t="s">
        <v>1285</v>
      </c>
      <c r="D73" s="180" t="s">
        <v>313</v>
      </c>
      <c r="E73" s="180" t="s">
        <v>314</v>
      </c>
      <c r="F73" s="14" t="s">
        <v>152</v>
      </c>
    </row>
    <row r="74" spans="2:6" ht="12" customHeight="1">
      <c r="B74" s="179" t="s">
        <v>841</v>
      </c>
      <c r="C74" s="63" t="s">
        <v>1281</v>
      </c>
      <c r="D74" s="180" t="s">
        <v>315</v>
      </c>
      <c r="E74" s="180" t="s">
        <v>316</v>
      </c>
      <c r="F74" s="14" t="s">
        <v>153</v>
      </c>
    </row>
    <row r="75" spans="2:6" ht="12" customHeight="1">
      <c r="B75" s="179" t="s">
        <v>843</v>
      </c>
      <c r="C75" s="180" t="s">
        <v>483</v>
      </c>
      <c r="D75" s="180" t="s">
        <v>317</v>
      </c>
      <c r="E75" s="180" t="s">
        <v>318</v>
      </c>
      <c r="F75" s="14" t="s">
        <v>154</v>
      </c>
    </row>
    <row r="76" spans="2:6" ht="12" customHeight="1">
      <c r="B76" s="25" t="s">
        <v>1078</v>
      </c>
      <c r="C76" s="180" t="s">
        <v>483</v>
      </c>
      <c r="D76" s="180" t="s">
        <v>200</v>
      </c>
      <c r="E76" s="180" t="s">
        <v>199</v>
      </c>
      <c r="F76" s="14" t="s">
        <v>155</v>
      </c>
    </row>
    <row r="77" spans="2:6" ht="12" customHeight="1">
      <c r="B77" s="25" t="s">
        <v>1229</v>
      </c>
      <c r="C77" s="180" t="s">
        <v>483</v>
      </c>
      <c r="D77" s="180" t="s">
        <v>319</v>
      </c>
      <c r="E77" s="180" t="s">
        <v>320</v>
      </c>
      <c r="F77" s="14" t="s">
        <v>358</v>
      </c>
    </row>
    <row r="78" spans="2:6" ht="12" customHeight="1">
      <c r="B78" s="25" t="s">
        <v>1231</v>
      </c>
      <c r="C78" s="180" t="s">
        <v>483</v>
      </c>
      <c r="D78" s="180" t="s">
        <v>321</v>
      </c>
      <c r="E78" s="180" t="s">
        <v>668</v>
      </c>
      <c r="F78" s="14" t="s">
        <v>359</v>
      </c>
    </row>
    <row r="79" spans="2:6" ht="12" customHeight="1">
      <c r="B79" s="25" t="s">
        <v>1233</v>
      </c>
      <c r="C79" s="180" t="s">
        <v>483</v>
      </c>
      <c r="D79" s="180" t="s">
        <v>322</v>
      </c>
      <c r="E79" s="180" t="s">
        <v>670</v>
      </c>
      <c r="F79" s="14" t="s">
        <v>156</v>
      </c>
    </row>
    <row r="80" spans="2:6" ht="12" customHeight="1">
      <c r="B80" s="192" t="s">
        <v>846</v>
      </c>
      <c r="C80" s="180" t="s">
        <v>1286</v>
      </c>
      <c r="D80" s="180" t="s">
        <v>323</v>
      </c>
      <c r="E80" s="180" t="s">
        <v>63</v>
      </c>
      <c r="F80" s="14" t="s">
        <v>157</v>
      </c>
    </row>
    <row r="81" spans="2:6" ht="12" customHeight="1">
      <c r="B81" s="193" t="s">
        <v>847</v>
      </c>
      <c r="C81" s="180" t="s">
        <v>1287</v>
      </c>
      <c r="D81" s="180" t="s">
        <v>354</v>
      </c>
      <c r="E81" s="176" t="s">
        <v>355</v>
      </c>
      <c r="F81" s="14" t="s">
        <v>348</v>
      </c>
    </row>
    <row r="82" spans="2:6" ht="12" customHeight="1">
      <c r="B82" s="176" t="s">
        <v>848</v>
      </c>
      <c r="C82" s="180" t="s">
        <v>1288</v>
      </c>
      <c r="D82" s="180" t="s">
        <v>469</v>
      </c>
      <c r="E82" s="180" t="s">
        <v>492</v>
      </c>
      <c r="F82" s="14" t="s">
        <v>159</v>
      </c>
    </row>
    <row r="83" spans="2:6" ht="12" customHeight="1">
      <c r="B83" s="179" t="s">
        <v>853</v>
      </c>
      <c r="C83" s="183" t="s">
        <v>1289</v>
      </c>
      <c r="D83" s="180" t="s">
        <v>502</v>
      </c>
      <c r="E83" s="180" t="s">
        <v>503</v>
      </c>
      <c r="F83" s="14" t="s">
        <v>244</v>
      </c>
    </row>
    <row r="84" spans="2:6" ht="12" customHeight="1">
      <c r="B84" s="179" t="s">
        <v>859</v>
      </c>
      <c r="C84" s="185" t="s">
        <v>1290</v>
      </c>
      <c r="D84" s="180" t="s">
        <v>515</v>
      </c>
      <c r="E84" s="180" t="s">
        <v>656</v>
      </c>
      <c r="F84" s="14" t="s">
        <v>360</v>
      </c>
    </row>
    <row r="85" spans="2:6" ht="12" customHeight="1">
      <c r="B85" s="179" t="s">
        <v>983</v>
      </c>
      <c r="C85" s="183" t="s">
        <v>1276</v>
      </c>
      <c r="D85" s="180" t="s">
        <v>516</v>
      </c>
      <c r="E85" s="180" t="s">
        <v>640</v>
      </c>
      <c r="F85" s="14" t="s">
        <v>361</v>
      </c>
    </row>
    <row r="86" spans="2:6" ht="12" customHeight="1">
      <c r="B86" s="179" t="s">
        <v>984</v>
      </c>
      <c r="C86" s="183" t="s">
        <v>1291</v>
      </c>
      <c r="D86" s="180" t="s">
        <v>525</v>
      </c>
      <c r="E86" s="180" t="s">
        <v>526</v>
      </c>
      <c r="F86" s="14" t="s">
        <v>666</v>
      </c>
    </row>
    <row r="87" spans="2:6" ht="12" customHeight="1">
      <c r="B87" s="179" t="s">
        <v>985</v>
      </c>
      <c r="C87" s="183" t="s">
        <v>1276</v>
      </c>
      <c r="D87" s="180" t="s">
        <v>527</v>
      </c>
      <c r="E87" s="180" t="s">
        <v>528</v>
      </c>
      <c r="F87" s="14" t="s">
        <v>120</v>
      </c>
    </row>
    <row r="88" spans="2:6" ht="12" customHeight="1">
      <c r="B88" s="179" t="s">
        <v>986</v>
      </c>
      <c r="C88" s="183" t="s">
        <v>1276</v>
      </c>
      <c r="D88" s="180" t="s">
        <v>524</v>
      </c>
      <c r="E88" s="180" t="s">
        <v>649</v>
      </c>
      <c r="F88" s="14" t="s">
        <v>362</v>
      </c>
    </row>
    <row r="89" spans="2:6" ht="12" customHeight="1">
      <c r="B89" s="25" t="s">
        <v>988</v>
      </c>
      <c r="C89" s="180" t="s">
        <v>1292</v>
      </c>
      <c r="D89" s="180" t="s">
        <v>529</v>
      </c>
      <c r="E89" s="180" t="s">
        <v>530</v>
      </c>
      <c r="F89" s="14" t="s">
        <v>121</v>
      </c>
    </row>
    <row r="90" spans="2:6" ht="12" customHeight="1">
      <c r="B90" s="25" t="s">
        <v>989</v>
      </c>
      <c r="C90" s="180" t="s">
        <v>1284</v>
      </c>
      <c r="D90" s="180" t="s">
        <v>531</v>
      </c>
      <c r="E90" s="180" t="s">
        <v>532</v>
      </c>
      <c r="F90" s="14" t="s">
        <v>659</v>
      </c>
    </row>
    <row r="91" spans="2:6" ht="12" customHeight="1">
      <c r="B91" s="179" t="s">
        <v>990</v>
      </c>
      <c r="C91" s="180" t="s">
        <v>1293</v>
      </c>
      <c r="D91" s="180" t="s">
        <v>533</v>
      </c>
      <c r="E91" s="180" t="s">
        <v>526</v>
      </c>
      <c r="F91" s="14" t="s">
        <v>732</v>
      </c>
    </row>
    <row r="92" spans="2:6" ht="12" customHeight="1">
      <c r="B92" s="25" t="s">
        <v>1294</v>
      </c>
      <c r="C92" s="183" t="s">
        <v>1295</v>
      </c>
      <c r="D92" s="180" t="s">
        <v>523</v>
      </c>
      <c r="E92" s="180" t="s">
        <v>580</v>
      </c>
      <c r="F92" s="14" t="s">
        <v>363</v>
      </c>
    </row>
    <row r="93" spans="2:6" ht="12" customHeight="1">
      <c r="B93" s="21" t="s">
        <v>1131</v>
      </c>
      <c r="C93" s="183" t="s">
        <v>1296</v>
      </c>
      <c r="D93" s="180" t="s">
        <v>533</v>
      </c>
      <c r="E93" s="180" t="s">
        <v>528</v>
      </c>
      <c r="F93" s="14" t="s">
        <v>364</v>
      </c>
    </row>
    <row r="94" spans="2:6" ht="12" customHeight="1">
      <c r="B94" s="194" t="s">
        <v>878</v>
      </c>
      <c r="C94" s="195" t="s">
        <v>1297</v>
      </c>
      <c r="D94" s="180" t="s">
        <v>628</v>
      </c>
      <c r="E94" s="180" t="s">
        <v>63</v>
      </c>
      <c r="F94" s="14" t="s">
        <v>365</v>
      </c>
    </row>
    <row r="95" spans="2:6" ht="12" customHeight="1">
      <c r="B95" s="194" t="s">
        <v>879</v>
      </c>
      <c r="C95" s="194" t="s">
        <v>1298</v>
      </c>
      <c r="D95" s="180" t="s">
        <v>630</v>
      </c>
      <c r="E95" s="180" t="s">
        <v>63</v>
      </c>
      <c r="F95" s="14" t="s">
        <v>377</v>
      </c>
    </row>
    <row r="96" spans="2:6" ht="12" customHeight="1">
      <c r="B96" s="194" t="s">
        <v>880</v>
      </c>
      <c r="C96" s="195" t="s">
        <v>1299</v>
      </c>
      <c r="D96" s="180" t="s">
        <v>633</v>
      </c>
      <c r="E96" s="180" t="s">
        <v>638</v>
      </c>
      <c r="F96" s="14" t="s">
        <v>366</v>
      </c>
    </row>
    <row r="97" spans="2:6" ht="12" customHeight="1">
      <c r="B97" s="194" t="s">
        <v>881</v>
      </c>
      <c r="C97" s="194" t="s">
        <v>1300</v>
      </c>
      <c r="D97" s="14" t="s">
        <v>641</v>
      </c>
      <c r="E97" s="14" t="s">
        <v>63</v>
      </c>
      <c r="F97" s="14" t="s">
        <v>367</v>
      </c>
    </row>
    <row r="98" spans="2:6" ht="12" customHeight="1">
      <c r="B98" s="194" t="s">
        <v>882</v>
      </c>
      <c r="C98" s="194" t="s">
        <v>1301</v>
      </c>
      <c r="D98" s="14" t="s">
        <v>642</v>
      </c>
      <c r="E98" s="14" t="s">
        <v>63</v>
      </c>
      <c r="F98" s="14" t="s">
        <v>368</v>
      </c>
    </row>
    <row r="99" spans="2:6" ht="12" customHeight="1">
      <c r="B99" s="194" t="s">
        <v>883</v>
      </c>
      <c r="C99" s="194" t="s">
        <v>1302</v>
      </c>
      <c r="D99" s="14" t="s">
        <v>643</v>
      </c>
      <c r="E99" s="14" t="s">
        <v>63</v>
      </c>
      <c r="F99" s="14" t="s">
        <v>369</v>
      </c>
    </row>
    <row r="100" spans="2:6" ht="12" customHeight="1">
      <c r="B100" s="194" t="s">
        <v>1303</v>
      </c>
      <c r="C100" s="194" t="s">
        <v>1304</v>
      </c>
      <c r="D100" s="180" t="s">
        <v>633</v>
      </c>
      <c r="E100" s="180" t="s">
        <v>638</v>
      </c>
      <c r="F100" s="14" t="s">
        <v>452</v>
      </c>
    </row>
    <row r="101" spans="2:6" ht="12" customHeight="1">
      <c r="B101" s="179" t="s">
        <v>884</v>
      </c>
      <c r="C101" s="180" t="s">
        <v>1305</v>
      </c>
      <c r="D101" s="180" t="s">
        <v>648</v>
      </c>
      <c r="E101" s="14" t="s">
        <v>63</v>
      </c>
      <c r="F101" s="14" t="s">
        <v>370</v>
      </c>
    </row>
    <row r="102" spans="2:6" ht="12" customHeight="1">
      <c r="B102" s="26" t="s">
        <v>885</v>
      </c>
      <c r="C102" s="195" t="s">
        <v>1057</v>
      </c>
      <c r="D102" s="180" t="s">
        <v>653</v>
      </c>
      <c r="E102" s="180" t="s">
        <v>63</v>
      </c>
      <c r="F102" s="14" t="s">
        <v>371</v>
      </c>
    </row>
    <row r="103" spans="2:6" ht="12" customHeight="1">
      <c r="B103" s="179" t="s">
        <v>308</v>
      </c>
      <c r="C103" s="181" t="s">
        <v>1306</v>
      </c>
      <c r="D103" s="180" t="s">
        <v>657</v>
      </c>
      <c r="E103" s="180" t="s">
        <v>63</v>
      </c>
      <c r="F103" s="14" t="s">
        <v>372</v>
      </c>
    </row>
    <row r="104" spans="2:6" ht="15" customHeight="1">
      <c r="B104" s="26" t="s">
        <v>1413</v>
      </c>
      <c r="C104" s="195" t="s">
        <v>1410</v>
      </c>
      <c r="D104" s="69" t="s">
        <v>686</v>
      </c>
      <c r="E104" s="14" t="s">
        <v>687</v>
      </c>
      <c r="F104" s="14" t="s">
        <v>373</v>
      </c>
    </row>
    <row r="105" spans="2:6" ht="13.5" customHeight="1">
      <c r="B105" s="25" t="s">
        <v>1417</v>
      </c>
      <c r="C105" s="180" t="s">
        <v>1430</v>
      </c>
      <c r="D105" s="181" t="s">
        <v>688</v>
      </c>
      <c r="E105" s="14" t="s">
        <v>63</v>
      </c>
      <c r="F105" s="14" t="s">
        <v>374</v>
      </c>
    </row>
    <row r="106" spans="2:6" ht="12" customHeight="1">
      <c r="B106" s="21" t="s">
        <v>1434</v>
      </c>
      <c r="C106" s="180" t="s">
        <v>1435</v>
      </c>
      <c r="D106" s="69" t="s">
        <v>689</v>
      </c>
      <c r="E106" s="180" t="s">
        <v>690</v>
      </c>
      <c r="F106" s="14" t="s">
        <v>375</v>
      </c>
    </row>
    <row r="107" spans="2:6" ht="12" customHeight="1">
      <c r="D107" s="69" t="s">
        <v>680</v>
      </c>
      <c r="E107" s="181" t="s">
        <v>691</v>
      </c>
      <c r="F107" s="14" t="s">
        <v>662</v>
      </c>
    </row>
    <row r="108" spans="2:6" ht="12" customHeight="1">
      <c r="D108" s="69" t="s">
        <v>692</v>
      </c>
      <c r="E108" s="180" t="s">
        <v>63</v>
      </c>
      <c r="F108" s="14" t="s">
        <v>376</v>
      </c>
    </row>
    <row r="109" spans="2:6" ht="12" customHeight="1">
      <c r="D109" s="181" t="s">
        <v>693</v>
      </c>
      <c r="E109" s="180" t="s">
        <v>694</v>
      </c>
      <c r="F109" s="14" t="s">
        <v>378</v>
      </c>
    </row>
    <row r="110" spans="2:6" ht="12" customHeight="1">
      <c r="D110" s="69" t="s">
        <v>695</v>
      </c>
      <c r="E110" s="14" t="s">
        <v>687</v>
      </c>
      <c r="F110" s="14" t="s">
        <v>379</v>
      </c>
    </row>
    <row r="111" spans="2:6" ht="12" customHeight="1">
      <c r="D111" s="69" t="s">
        <v>696</v>
      </c>
      <c r="E111" s="181" t="s">
        <v>697</v>
      </c>
      <c r="F111" s="14" t="s">
        <v>380</v>
      </c>
    </row>
    <row r="112" spans="2:6" ht="12" customHeight="1">
      <c r="D112" s="69" t="s">
        <v>698</v>
      </c>
      <c r="E112" s="69" t="s">
        <v>697</v>
      </c>
      <c r="F112" s="14" t="s">
        <v>381</v>
      </c>
    </row>
    <row r="113" spans="2:6" ht="12" customHeight="1">
      <c r="B113" s="14"/>
      <c r="D113" s="69" t="s">
        <v>739</v>
      </c>
      <c r="E113" s="69" t="s">
        <v>11</v>
      </c>
      <c r="F113" s="14" t="s">
        <v>382</v>
      </c>
    </row>
    <row r="114" spans="2:6" ht="12" customHeight="1">
      <c r="B114" s="14"/>
      <c r="D114" s="69" t="s">
        <v>740</v>
      </c>
      <c r="E114" s="69" t="s">
        <v>11</v>
      </c>
      <c r="F114" s="14" t="s">
        <v>383</v>
      </c>
    </row>
    <row r="115" spans="2:6" ht="12" customHeight="1">
      <c r="B115" s="14"/>
      <c r="D115" s="69" t="s">
        <v>746</v>
      </c>
      <c r="E115" s="69" t="s">
        <v>63</v>
      </c>
      <c r="F115" s="14" t="s">
        <v>384</v>
      </c>
    </row>
    <row r="116" spans="2:6" ht="12" customHeight="1">
      <c r="B116" s="14"/>
      <c r="D116" s="69" t="s">
        <v>747</v>
      </c>
      <c r="E116" s="69" t="s">
        <v>748</v>
      </c>
      <c r="F116" s="14" t="s">
        <v>385</v>
      </c>
    </row>
    <row r="117" spans="2:6" ht="12" customHeight="1">
      <c r="B117" s="14"/>
      <c r="D117" s="69" t="s">
        <v>749</v>
      </c>
      <c r="E117" s="69" t="s">
        <v>99</v>
      </c>
      <c r="F117" s="14" t="s">
        <v>386</v>
      </c>
    </row>
    <row r="118" spans="2:6" ht="12" customHeight="1">
      <c r="B118" s="14"/>
      <c r="D118" s="69" t="s">
        <v>773</v>
      </c>
      <c r="E118" s="69" t="s">
        <v>774</v>
      </c>
      <c r="F118" s="14" t="s">
        <v>269</v>
      </c>
    </row>
    <row r="119" spans="2:6" ht="12" customHeight="1">
      <c r="B119" s="14"/>
      <c r="D119" s="69" t="s">
        <v>775</v>
      </c>
      <c r="E119" s="69" t="s">
        <v>776</v>
      </c>
      <c r="F119" s="14" t="s">
        <v>270</v>
      </c>
    </row>
    <row r="120" spans="2:6" ht="12" customHeight="1">
      <c r="B120" s="14"/>
      <c r="D120" s="69" t="s">
        <v>777</v>
      </c>
      <c r="E120" s="69" t="s">
        <v>99</v>
      </c>
      <c r="F120" s="14" t="s">
        <v>271</v>
      </c>
    </row>
    <row r="121" spans="2:6" ht="12" customHeight="1">
      <c r="B121" s="14"/>
      <c r="D121" s="69" t="s">
        <v>778</v>
      </c>
      <c r="E121" s="69" t="s">
        <v>748</v>
      </c>
      <c r="F121" s="14" t="s">
        <v>272</v>
      </c>
    </row>
    <row r="122" spans="2:6" ht="12" customHeight="1">
      <c r="B122" s="14"/>
      <c r="D122" s="69" t="s">
        <v>779</v>
      </c>
      <c r="E122" s="69" t="s">
        <v>334</v>
      </c>
      <c r="F122" s="14" t="s">
        <v>273</v>
      </c>
    </row>
    <row r="123" spans="2:6" ht="12" customHeight="1">
      <c r="B123" s="14"/>
      <c r="D123" s="69" t="s">
        <v>780</v>
      </c>
      <c r="E123" s="69" t="s">
        <v>781</v>
      </c>
      <c r="F123" s="14" t="s">
        <v>274</v>
      </c>
    </row>
    <row r="124" spans="2:6" ht="12" customHeight="1">
      <c r="B124" s="14"/>
      <c r="D124" s="69" t="s">
        <v>782</v>
      </c>
      <c r="E124" s="69" t="s">
        <v>660</v>
      </c>
      <c r="F124" s="14" t="s">
        <v>231</v>
      </c>
    </row>
    <row r="125" spans="2:6" ht="12" customHeight="1">
      <c r="B125" s="14"/>
      <c r="D125" s="69" t="s">
        <v>783</v>
      </c>
      <c r="E125" s="69" t="s">
        <v>784</v>
      </c>
      <c r="F125" s="14" t="s">
        <v>275</v>
      </c>
    </row>
    <row r="126" spans="2:6" ht="12" customHeight="1">
      <c r="B126" s="14"/>
      <c r="D126" s="69" t="s">
        <v>785</v>
      </c>
      <c r="E126" s="69" t="s">
        <v>858</v>
      </c>
      <c r="F126" s="14" t="s">
        <v>276</v>
      </c>
    </row>
    <row r="127" spans="2:6" ht="12" customHeight="1">
      <c r="B127" s="14"/>
      <c r="D127" s="69" t="s">
        <v>786</v>
      </c>
      <c r="E127" s="69" t="s">
        <v>63</v>
      </c>
      <c r="F127" s="14" t="s">
        <v>277</v>
      </c>
    </row>
    <row r="128" spans="2:6" ht="12" customHeight="1">
      <c r="B128" s="14"/>
      <c r="D128" s="69" t="s">
        <v>751</v>
      </c>
      <c r="E128" s="69" t="s">
        <v>730</v>
      </c>
      <c r="F128" s="14" t="s">
        <v>278</v>
      </c>
    </row>
    <row r="129" spans="2:6" ht="12" customHeight="1">
      <c r="B129" s="14"/>
      <c r="D129" s="180" t="s">
        <v>750</v>
      </c>
      <c r="E129" s="180" t="s">
        <v>328</v>
      </c>
      <c r="F129" s="14" t="s">
        <v>279</v>
      </c>
    </row>
    <row r="130" spans="2:6" ht="12" customHeight="1">
      <c r="B130" s="14"/>
      <c r="D130" s="180" t="s">
        <v>752</v>
      </c>
      <c r="E130" s="180" t="s">
        <v>327</v>
      </c>
      <c r="F130" s="14" t="s">
        <v>280</v>
      </c>
    </row>
    <row r="131" spans="2:6" ht="12" customHeight="1">
      <c r="B131" s="14"/>
      <c r="D131" s="180" t="s">
        <v>756</v>
      </c>
      <c r="E131" s="180" t="s">
        <v>63</v>
      </c>
      <c r="F131" s="14" t="s">
        <v>281</v>
      </c>
    </row>
    <row r="132" spans="2:6" ht="12" customHeight="1">
      <c r="B132" s="14"/>
      <c r="D132" s="180" t="s">
        <v>757</v>
      </c>
      <c r="E132" s="180" t="s">
        <v>660</v>
      </c>
      <c r="F132" s="14" t="s">
        <v>282</v>
      </c>
    </row>
    <row r="133" spans="2:6" ht="12" customHeight="1">
      <c r="B133" s="14"/>
      <c r="D133" s="180" t="s">
        <v>758</v>
      </c>
      <c r="E133" s="180" t="s">
        <v>334</v>
      </c>
      <c r="F133" s="14" t="s">
        <v>283</v>
      </c>
    </row>
    <row r="134" spans="2:6" ht="12" customHeight="1">
      <c r="B134" s="14"/>
      <c r="D134" s="180" t="s">
        <v>759</v>
      </c>
      <c r="E134" s="180" t="s">
        <v>733</v>
      </c>
      <c r="F134" s="14" t="s">
        <v>198</v>
      </c>
    </row>
    <row r="135" spans="2:6" ht="12" customHeight="1">
      <c r="B135" s="14"/>
      <c r="D135" s="180" t="s">
        <v>759</v>
      </c>
      <c r="E135" s="180" t="s">
        <v>733</v>
      </c>
      <c r="F135" s="14" t="s">
        <v>0</v>
      </c>
    </row>
    <row r="136" spans="2:6" ht="12" customHeight="1">
      <c r="B136" s="14"/>
      <c r="D136" s="63" t="s">
        <v>795</v>
      </c>
      <c r="E136" s="63" t="s">
        <v>831</v>
      </c>
      <c r="F136" s="14" t="s">
        <v>742</v>
      </c>
    </row>
    <row r="137" spans="2:6" ht="12" customHeight="1">
      <c r="B137" s="14"/>
      <c r="D137" s="180" t="s">
        <v>796</v>
      </c>
      <c r="E137" s="180" t="s">
        <v>840</v>
      </c>
      <c r="F137" s="14" t="s">
        <v>743</v>
      </c>
    </row>
    <row r="138" spans="2:6" ht="12" customHeight="1">
      <c r="B138" s="14"/>
      <c r="D138" s="180" t="s">
        <v>797</v>
      </c>
      <c r="E138" s="180" t="s">
        <v>831</v>
      </c>
      <c r="F138" s="14" t="s">
        <v>744</v>
      </c>
    </row>
    <row r="139" spans="2:6" ht="12" customHeight="1">
      <c r="B139" s="14"/>
      <c r="D139" s="180" t="s">
        <v>739</v>
      </c>
      <c r="E139" s="180" t="s">
        <v>11</v>
      </c>
      <c r="F139" s="14" t="s">
        <v>745</v>
      </c>
    </row>
    <row r="140" spans="2:6" ht="12" customHeight="1">
      <c r="B140" s="14"/>
      <c r="D140" s="180" t="s">
        <v>792</v>
      </c>
      <c r="E140" s="180" t="s">
        <v>876</v>
      </c>
      <c r="F140" s="14" t="s">
        <v>199</v>
      </c>
    </row>
    <row r="141" spans="2:6" ht="12" customHeight="1">
      <c r="B141" s="14"/>
      <c r="D141" s="180" t="s">
        <v>798</v>
      </c>
      <c r="E141" s="180" t="s">
        <v>799</v>
      </c>
      <c r="F141" s="14" t="s">
        <v>202</v>
      </c>
    </row>
    <row r="142" spans="2:6" ht="12" customHeight="1">
      <c r="B142" s="14"/>
      <c r="D142" s="26" t="s">
        <v>790</v>
      </c>
      <c r="E142" s="63" t="s">
        <v>63</v>
      </c>
      <c r="F142" s="14" t="s">
        <v>301</v>
      </c>
    </row>
    <row r="143" spans="2:6" ht="12" customHeight="1">
      <c r="B143" s="14"/>
      <c r="D143" s="60" t="s">
        <v>791</v>
      </c>
      <c r="E143" s="63" t="s">
        <v>244</v>
      </c>
      <c r="F143" s="14" t="s">
        <v>287</v>
      </c>
    </row>
    <row r="144" spans="2:6" ht="12" customHeight="1">
      <c r="B144" s="14"/>
      <c r="D144" s="180" t="s">
        <v>813</v>
      </c>
      <c r="E144" s="180" t="s">
        <v>814</v>
      </c>
      <c r="F144" s="14" t="s">
        <v>285</v>
      </c>
    </row>
    <row r="145" spans="4:6" s="14" customFormat="1" ht="12" customHeight="1">
      <c r="D145" s="180" t="s">
        <v>826</v>
      </c>
      <c r="E145" s="176" t="s">
        <v>198</v>
      </c>
      <c r="F145" s="14" t="s">
        <v>196</v>
      </c>
    </row>
    <row r="146" spans="4:6" s="14" customFormat="1" ht="12" customHeight="1">
      <c r="D146" s="180" t="s">
        <v>828</v>
      </c>
      <c r="E146" s="63" t="s">
        <v>1307</v>
      </c>
      <c r="F146" s="14" t="s">
        <v>787</v>
      </c>
    </row>
    <row r="147" spans="4:6" s="14" customFormat="1" ht="12" customHeight="1">
      <c r="D147" s="180" t="s">
        <v>845</v>
      </c>
      <c r="E147" s="180" t="s">
        <v>198</v>
      </c>
      <c r="F147" s="14" t="s">
        <v>788</v>
      </c>
    </row>
    <row r="148" spans="4:6" s="14" customFormat="1" ht="12" customHeight="1">
      <c r="D148" s="180" t="s">
        <v>847</v>
      </c>
      <c r="E148" s="180" t="s">
        <v>63</v>
      </c>
      <c r="F148" s="14" t="s">
        <v>286</v>
      </c>
    </row>
    <row r="149" spans="4:6" s="14" customFormat="1" ht="12" customHeight="1">
      <c r="D149" s="180" t="s">
        <v>849</v>
      </c>
      <c r="E149" s="180" t="s">
        <v>198</v>
      </c>
      <c r="F149" s="14" t="s">
        <v>284</v>
      </c>
    </row>
    <row r="150" spans="4:6" s="14" customFormat="1" ht="12" customHeight="1">
      <c r="D150" s="180" t="s">
        <v>854</v>
      </c>
      <c r="E150" s="176" t="s">
        <v>857</v>
      </c>
      <c r="F150" s="14" t="s">
        <v>195</v>
      </c>
    </row>
    <row r="151" spans="4:6" s="14" customFormat="1" ht="12" customHeight="1">
      <c r="D151" s="180" t="s">
        <v>854</v>
      </c>
      <c r="E151" s="176" t="s">
        <v>857</v>
      </c>
      <c r="F151" s="14" t="s">
        <v>288</v>
      </c>
    </row>
    <row r="152" spans="4:6" s="14" customFormat="1" ht="12" customHeight="1">
      <c r="D152" s="180" t="s">
        <v>1308</v>
      </c>
      <c r="E152" s="180" t="s">
        <v>1309</v>
      </c>
      <c r="F152" s="14" t="s">
        <v>864</v>
      </c>
    </row>
    <row r="153" spans="4:6" s="14" customFormat="1" ht="12" customHeight="1">
      <c r="D153" s="180" t="s">
        <v>859</v>
      </c>
      <c r="E153" s="180" t="s">
        <v>861</v>
      </c>
      <c r="F153" s="14" t="s">
        <v>865</v>
      </c>
    </row>
    <row r="154" spans="4:6" s="14" customFormat="1" ht="12" customHeight="1">
      <c r="D154" s="180" t="s">
        <v>997</v>
      </c>
      <c r="E154" s="180" t="s">
        <v>63</v>
      </c>
      <c r="F154" s="14" t="s">
        <v>289</v>
      </c>
    </row>
    <row r="155" spans="4:6" s="14" customFormat="1" ht="12" customHeight="1">
      <c r="D155" s="180" t="s">
        <v>998</v>
      </c>
      <c r="E155" s="180" t="s">
        <v>198</v>
      </c>
      <c r="F155" s="14" t="s">
        <v>871</v>
      </c>
    </row>
    <row r="156" spans="4:6" s="14" customFormat="1" ht="12" customHeight="1">
      <c r="D156" s="180" t="s">
        <v>999</v>
      </c>
      <c r="E156" s="180" t="s">
        <v>198</v>
      </c>
      <c r="F156" s="14" t="s">
        <v>872</v>
      </c>
    </row>
    <row r="157" spans="4:6" s="14" customFormat="1" ht="12" customHeight="1">
      <c r="D157" s="180" t="s">
        <v>1310</v>
      </c>
      <c r="E157" s="180" t="s">
        <v>198</v>
      </c>
      <c r="F157" s="14" t="s">
        <v>387</v>
      </c>
    </row>
    <row r="158" spans="4:6" s="14" customFormat="1" ht="12" customHeight="1">
      <c r="D158" s="180" t="s">
        <v>886</v>
      </c>
      <c r="E158" s="180" t="s">
        <v>1311</v>
      </c>
      <c r="F158" s="14" t="s">
        <v>388</v>
      </c>
    </row>
    <row r="159" spans="4:6" s="14" customFormat="1" ht="12" customHeight="1">
      <c r="D159" s="180" t="s">
        <v>879</v>
      </c>
      <c r="E159" s="180" t="s">
        <v>1312</v>
      </c>
      <c r="F159" s="14" t="s">
        <v>389</v>
      </c>
    </row>
    <row r="160" spans="4:6" s="14" customFormat="1" ht="12" customHeight="1">
      <c r="D160" s="180" t="s">
        <v>887</v>
      </c>
      <c r="E160" s="180" t="s">
        <v>1075</v>
      </c>
      <c r="F160" s="14" t="s">
        <v>197</v>
      </c>
    </row>
    <row r="161" spans="4:6" s="14" customFormat="1" ht="12" customHeight="1">
      <c r="D161" s="180" t="s">
        <v>881</v>
      </c>
      <c r="E161" s="180" t="s">
        <v>63</v>
      </c>
      <c r="F161" s="14" t="s">
        <v>390</v>
      </c>
    </row>
    <row r="162" spans="4:6" s="14" customFormat="1" ht="12" customHeight="1">
      <c r="D162" s="180" t="s">
        <v>882</v>
      </c>
      <c r="E162" s="180" t="s">
        <v>63</v>
      </c>
      <c r="F162" s="14" t="s">
        <v>391</v>
      </c>
    </row>
    <row r="163" spans="4:6" s="14" customFormat="1" ht="12" customHeight="1">
      <c r="D163" s="180" t="s">
        <v>883</v>
      </c>
      <c r="E163" s="180" t="s">
        <v>63</v>
      </c>
      <c r="F163" s="14" t="s">
        <v>392</v>
      </c>
    </row>
    <row r="164" spans="4:6" s="14" customFormat="1" ht="12" customHeight="1">
      <c r="D164" s="180" t="s">
        <v>888</v>
      </c>
      <c r="E164" s="180" t="s">
        <v>198</v>
      </c>
      <c r="F164" s="14" t="s">
        <v>393</v>
      </c>
    </row>
    <row r="165" spans="4:6" s="14" customFormat="1" ht="12" customHeight="1">
      <c r="D165" s="180" t="s">
        <v>888</v>
      </c>
      <c r="E165" s="180" t="s">
        <v>198</v>
      </c>
      <c r="F165" s="14" t="s">
        <v>394</v>
      </c>
    </row>
    <row r="166" spans="4:6" s="14" customFormat="1" ht="12" customHeight="1">
      <c r="D166" s="180" t="s">
        <v>889</v>
      </c>
      <c r="E166" s="180" t="s">
        <v>302</v>
      </c>
      <c r="F166" s="14" t="s">
        <v>395</v>
      </c>
    </row>
    <row r="167" spans="4:6" s="14" customFormat="1" ht="12" customHeight="1">
      <c r="D167" s="180" t="s">
        <v>885</v>
      </c>
      <c r="E167" s="180" t="s">
        <v>890</v>
      </c>
      <c r="F167" s="14" t="s">
        <v>396</v>
      </c>
    </row>
    <row r="168" spans="4:6" s="14" customFormat="1" ht="12" customHeight="1">
      <c r="D168" s="180" t="s">
        <v>1028</v>
      </c>
      <c r="E168" s="180" t="s">
        <v>11</v>
      </c>
      <c r="F168" s="14" t="s">
        <v>397</v>
      </c>
    </row>
    <row r="169" spans="4:6" s="14" customFormat="1" ht="12" customHeight="1">
      <c r="D169" s="14" t="s">
        <v>1000</v>
      </c>
      <c r="E169" s="196" t="s">
        <v>1001</v>
      </c>
      <c r="F169" s="14" t="s">
        <v>398</v>
      </c>
    </row>
    <row r="170" spans="4:6" s="14" customFormat="1" ht="12" customHeight="1">
      <c r="D170" s="180" t="s">
        <v>1008</v>
      </c>
      <c r="E170" s="180" t="s">
        <v>471</v>
      </c>
      <c r="F170" s="14" t="s">
        <v>399</v>
      </c>
    </row>
    <row r="171" spans="4:6" s="14" customFormat="1" ht="12" customHeight="1">
      <c r="D171" s="180" t="s">
        <v>1002</v>
      </c>
      <c r="E171" s="180" t="s">
        <v>1055</v>
      </c>
      <c r="F171" s="14" t="s">
        <v>400</v>
      </c>
    </row>
    <row r="172" spans="4:6" s="14" customFormat="1" ht="12" customHeight="1">
      <c r="D172" s="180" t="s">
        <v>782</v>
      </c>
      <c r="E172" s="180" t="s">
        <v>660</v>
      </c>
      <c r="F172" s="14" t="s">
        <v>401</v>
      </c>
    </row>
    <row r="173" spans="4:6" s="14" customFormat="1" ht="12" customHeight="1">
      <c r="D173" s="180" t="s">
        <v>1003</v>
      </c>
      <c r="E173" s="180" t="s">
        <v>1313</v>
      </c>
      <c r="F173" s="14" t="s">
        <v>402</v>
      </c>
    </row>
    <row r="174" spans="4:6" s="14" customFormat="1" ht="12" customHeight="1">
      <c r="D174" s="14" t="s">
        <v>1005</v>
      </c>
      <c r="E174" s="180" t="s">
        <v>1032</v>
      </c>
      <c r="F174" s="14" t="s">
        <v>667</v>
      </c>
    </row>
    <row r="175" spans="4:6" s="14" customFormat="1" ht="12" customHeight="1">
      <c r="D175" s="180" t="s">
        <v>1314</v>
      </c>
      <c r="E175" s="180" t="s">
        <v>199</v>
      </c>
      <c r="F175" s="14" t="s">
        <v>669</v>
      </c>
    </row>
    <row r="176" spans="4:6" s="14" customFormat="1" ht="12" customHeight="1">
      <c r="D176" s="180" t="s">
        <v>1004</v>
      </c>
      <c r="E176" s="180" t="s">
        <v>63</v>
      </c>
      <c r="F176" s="14" t="s">
        <v>403</v>
      </c>
    </row>
    <row r="177" spans="4:6" s="14" customFormat="1" ht="12" customHeight="1">
      <c r="D177" s="102" t="s">
        <v>1062</v>
      </c>
      <c r="E177" s="96" t="s">
        <v>1261</v>
      </c>
      <c r="F177" s="14" t="s">
        <v>404</v>
      </c>
    </row>
    <row r="178" spans="4:6" s="14" customFormat="1" ht="12" customHeight="1">
      <c r="D178" s="97" t="s">
        <v>1063</v>
      </c>
      <c r="E178" s="96" t="s">
        <v>1350</v>
      </c>
      <c r="F178" s="14" t="s">
        <v>470</v>
      </c>
    </row>
    <row r="179" spans="4:6" s="14" customFormat="1" ht="12" customHeight="1">
      <c r="D179" s="180" t="s">
        <v>1416</v>
      </c>
      <c r="E179" s="180" t="s">
        <v>63</v>
      </c>
      <c r="F179" s="14" t="s">
        <v>471</v>
      </c>
    </row>
    <row r="180" spans="4:6" s="14" customFormat="1" ht="12" customHeight="1">
      <c r="D180" s="180" t="s">
        <v>1423</v>
      </c>
      <c r="E180" s="180" t="s">
        <v>1424</v>
      </c>
      <c r="F180" s="14" t="s">
        <v>476</v>
      </c>
    </row>
    <row r="181" spans="4:6" s="14" customFormat="1" ht="12" customHeight="1">
      <c r="D181" s="180" t="s">
        <v>1425</v>
      </c>
      <c r="E181" s="180" t="s">
        <v>1432</v>
      </c>
      <c r="F181" s="14" t="s">
        <v>477</v>
      </c>
    </row>
    <row r="182" spans="4:6" s="14" customFormat="1" ht="12" customHeight="1">
      <c r="D182" s="180" t="s">
        <v>1436</v>
      </c>
      <c r="E182" s="180" t="s">
        <v>1432</v>
      </c>
      <c r="F182" s="14" t="s">
        <v>478</v>
      </c>
    </row>
    <row r="183" spans="4:6" s="14" customFormat="1" ht="12" customHeight="1">
      <c r="D183" s="180"/>
      <c r="E183" s="180"/>
      <c r="F183" s="14" t="s">
        <v>479</v>
      </c>
    </row>
    <row r="184" spans="4:6" s="14" customFormat="1" ht="12" customHeight="1">
      <c r="D184" s="180"/>
      <c r="E184" s="180"/>
      <c r="F184" s="14" t="s">
        <v>491</v>
      </c>
    </row>
    <row r="185" spans="4:6" s="14" customFormat="1" ht="12" customHeight="1">
      <c r="D185" s="180"/>
      <c r="E185" s="180"/>
      <c r="F185" s="14" t="s">
        <v>504</v>
      </c>
    </row>
    <row r="186" spans="4:6" s="14" customFormat="1" ht="12" customHeight="1">
      <c r="D186" s="180"/>
      <c r="E186" s="180"/>
      <c r="F186" s="14" t="s">
        <v>505</v>
      </c>
    </row>
    <row r="187" spans="4:6" s="14" customFormat="1" ht="12" customHeight="1">
      <c r="D187" s="180"/>
      <c r="E187" s="180"/>
      <c r="F187" s="14" t="s">
        <v>506</v>
      </c>
    </row>
    <row r="188" spans="4:6" s="14" customFormat="1" ht="12" customHeight="1">
      <c r="D188" s="180"/>
      <c r="E188" s="180"/>
      <c r="F188" s="14" t="s">
        <v>507</v>
      </c>
    </row>
    <row r="189" spans="4:6" s="14" customFormat="1" ht="12" customHeight="1">
      <c r="D189" s="180"/>
      <c r="E189" s="180"/>
      <c r="F189" s="14" t="s">
        <v>518</v>
      </c>
    </row>
    <row r="190" spans="4:6" s="14" customFormat="1" ht="12" customHeight="1">
      <c r="D190" s="180"/>
      <c r="E190" s="180"/>
      <c r="F190" s="14" t="s">
        <v>519</v>
      </c>
    </row>
    <row r="191" spans="4:6" s="14" customFormat="1" ht="12" customHeight="1">
      <c r="D191" s="180"/>
      <c r="E191" s="180"/>
      <c r="F191" s="14" t="s">
        <v>520</v>
      </c>
    </row>
    <row r="192" spans="4:6" s="14" customFormat="1" ht="12" customHeight="1">
      <c r="D192" s="180"/>
      <c r="E192" s="180"/>
      <c r="F192" s="14" t="s">
        <v>655</v>
      </c>
    </row>
    <row r="193" spans="4:6" s="14" customFormat="1" ht="12" customHeight="1">
      <c r="D193" s="180"/>
      <c r="E193" s="180"/>
      <c r="F193" s="14" t="s">
        <v>517</v>
      </c>
    </row>
    <row r="194" spans="4:6" s="14" customFormat="1" ht="12" customHeight="1">
      <c r="D194" s="180"/>
      <c r="E194" s="180"/>
      <c r="F194" s="14" t="s">
        <v>639</v>
      </c>
    </row>
    <row r="195" spans="4:6" s="14" customFormat="1" ht="12" customHeight="1">
      <c r="D195" s="180"/>
      <c r="E195" s="180"/>
      <c r="F195" s="14" t="s">
        <v>534</v>
      </c>
    </row>
    <row r="196" spans="4:6" s="14" customFormat="1" ht="12" customHeight="1">
      <c r="D196" s="180"/>
      <c r="E196" s="180"/>
      <c r="F196" s="14" t="s">
        <v>535</v>
      </c>
    </row>
    <row r="197" spans="4:6" s="14" customFormat="1" ht="12" customHeight="1">
      <c r="D197" s="180"/>
      <c r="E197" s="180"/>
      <c r="F197" s="14" t="s">
        <v>536</v>
      </c>
    </row>
    <row r="198" spans="4:6" s="14" customFormat="1" ht="12" customHeight="1">
      <c r="D198" s="180"/>
      <c r="E198" s="180"/>
      <c r="F198" s="14" t="s">
        <v>537</v>
      </c>
    </row>
    <row r="199" spans="4:6" s="14" customFormat="1" ht="12" customHeight="1">
      <c r="D199" s="180"/>
      <c r="E199" s="180"/>
      <c r="F199" s="14" t="s">
        <v>538</v>
      </c>
    </row>
    <row r="200" spans="4:6" s="14" customFormat="1" ht="12" customHeight="1">
      <c r="D200" s="180"/>
      <c r="E200" s="180"/>
      <c r="F200" s="14" t="s">
        <v>539</v>
      </c>
    </row>
    <row r="201" spans="4:6" s="14" customFormat="1" ht="12" customHeight="1">
      <c r="D201" s="180"/>
      <c r="E201" s="180"/>
      <c r="F201" s="14" t="s">
        <v>540</v>
      </c>
    </row>
    <row r="202" spans="4:6" s="14" customFormat="1" ht="12" customHeight="1">
      <c r="D202" s="180"/>
      <c r="E202" s="180"/>
      <c r="F202" s="14" t="s">
        <v>541</v>
      </c>
    </row>
    <row r="203" spans="4:6" s="14" customFormat="1" ht="12" customHeight="1">
      <c r="D203" s="180"/>
      <c r="E203" s="180"/>
      <c r="F203" s="14" t="s">
        <v>542</v>
      </c>
    </row>
    <row r="204" spans="4:6" s="14" customFormat="1" ht="12" customHeight="1">
      <c r="D204" s="180"/>
      <c r="E204" s="180"/>
      <c r="F204" s="14" t="s">
        <v>543</v>
      </c>
    </row>
    <row r="205" spans="4:6" s="14" customFormat="1" ht="12" customHeight="1">
      <c r="D205" s="180"/>
      <c r="E205" s="180"/>
      <c r="F205" s="14" t="s">
        <v>544</v>
      </c>
    </row>
    <row r="206" spans="4:6" s="14" customFormat="1" ht="12" customHeight="1">
      <c r="D206" s="180"/>
      <c r="E206" s="180"/>
      <c r="F206" s="14" t="s">
        <v>545</v>
      </c>
    </row>
    <row r="207" spans="4:6" s="14" customFormat="1" ht="12" customHeight="1">
      <c r="D207" s="180"/>
      <c r="E207" s="180"/>
      <c r="F207" s="14" t="s">
        <v>546</v>
      </c>
    </row>
    <row r="208" spans="4:6" s="14" customFormat="1" ht="12" customHeight="1">
      <c r="D208" s="180"/>
      <c r="E208" s="180"/>
      <c r="F208" s="14" t="s">
        <v>547</v>
      </c>
    </row>
    <row r="209" spans="4:6" s="14" customFormat="1" ht="12" customHeight="1">
      <c r="D209" s="180"/>
      <c r="E209" s="180"/>
      <c r="F209" s="14" t="s">
        <v>548</v>
      </c>
    </row>
    <row r="210" spans="4:6" s="14" customFormat="1" ht="12" customHeight="1">
      <c r="D210" s="180"/>
      <c r="E210" s="180"/>
      <c r="F210" s="14" t="s">
        <v>549</v>
      </c>
    </row>
    <row r="211" spans="4:6" s="14" customFormat="1" ht="12" customHeight="1">
      <c r="D211" s="180"/>
      <c r="E211" s="180"/>
      <c r="F211" s="14" t="s">
        <v>550</v>
      </c>
    </row>
    <row r="212" spans="4:6" s="14" customFormat="1" ht="12" customHeight="1">
      <c r="D212" s="180"/>
      <c r="E212" s="180"/>
      <c r="F212" s="14" t="s">
        <v>551</v>
      </c>
    </row>
    <row r="213" spans="4:6" s="14" customFormat="1" ht="12" customHeight="1">
      <c r="D213" s="180"/>
      <c r="E213" s="180"/>
      <c r="F213" s="14" t="s">
        <v>552</v>
      </c>
    </row>
    <row r="214" spans="4:6" s="14" customFormat="1" ht="12" customHeight="1">
      <c r="D214" s="180"/>
      <c r="E214" s="180"/>
      <c r="F214" s="14" t="s">
        <v>553</v>
      </c>
    </row>
    <row r="215" spans="4:6" s="14" customFormat="1" ht="12" customHeight="1">
      <c r="D215" s="180"/>
      <c r="E215" s="180"/>
      <c r="F215" s="14" t="s">
        <v>554</v>
      </c>
    </row>
    <row r="216" spans="4:6" s="14" customFormat="1" ht="12" customHeight="1">
      <c r="D216" s="180"/>
      <c r="E216" s="180"/>
      <c r="F216" s="14" t="s">
        <v>555</v>
      </c>
    </row>
    <row r="217" spans="4:6" s="14" customFormat="1" ht="12" customHeight="1">
      <c r="D217" s="180"/>
      <c r="E217" s="180"/>
      <c r="F217" s="14" t="s">
        <v>556</v>
      </c>
    </row>
    <row r="218" spans="4:6" s="14" customFormat="1" ht="12" customHeight="1">
      <c r="D218" s="180"/>
      <c r="E218" s="180"/>
      <c r="F218" s="14" t="s">
        <v>557</v>
      </c>
    </row>
    <row r="219" spans="4:6" s="14" customFormat="1" ht="12" customHeight="1">
      <c r="D219" s="180"/>
      <c r="E219" s="180"/>
      <c r="F219" s="14" t="s">
        <v>558</v>
      </c>
    </row>
    <row r="220" spans="4:6" s="14" customFormat="1" ht="12" customHeight="1">
      <c r="D220" s="180"/>
      <c r="E220" s="180"/>
      <c r="F220" s="99" t="s">
        <v>559</v>
      </c>
    </row>
    <row r="221" spans="4:6" s="14" customFormat="1" ht="12" customHeight="1">
      <c r="D221" s="180"/>
      <c r="E221" s="180"/>
      <c r="F221" s="99" t="s">
        <v>560</v>
      </c>
    </row>
    <row r="222" spans="4:6" s="14" customFormat="1" ht="12" customHeight="1">
      <c r="D222" s="180"/>
      <c r="E222" s="180"/>
      <c r="F222" s="99" t="s">
        <v>561</v>
      </c>
    </row>
    <row r="223" spans="4:6" s="14" customFormat="1" ht="12" customHeight="1">
      <c r="D223" s="180"/>
      <c r="E223" s="180"/>
      <c r="F223" s="99" t="s">
        <v>562</v>
      </c>
    </row>
    <row r="224" spans="4:6" s="14" customFormat="1" ht="12" customHeight="1">
      <c r="D224" s="180"/>
      <c r="E224" s="180"/>
      <c r="F224" s="99" t="s">
        <v>563</v>
      </c>
    </row>
    <row r="225" spans="4:6" s="14" customFormat="1" ht="12" customHeight="1">
      <c r="D225" s="180"/>
      <c r="E225" s="180"/>
      <c r="F225" s="99" t="s">
        <v>564</v>
      </c>
    </row>
    <row r="226" spans="4:6" s="14" customFormat="1" ht="12" customHeight="1">
      <c r="D226" s="180"/>
      <c r="E226" s="180"/>
      <c r="F226" s="99" t="s">
        <v>565</v>
      </c>
    </row>
    <row r="227" spans="4:6" s="14" customFormat="1" ht="12" customHeight="1">
      <c r="D227" s="180"/>
      <c r="E227" s="180"/>
      <c r="F227" s="99" t="s">
        <v>566</v>
      </c>
    </row>
    <row r="228" spans="4:6" s="14" customFormat="1" ht="12" customHeight="1">
      <c r="D228" s="180"/>
      <c r="E228" s="180"/>
      <c r="F228" s="99" t="s">
        <v>567</v>
      </c>
    </row>
    <row r="229" spans="4:6" s="14" customFormat="1" ht="12" customHeight="1">
      <c r="D229" s="180"/>
      <c r="E229" s="180"/>
      <c r="F229" s="183" t="s">
        <v>568</v>
      </c>
    </row>
    <row r="230" spans="4:6" s="14" customFormat="1" ht="12" customHeight="1">
      <c r="D230" s="180"/>
      <c r="E230" s="180"/>
      <c r="F230" s="183" t="s">
        <v>569</v>
      </c>
    </row>
    <row r="231" spans="4:6" s="14" customFormat="1" ht="12" customHeight="1">
      <c r="D231" s="180"/>
      <c r="E231" s="180"/>
      <c r="F231" s="183" t="s">
        <v>570</v>
      </c>
    </row>
    <row r="232" spans="4:6" s="14" customFormat="1" ht="12" customHeight="1">
      <c r="D232" s="180"/>
      <c r="E232" s="180"/>
      <c r="F232" s="99" t="s">
        <v>571</v>
      </c>
    </row>
    <row r="233" spans="4:6" s="14" customFormat="1" ht="12" customHeight="1">
      <c r="D233" s="180"/>
      <c r="E233" s="180"/>
      <c r="F233" s="99" t="s">
        <v>646</v>
      </c>
    </row>
    <row r="234" spans="4:6" s="14" customFormat="1" ht="12" customHeight="1">
      <c r="D234" s="180"/>
      <c r="E234" s="180"/>
      <c r="F234" s="99" t="s">
        <v>572</v>
      </c>
    </row>
    <row r="235" spans="4:6" s="14" customFormat="1" ht="12" customHeight="1">
      <c r="D235" s="180"/>
      <c r="E235" s="180"/>
      <c r="F235" s="99" t="s">
        <v>573</v>
      </c>
    </row>
    <row r="236" spans="4:6" s="14" customFormat="1" ht="12" customHeight="1">
      <c r="D236" s="180"/>
      <c r="E236" s="180"/>
      <c r="F236" s="99" t="s">
        <v>574</v>
      </c>
    </row>
    <row r="237" spans="4:6" s="14" customFormat="1" ht="12" customHeight="1">
      <c r="D237" s="180"/>
      <c r="E237" s="180"/>
      <c r="F237" s="99" t="s">
        <v>575</v>
      </c>
    </row>
    <row r="238" spans="4:6" s="14" customFormat="1" ht="12" customHeight="1">
      <c r="D238" s="180"/>
      <c r="E238" s="180"/>
      <c r="F238" s="99" t="s">
        <v>576</v>
      </c>
    </row>
    <row r="239" spans="4:6" s="14" customFormat="1" ht="12" customHeight="1">
      <c r="D239" s="180"/>
      <c r="E239" s="180"/>
      <c r="F239" s="99" t="s">
        <v>577</v>
      </c>
    </row>
    <row r="240" spans="4:6" s="14" customFormat="1" ht="12" customHeight="1">
      <c r="D240" s="180"/>
      <c r="E240" s="180"/>
      <c r="F240" s="99" t="s">
        <v>578</v>
      </c>
    </row>
    <row r="241" spans="4:6" s="14" customFormat="1" ht="12" customHeight="1">
      <c r="D241" s="180"/>
      <c r="E241" s="180"/>
      <c r="F241" s="99" t="s">
        <v>579</v>
      </c>
    </row>
    <row r="242" spans="4:6" s="14" customFormat="1" ht="12" customHeight="1">
      <c r="D242" s="180"/>
      <c r="E242" s="180"/>
      <c r="F242" s="99" t="s">
        <v>581</v>
      </c>
    </row>
    <row r="243" spans="4:6" s="14" customFormat="1" ht="12" customHeight="1">
      <c r="D243" s="180"/>
      <c r="E243" s="180"/>
      <c r="F243" s="99" t="s">
        <v>582</v>
      </c>
    </row>
    <row r="244" spans="4:6" s="14" customFormat="1" ht="12" customHeight="1">
      <c r="D244" s="180"/>
      <c r="E244" s="180"/>
      <c r="F244" s="183" t="s">
        <v>634</v>
      </c>
    </row>
    <row r="245" spans="4:6" s="14" customFormat="1" ht="12" customHeight="1">
      <c r="D245" s="180"/>
      <c r="E245" s="180"/>
      <c r="F245" s="99" t="s">
        <v>635</v>
      </c>
    </row>
    <row r="246" spans="4:6" s="14" customFormat="1" ht="12" customHeight="1">
      <c r="D246" s="180"/>
      <c r="E246" s="180"/>
      <c r="F246" s="99" t="s">
        <v>637</v>
      </c>
    </row>
    <row r="247" spans="4:6" s="14" customFormat="1" ht="12" customHeight="1">
      <c r="F247" s="99" t="s">
        <v>687</v>
      </c>
    </row>
    <row r="248" spans="4:6" s="14" customFormat="1" ht="12" customHeight="1">
      <c r="F248" s="99" t="s">
        <v>694</v>
      </c>
    </row>
    <row r="249" spans="4:6" s="14" customFormat="1" ht="12" customHeight="1">
      <c r="F249" s="99" t="s">
        <v>699</v>
      </c>
    </row>
    <row r="250" spans="4:6" s="14" customFormat="1" ht="12" customHeight="1">
      <c r="F250" s="99" t="s">
        <v>700</v>
      </c>
    </row>
    <row r="251" spans="4:6" s="14" customFormat="1" ht="12" customHeight="1">
      <c r="F251" s="99" t="s">
        <v>701</v>
      </c>
    </row>
    <row r="252" spans="4:6" s="14" customFormat="1" ht="12" customHeight="1">
      <c r="F252" s="99" t="s">
        <v>702</v>
      </c>
    </row>
    <row r="253" spans="4:6" s="14" customFormat="1" ht="12" customHeight="1">
      <c r="F253" s="99" t="s">
        <v>703</v>
      </c>
    </row>
    <row r="254" spans="4:6" s="14" customFormat="1" ht="12" customHeight="1">
      <c r="F254" s="99" t="s">
        <v>704</v>
      </c>
    </row>
    <row r="255" spans="4:6" s="14" customFormat="1" ht="12" customHeight="1">
      <c r="F255" s="99" t="s">
        <v>830</v>
      </c>
    </row>
    <row r="256" spans="4:6" s="14" customFormat="1" ht="12" customHeight="1">
      <c r="F256" s="99" t="s">
        <v>800</v>
      </c>
    </row>
    <row r="257" spans="6:6" s="14" customFormat="1" ht="12" customHeight="1">
      <c r="F257" s="99" t="s">
        <v>801</v>
      </c>
    </row>
    <row r="258" spans="6:6" s="14" customFormat="1" ht="12" customHeight="1">
      <c r="F258" s="99" t="s">
        <v>839</v>
      </c>
    </row>
    <row r="259" spans="6:6" s="14" customFormat="1" ht="12" customHeight="1">
      <c r="F259" s="99" t="s">
        <v>802</v>
      </c>
    </row>
    <row r="260" spans="6:6" s="14" customFormat="1" ht="12" customHeight="1">
      <c r="F260" s="99" t="s">
        <v>803</v>
      </c>
    </row>
    <row r="261" spans="6:6" s="14" customFormat="1" ht="12" customHeight="1">
      <c r="F261" s="99" t="s">
        <v>874</v>
      </c>
    </row>
    <row r="262" spans="6:6" s="14" customFormat="1" ht="12" customHeight="1">
      <c r="F262" s="99" t="s">
        <v>875</v>
      </c>
    </row>
    <row r="263" spans="6:6" s="14" customFormat="1" ht="12" customHeight="1" thickBot="1">
      <c r="F263" s="197" t="s">
        <v>804</v>
      </c>
    </row>
    <row r="264" spans="6:6" s="14" customFormat="1" ht="12" customHeight="1">
      <c r="F264" s="198" t="s">
        <v>805</v>
      </c>
    </row>
    <row r="265" spans="6:6" s="14" customFormat="1" ht="12" customHeight="1">
      <c r="F265" s="199" t="s">
        <v>806</v>
      </c>
    </row>
    <row r="266" spans="6:6" s="14" customFormat="1" ht="12" customHeight="1">
      <c r="F266" s="198" t="s">
        <v>16</v>
      </c>
    </row>
    <row r="267" spans="6:6" s="14" customFormat="1" ht="12" customHeight="1">
      <c r="F267" s="198" t="s">
        <v>18</v>
      </c>
    </row>
    <row r="268" spans="6:6" s="14" customFormat="1" ht="12" customHeight="1">
      <c r="F268" s="198" t="s">
        <v>19</v>
      </c>
    </row>
    <row r="269" spans="6:6" s="14" customFormat="1" ht="12" customHeight="1">
      <c r="F269" s="199" t="s">
        <v>856</v>
      </c>
    </row>
    <row r="270" spans="6:6" s="14" customFormat="1" ht="12" customHeight="1">
      <c r="F270" s="14" t="s">
        <v>855</v>
      </c>
    </row>
    <row r="271" spans="6:6" s="14" customFormat="1" ht="12" customHeight="1">
      <c r="F271" s="14" t="s">
        <v>1315</v>
      </c>
    </row>
    <row r="272" spans="6:6" s="14" customFormat="1" ht="12" customHeight="1">
      <c r="F272" s="14" t="s">
        <v>1316</v>
      </c>
    </row>
    <row r="273" spans="6:6" s="14" customFormat="1" ht="12" customHeight="1">
      <c r="F273" s="14" t="s">
        <v>1317</v>
      </c>
    </row>
    <row r="274" spans="6:6" s="14" customFormat="1" ht="12" customHeight="1">
      <c r="F274" s="14" t="s">
        <v>1318</v>
      </c>
    </row>
    <row r="275" spans="6:6" s="14" customFormat="1" ht="12" customHeight="1">
      <c r="F275" s="14" t="s">
        <v>1319</v>
      </c>
    </row>
    <row r="276" spans="6:6" s="14" customFormat="1" ht="12" customHeight="1">
      <c r="F276" s="14" t="s">
        <v>1320</v>
      </c>
    </row>
    <row r="277" spans="6:6" s="14" customFormat="1" ht="12" customHeight="1">
      <c r="F277" s="14" t="s">
        <v>1321</v>
      </c>
    </row>
    <row r="278" spans="6:6" s="14" customFormat="1" ht="12" customHeight="1">
      <c r="F278" s="14" t="s">
        <v>1322</v>
      </c>
    </row>
    <row r="279" spans="6:6" s="14" customFormat="1" ht="12" customHeight="1">
      <c r="F279" s="14" t="s">
        <v>1323</v>
      </c>
    </row>
    <row r="280" spans="6:6" s="14" customFormat="1" ht="12" customHeight="1">
      <c r="F280" s="14" t="s">
        <v>1324</v>
      </c>
    </row>
    <row r="281" spans="6:6" s="14" customFormat="1" ht="12" customHeight="1">
      <c r="F281" s="14" t="s">
        <v>1325</v>
      </c>
    </row>
    <row r="282" spans="6:6" s="14" customFormat="1" ht="12" customHeight="1">
      <c r="F282" s="14" t="s">
        <v>1326</v>
      </c>
    </row>
    <row r="283" spans="6:6" s="14" customFormat="1" ht="12" customHeight="1">
      <c r="F283" s="14" t="s">
        <v>1327</v>
      </c>
    </row>
    <row r="284" spans="6:6" s="14" customFormat="1" ht="12" customHeight="1">
      <c r="F284" s="14" t="s">
        <v>891</v>
      </c>
    </row>
    <row r="285" spans="6:6" s="14" customFormat="1" ht="12" customHeight="1">
      <c r="F285" s="14" t="s">
        <v>893</v>
      </c>
    </row>
    <row r="286" spans="6:6" s="14" customFormat="1" ht="12" customHeight="1">
      <c r="F286" s="14" t="s">
        <v>892</v>
      </c>
    </row>
    <row r="287" spans="6:6" s="14" customFormat="1" ht="12" customHeight="1">
      <c r="F287" s="14" t="s">
        <v>894</v>
      </c>
    </row>
    <row r="288" spans="6:6" s="14" customFormat="1" ht="12" customHeight="1">
      <c r="F288" s="14" t="s">
        <v>895</v>
      </c>
    </row>
    <row r="289" spans="6:6" s="14" customFormat="1" ht="12" customHeight="1">
      <c r="F289" s="14" t="s">
        <v>896</v>
      </c>
    </row>
    <row r="290" spans="6:6" s="14" customFormat="1" ht="12" customHeight="1">
      <c r="F290" s="14" t="s">
        <v>897</v>
      </c>
    </row>
    <row r="291" spans="6:6" s="14" customFormat="1" ht="12" customHeight="1">
      <c r="F291" s="14" t="s">
        <v>898</v>
      </c>
    </row>
    <row r="292" spans="6:6" s="14" customFormat="1" ht="12" customHeight="1">
      <c r="F292" s="14" t="s">
        <v>899</v>
      </c>
    </row>
    <row r="293" spans="6:6" s="14" customFormat="1" ht="12" customHeight="1">
      <c r="F293" s="14" t="s">
        <v>900</v>
      </c>
    </row>
    <row r="294" spans="6:6" s="14" customFormat="1" ht="12" customHeight="1">
      <c r="F294" s="14" t="s">
        <v>901</v>
      </c>
    </row>
    <row r="295" spans="6:6" s="14" customFormat="1" ht="12" customHeight="1">
      <c r="F295" s="14" t="s">
        <v>902</v>
      </c>
    </row>
    <row r="296" spans="6:6" s="14" customFormat="1" ht="12" customHeight="1">
      <c r="F296" s="14" t="s">
        <v>903</v>
      </c>
    </row>
    <row r="297" spans="6:6" s="14" customFormat="1" ht="12" customHeight="1">
      <c r="F297" s="14" t="s">
        <v>904</v>
      </c>
    </row>
    <row r="298" spans="6:6" s="14" customFormat="1" ht="12" customHeight="1">
      <c r="F298" s="14" t="s">
        <v>905</v>
      </c>
    </row>
    <row r="299" spans="6:6" s="14" customFormat="1" ht="12" customHeight="1">
      <c r="F299" s="14" t="s">
        <v>906</v>
      </c>
    </row>
    <row r="300" spans="6:6" s="14" customFormat="1" ht="12" customHeight="1">
      <c r="F300" s="14" t="s">
        <v>907</v>
      </c>
    </row>
    <row r="301" spans="6:6" s="14" customFormat="1" ht="12" customHeight="1">
      <c r="F301" s="14" t="s">
        <v>908</v>
      </c>
    </row>
    <row r="302" spans="6:6" s="14" customFormat="1" ht="12" customHeight="1">
      <c r="F302" s="14" t="s">
        <v>909</v>
      </c>
    </row>
    <row r="303" spans="6:6" s="14" customFormat="1" ht="12" customHeight="1">
      <c r="F303" s="14" t="s">
        <v>910</v>
      </c>
    </row>
    <row r="304" spans="6:6" s="14" customFormat="1" ht="12" customHeight="1">
      <c r="F304" s="14" t="s">
        <v>911</v>
      </c>
    </row>
    <row r="305" spans="6:6" s="14" customFormat="1" ht="12" customHeight="1">
      <c r="F305" s="14" t="s">
        <v>912</v>
      </c>
    </row>
    <row r="306" spans="6:6" s="14" customFormat="1" ht="12" customHeight="1">
      <c r="F306" s="14" t="s">
        <v>913</v>
      </c>
    </row>
    <row r="307" spans="6:6" s="14" customFormat="1" ht="12" customHeight="1">
      <c r="F307" s="14" t="s">
        <v>914</v>
      </c>
    </row>
    <row r="308" spans="6:6" s="14" customFormat="1" ht="12" customHeight="1">
      <c r="F308" s="14" t="s">
        <v>915</v>
      </c>
    </row>
    <row r="309" spans="6:6" s="14" customFormat="1" ht="12" customHeight="1">
      <c r="F309" s="14" t="s">
        <v>916</v>
      </c>
    </row>
    <row r="310" spans="6:6" s="14" customFormat="1" ht="12" customHeight="1">
      <c r="F310" s="14" t="s">
        <v>917</v>
      </c>
    </row>
    <row r="311" spans="6:6" s="14" customFormat="1" ht="12" customHeight="1">
      <c r="F311" s="14" t="s">
        <v>918</v>
      </c>
    </row>
    <row r="312" spans="6:6" s="14" customFormat="1" ht="12" customHeight="1">
      <c r="F312" s="14" t="s">
        <v>1048</v>
      </c>
    </row>
    <row r="313" spans="6:6" s="14" customFormat="1" ht="12" customHeight="1">
      <c r="F313" s="14" t="s">
        <v>1049</v>
      </c>
    </row>
    <row r="314" spans="6:6" s="14" customFormat="1" ht="12" customHeight="1">
      <c r="F314" s="14" t="s">
        <v>1050</v>
      </c>
    </row>
    <row r="315" spans="6:6" s="14" customFormat="1" ht="12" customHeight="1">
      <c r="F315" s="14" t="s">
        <v>954</v>
      </c>
    </row>
    <row r="316" spans="6:6" s="14" customFormat="1" ht="12" customHeight="1">
      <c r="F316" s="14" t="s">
        <v>955</v>
      </c>
    </row>
    <row r="317" spans="6:6" s="14" customFormat="1" ht="12" customHeight="1">
      <c r="F317" s="14" t="s">
        <v>956</v>
      </c>
    </row>
    <row r="318" spans="6:6" s="14" customFormat="1" ht="12" customHeight="1">
      <c r="F318" s="14" t="s">
        <v>957</v>
      </c>
    </row>
    <row r="319" spans="6:6" s="14" customFormat="1" ht="12" customHeight="1">
      <c r="F319" s="14" t="s">
        <v>958</v>
      </c>
    </row>
    <row r="320" spans="6:6" s="14" customFormat="1" ht="12" customHeight="1">
      <c r="F320" s="14" t="s">
        <v>959</v>
      </c>
    </row>
    <row r="321" spans="6:6" s="14" customFormat="1" ht="12" customHeight="1">
      <c r="F321" s="14" t="s">
        <v>976</v>
      </c>
    </row>
    <row r="322" spans="6:6" s="14" customFormat="1" ht="12" customHeight="1">
      <c r="F322" s="14" t="s">
        <v>977</v>
      </c>
    </row>
    <row r="323" spans="6:6" s="14" customFormat="1" ht="12" customHeight="1">
      <c r="F323" s="14" t="s">
        <v>978</v>
      </c>
    </row>
    <row r="324" spans="6:6" s="14" customFormat="1" ht="12" customHeight="1">
      <c r="F324" s="14" t="s">
        <v>1007</v>
      </c>
    </row>
    <row r="325" spans="6:6" s="14" customFormat="1" ht="12" customHeight="1">
      <c r="F325" s="14" t="s">
        <v>960</v>
      </c>
    </row>
    <row r="326" spans="6:6" s="14" customFormat="1" ht="12" customHeight="1">
      <c r="F326" s="14" t="s">
        <v>961</v>
      </c>
    </row>
    <row r="327" spans="6:6" s="14" customFormat="1" ht="12" customHeight="1">
      <c r="F327" s="14" t="s">
        <v>962</v>
      </c>
    </row>
    <row r="328" spans="6:6" s="14" customFormat="1" ht="12" customHeight="1">
      <c r="F328" s="14" t="s">
        <v>1026</v>
      </c>
    </row>
    <row r="329" spans="6:6" s="14" customFormat="1" ht="12" customHeight="1">
      <c r="F329" s="14" t="s">
        <v>963</v>
      </c>
    </row>
    <row r="330" spans="6:6" s="14" customFormat="1" ht="12" customHeight="1">
      <c r="F330" s="14" t="s">
        <v>964</v>
      </c>
    </row>
    <row r="331" spans="6:6" s="14" customFormat="1" ht="12" customHeight="1">
      <c r="F331" s="14" t="s">
        <v>965</v>
      </c>
    </row>
    <row r="332" spans="6:6" s="14" customFormat="1" ht="12" customHeight="1">
      <c r="F332" s="14" t="s">
        <v>1011</v>
      </c>
    </row>
    <row r="333" spans="6:6" s="14" customFormat="1" ht="12" customHeight="1">
      <c r="F333" s="14" t="s">
        <v>1012</v>
      </c>
    </row>
    <row r="334" spans="6:6" s="14" customFormat="1" ht="12" customHeight="1">
      <c r="F334" s="14" t="s">
        <v>1013</v>
      </c>
    </row>
    <row r="335" spans="6:6" s="14" customFormat="1" ht="12" customHeight="1">
      <c r="F335" s="14" t="s">
        <v>1030</v>
      </c>
    </row>
    <row r="336" spans="6:6" s="14" customFormat="1" ht="12" customHeight="1">
      <c r="F336" s="14" t="s">
        <v>1014</v>
      </c>
    </row>
    <row r="337" spans="6:6" s="14" customFormat="1" ht="12" customHeight="1">
      <c r="F337" s="14" t="s">
        <v>966</v>
      </c>
    </row>
    <row r="338" spans="6:6" s="14" customFormat="1" ht="12" customHeight="1">
      <c r="F338" s="14" t="s">
        <v>967</v>
      </c>
    </row>
    <row r="339" spans="6:6" s="14" customFormat="1" ht="12" customHeight="1">
      <c r="F339" s="14" t="s">
        <v>968</v>
      </c>
    </row>
    <row r="340" spans="6:6" s="14" customFormat="1" ht="12" customHeight="1">
      <c r="F340" s="14" t="s">
        <v>969</v>
      </c>
    </row>
    <row r="341" spans="6:6" s="14" customFormat="1" ht="12" customHeight="1">
      <c r="F341" s="14" t="s">
        <v>970</v>
      </c>
    </row>
    <row r="342" spans="6:6" s="14" customFormat="1" ht="12" customHeight="1">
      <c r="F342" s="14" t="s">
        <v>971</v>
      </c>
    </row>
    <row r="343" spans="6:6" s="14" customFormat="1" ht="12" customHeight="1">
      <c r="F343" s="14" t="s">
        <v>972</v>
      </c>
    </row>
    <row r="344" spans="6:6" s="14" customFormat="1" ht="12" customHeight="1">
      <c r="F344" s="14" t="s">
        <v>973</v>
      </c>
    </row>
    <row r="345" spans="6:6" s="14" customFormat="1" ht="12" customHeight="1">
      <c r="F345" s="14" t="s">
        <v>974</v>
      </c>
    </row>
    <row r="346" spans="6:6" s="14" customFormat="1" ht="12" customHeight="1">
      <c r="F346" s="14" t="s">
        <v>975</v>
      </c>
    </row>
    <row r="347" spans="6:6" s="14" customFormat="1" ht="12" customHeight="1">
      <c r="F347" s="14" t="s">
        <v>1015</v>
      </c>
    </row>
    <row r="348" spans="6:6" s="14" customFormat="1" ht="12" customHeight="1">
      <c r="F348" s="14" t="s">
        <v>1016</v>
      </c>
    </row>
    <row r="349" spans="6:6" s="14" customFormat="1" ht="12" customHeight="1">
      <c r="F349" s="14" t="s">
        <v>1017</v>
      </c>
    </row>
    <row r="350" spans="6:6" s="14" customFormat="1" ht="12" customHeight="1">
      <c r="F350" s="14" t="s">
        <v>1018</v>
      </c>
    </row>
    <row r="351" spans="6:6" s="14" customFormat="1" ht="12" customHeight="1">
      <c r="F351" s="14" t="s">
        <v>1019</v>
      </c>
    </row>
    <row r="352" spans="6:6" s="14" customFormat="1" ht="12" customHeight="1">
      <c r="F352" s="14" t="s">
        <v>1020</v>
      </c>
    </row>
    <row r="353" spans="2:6" ht="12" customHeight="1">
      <c r="B353" s="14"/>
      <c r="F353" s="14" t="s">
        <v>1021</v>
      </c>
    </row>
    <row r="354" spans="2:6" ht="12" customHeight="1">
      <c r="B354" s="14"/>
      <c r="F354" s="14" t="s">
        <v>1022</v>
      </c>
    </row>
    <row r="355" spans="2:6" ht="12" customHeight="1">
      <c r="B355" s="14"/>
      <c r="F355" s="14" t="s">
        <v>1023</v>
      </c>
    </row>
    <row r="356" spans="2:6" ht="12" customHeight="1">
      <c r="B356" s="14"/>
      <c r="F356" s="14" t="s">
        <v>1034</v>
      </c>
    </row>
    <row r="357" spans="2:6" ht="12" customHeight="1">
      <c r="B357" s="14"/>
      <c r="F357" s="14" t="s">
        <v>1035</v>
      </c>
    </row>
    <row r="358" spans="2:6" ht="12" customHeight="1">
      <c r="B358" s="14"/>
      <c r="F358" s="14" t="s">
        <v>1036</v>
      </c>
    </row>
    <row r="359" spans="2:6" ht="12" customHeight="1">
      <c r="B359" s="14"/>
      <c r="F359" s="14" t="s">
        <v>1037</v>
      </c>
    </row>
    <row r="360" spans="2:6" ht="12" customHeight="1">
      <c r="B360" s="14"/>
      <c r="F360" s="14" t="s">
        <v>1038</v>
      </c>
    </row>
    <row r="361" spans="2:6" ht="12" customHeight="1">
      <c r="B361" s="14"/>
      <c r="F361" s="14" t="s">
        <v>1064</v>
      </c>
    </row>
    <row r="362" spans="2:6" ht="12" customHeight="1">
      <c r="B362" s="14"/>
      <c r="F362" s="14" t="s">
        <v>1426</v>
      </c>
    </row>
    <row r="363" spans="2:6" ht="12" customHeight="1">
      <c r="B363" s="14"/>
      <c r="F363" s="14" t="s">
        <v>1427</v>
      </c>
    </row>
    <row r="364" spans="2:6" ht="12" customHeight="1">
      <c r="B364" s="14"/>
      <c r="F364" s="14" t="s">
        <v>1428</v>
      </c>
    </row>
    <row r="365" spans="2:6" ht="12" customHeight="1">
      <c r="B365" s="14"/>
      <c r="F365" s="14" t="s">
        <v>1431</v>
      </c>
    </row>
    <row r="366" spans="2:6" ht="12" customHeight="1">
      <c r="B366" s="14"/>
      <c r="F366" s="14" t="s">
        <v>55</v>
      </c>
    </row>
    <row r="367" spans="2:6" ht="12" customHeight="1">
      <c r="B367" s="14"/>
      <c r="F367" s="14" t="s">
        <v>56</v>
      </c>
    </row>
    <row r="368" spans="2:6" ht="12" customHeight="1">
      <c r="B368" s="14"/>
      <c r="F368" s="14" t="s">
        <v>57</v>
      </c>
    </row>
    <row r="369" s="14" customFormat="1" ht="12" customHeight="1"/>
    <row r="370" s="14" customFormat="1" ht="12" customHeight="1"/>
    <row r="371" s="14" customFormat="1" ht="12" customHeight="1"/>
    <row r="372" s="14" customFormat="1" ht="12" customHeight="1"/>
    <row r="373" s="14" customFormat="1" ht="12" customHeight="1"/>
    <row r="374" s="14" customFormat="1" ht="12" customHeight="1"/>
    <row r="375" s="14" customFormat="1" ht="12" customHeight="1"/>
    <row r="376" s="14" customFormat="1" ht="12" customHeight="1"/>
    <row r="377" s="14" customFormat="1" ht="12" customHeight="1"/>
    <row r="378" s="14" customFormat="1" ht="12" customHeight="1"/>
    <row r="379" s="14" customFormat="1" ht="12" customHeight="1"/>
    <row r="380" s="14" customFormat="1" ht="12" customHeight="1"/>
    <row r="381" s="14" customFormat="1" ht="12" customHeight="1"/>
    <row r="382" s="14" customFormat="1" ht="12" customHeight="1"/>
  </sheetData>
  <dataConsolidate/>
  <customSheetViews>
    <customSheetView guid="{A8F9189F-30EC-448E-8FA3-1F1B01D22A46}">
      <pane ySplit="1" topLeftCell="A28" activePane="bottomLeft" state="frozen"/>
      <selection pane="bottomLeft" activeCell="C35" sqref="C35"/>
      <pageMargins left="0.7" right="0.7" top="0.75" bottom="0.75" header="0.3" footer="0.3"/>
      <pageSetup paperSize="157" orientation="portrait" horizontalDpi="203" verticalDpi="203" r:id="rId1"/>
    </customSheetView>
  </customSheetViews>
  <pageMargins left="0.7" right="0.7" top="0.75" bottom="0.75" header="0.3" footer="0.3"/>
  <pageSetup paperSize="157" orientation="portrait" horizontalDpi="203" verticalDpi="203"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49"/>
  <sheetViews>
    <sheetView zoomScaleNormal="100" workbookViewId="0"/>
  </sheetViews>
  <sheetFormatPr defaultRowHeight="15"/>
  <cols>
    <col min="1" max="1" width="59.5703125" style="9" bestFit="1" customWidth="1"/>
    <col min="2" max="2" width="122.5703125" style="2" customWidth="1"/>
    <col min="3" max="3" width="20.85546875" style="1" customWidth="1"/>
    <col min="4" max="16384" width="9.140625" style="3"/>
  </cols>
  <sheetData>
    <row r="1" spans="1:4">
      <c r="A1" s="100"/>
      <c r="B1" s="12"/>
      <c r="C1" s="8"/>
    </row>
    <row r="2" spans="1:4">
      <c r="A2" s="8"/>
      <c r="B2" s="12"/>
      <c r="C2" s="8"/>
    </row>
    <row r="3" spans="1:4">
      <c r="A3" s="101"/>
      <c r="B3" s="12"/>
      <c r="C3" s="8"/>
    </row>
    <row r="4" spans="1:4">
      <c r="A4" s="101"/>
      <c r="B4" s="12"/>
      <c r="C4" s="8"/>
    </row>
    <row r="5" spans="1:4">
      <c r="A5" s="101"/>
      <c r="B5" s="12"/>
      <c r="C5" s="8"/>
    </row>
    <row r="6" spans="1:4">
      <c r="A6" s="8"/>
      <c r="B6" s="12"/>
      <c r="C6" s="8"/>
    </row>
    <row r="7" spans="1:4">
      <c r="A7" s="101"/>
      <c r="B7" s="12"/>
      <c r="C7" s="8"/>
    </row>
    <row r="8" spans="1:4">
      <c r="A8" s="101"/>
      <c r="B8" s="12"/>
      <c r="C8" s="8"/>
    </row>
    <row r="9" spans="1:4">
      <c r="B9" s="12"/>
      <c r="C9" s="8"/>
    </row>
    <row r="10" spans="1:4">
      <c r="B10" s="12"/>
      <c r="C10" s="8"/>
    </row>
    <row r="11" spans="1:4">
      <c r="B11" s="12"/>
      <c r="C11" s="8"/>
    </row>
    <row r="12" spans="1:4">
      <c r="B12" s="12"/>
      <c r="C12" s="8"/>
    </row>
    <row r="13" spans="1:4">
      <c r="B13" s="9"/>
      <c r="C13" s="8"/>
    </row>
    <row r="14" spans="1:4">
      <c r="B14" s="9"/>
      <c r="C14" s="8"/>
    </row>
    <row r="15" spans="1:4">
      <c r="B15" s="9"/>
      <c r="C15" s="8"/>
    </row>
    <row r="16" spans="1:4">
      <c r="B16" s="9"/>
      <c r="C16" s="8"/>
      <c r="D16" s="4"/>
    </row>
    <row r="17" spans="2:3">
      <c r="B17" s="9"/>
      <c r="C17" s="8"/>
    </row>
    <row r="18" spans="2:3">
      <c r="B18" s="9"/>
      <c r="C18" s="8"/>
    </row>
    <row r="19" spans="2:3">
      <c r="B19" s="9"/>
      <c r="C19" s="8"/>
    </row>
    <row r="20" spans="2:3">
      <c r="B20" s="9"/>
      <c r="C20" s="8"/>
    </row>
    <row r="21" spans="2:3">
      <c r="B21" s="9"/>
      <c r="C21" s="8"/>
    </row>
    <row r="22" spans="2:3">
      <c r="B22" s="9"/>
      <c r="C22" s="8"/>
    </row>
    <row r="23" spans="2:3">
      <c r="B23" s="9"/>
      <c r="C23" s="8"/>
    </row>
    <row r="24" spans="2:3">
      <c r="B24" s="9"/>
      <c r="C24" s="8"/>
    </row>
    <row r="25" spans="2:3">
      <c r="B25" s="9"/>
      <c r="C25" s="8"/>
    </row>
    <row r="48" spans="1:1">
      <c r="A48" s="3"/>
    </row>
    <row r="49" spans="1:1">
      <c r="A49" s="3"/>
    </row>
  </sheetData>
  <customSheetViews>
    <customSheetView guid="{A8F9189F-30EC-448E-8FA3-1F1B01D22A46}">
      <selection activeCell="C6" sqref="C6"/>
      <pageMargins left="0.7" right="0.7" top="0.75" bottom="0.75" header="0.3" footer="0.3"/>
      <pageSetup paperSize="157" orientation="portrait" horizontalDpi="203" verticalDpi="203" r:id="rId1"/>
    </customSheetView>
  </customSheetViews>
  <pageMargins left="0.7" right="0.7" top="0.75" bottom="0.75" header="0.3" footer="0.3"/>
  <pageSetup paperSize="157" orientation="portrait" horizontalDpi="203" verticalDpi="203" r:id="rId2"/>
  <drawing r:id="rId3"/>
  <legacyDrawing r:id="rId4"/>
  <controls>
    <mc:AlternateContent xmlns:mc="http://schemas.openxmlformats.org/markup-compatibility/2006">
      <mc:Choice Requires="x14">
        <control shapeId="7171" r:id="rId5" name="cmdDone">
          <controlPr defaultSize="0" autoLine="0" r:id="rId6">
            <anchor>
              <from>
                <xdr:col>1</xdr:col>
                <xdr:colOff>2743200</xdr:colOff>
                <xdr:row>0</xdr:row>
                <xdr:rowOff>76200</xdr:rowOff>
              </from>
              <to>
                <xdr:col>1</xdr:col>
                <xdr:colOff>3086100</xdr:colOff>
                <xdr:row>12</xdr:row>
                <xdr:rowOff>47625</xdr:rowOff>
              </to>
            </anchor>
          </controlPr>
        </control>
      </mc:Choice>
      <mc:Fallback>
        <control shapeId="7171" r:id="rId5" name="cmdDon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4"/>
  <sheetViews>
    <sheetView workbookViewId="0">
      <selection activeCell="H11" sqref="H11"/>
    </sheetView>
  </sheetViews>
  <sheetFormatPr defaultRowHeight="15"/>
  <cols>
    <col min="1" max="1" width="17.5703125" bestFit="1" customWidth="1"/>
    <col min="2" max="2" width="11.7109375" bestFit="1" customWidth="1"/>
    <col min="3" max="3" width="16.85546875" bestFit="1" customWidth="1"/>
    <col min="5" max="5" width="43.28515625" bestFit="1" customWidth="1"/>
    <col min="7" max="7" width="12.85546875" bestFit="1" customWidth="1"/>
    <col min="9" max="9" width="17.5703125" bestFit="1" customWidth="1"/>
    <col min="10" max="10" width="12.85546875" bestFit="1" customWidth="1"/>
  </cols>
  <sheetData>
    <row r="1" spans="1:7">
      <c r="F1" s="1" t="s">
        <v>24</v>
      </c>
      <c r="G1" s="5" t="s">
        <v>25</v>
      </c>
    </row>
    <row r="2" spans="1:7">
      <c r="F2" s="1" t="s">
        <v>26</v>
      </c>
      <c r="G2" s="1" t="s">
        <v>27</v>
      </c>
    </row>
    <row r="3" spans="1:7">
      <c r="F3" s="1" t="s">
        <v>28</v>
      </c>
      <c r="G3" s="6">
        <v>41299</v>
      </c>
    </row>
    <row r="5" spans="1:7">
      <c r="A5" s="7" t="s">
        <v>24</v>
      </c>
      <c r="B5" s="7" t="s">
        <v>29</v>
      </c>
      <c r="C5" s="7" t="s">
        <v>32</v>
      </c>
      <c r="D5" s="7" t="s">
        <v>30</v>
      </c>
      <c r="E5" s="7" t="s">
        <v>31</v>
      </c>
    </row>
    <row r="6" spans="1:7">
      <c r="A6" s="1"/>
      <c r="B6" s="1"/>
      <c r="C6" s="1"/>
      <c r="D6" s="1"/>
      <c r="E6" s="1"/>
    </row>
    <row r="7" spans="1:7">
      <c r="A7" s="1"/>
      <c r="B7" s="1"/>
      <c r="C7" s="1"/>
      <c r="D7" s="1"/>
      <c r="E7" s="1"/>
    </row>
    <row r="8" spans="1:7">
      <c r="A8" s="1"/>
      <c r="B8" s="1"/>
      <c r="C8" s="1"/>
      <c r="D8" s="1"/>
      <c r="E8" s="1"/>
    </row>
    <row r="9" spans="1:7">
      <c r="A9" s="1"/>
      <c r="B9" s="1"/>
      <c r="C9" s="1"/>
      <c r="D9" s="1"/>
      <c r="E9" s="1"/>
    </row>
    <row r="10" spans="1:7">
      <c r="A10" s="1"/>
      <c r="B10" s="1"/>
      <c r="C10" s="1"/>
      <c r="D10" s="1"/>
      <c r="E10" s="1"/>
    </row>
    <row r="11" spans="1:7">
      <c r="A11" s="1"/>
      <c r="B11" s="1"/>
      <c r="C11" s="1"/>
      <c r="D11" s="1"/>
      <c r="E11" s="1"/>
    </row>
    <row r="12" spans="1:7">
      <c r="A12" s="1"/>
      <c r="B12" s="1"/>
      <c r="C12" s="1"/>
      <c r="D12" s="1"/>
      <c r="E12" s="1"/>
    </row>
    <row r="13" spans="1:7">
      <c r="A13" s="1"/>
      <c r="B13" s="1"/>
      <c r="C13" s="1"/>
      <c r="D13" s="1"/>
      <c r="E13" s="1"/>
    </row>
    <row r="14" spans="1:7">
      <c r="A14" s="1"/>
      <c r="B14" s="1"/>
      <c r="C14" s="1"/>
      <c r="D14" s="1"/>
      <c r="E14" s="1"/>
    </row>
  </sheetData>
  <customSheetViews>
    <customSheetView guid="{A8F9189F-30EC-448E-8FA3-1F1B01D22A46}">
      <selection activeCell="J10" sqref="J10"/>
      <pageMargins left="0.7" right="0.7" top="0.75" bottom="0.75" header="0.3" footer="0.3"/>
      <pageSetup orientation="portrait" r:id="rId1"/>
    </customSheetView>
  </customSheetView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3"/>
  <sheetViews>
    <sheetView topLeftCell="C1" workbookViewId="0">
      <selection activeCell="F20" sqref="F20"/>
    </sheetView>
  </sheetViews>
  <sheetFormatPr defaultRowHeight="15"/>
  <cols>
    <col min="1" max="2" width="22.42578125" style="13" bestFit="1" customWidth="1"/>
    <col min="3" max="3" width="36.140625" style="13" bestFit="1" customWidth="1"/>
    <col min="4" max="4" width="22.42578125" style="13" bestFit="1" customWidth="1"/>
    <col min="5" max="5" width="18.28515625" style="13" bestFit="1" customWidth="1"/>
    <col min="6" max="6" width="26.140625" style="13" bestFit="1" customWidth="1"/>
    <col min="7" max="7" width="34" style="13" bestFit="1" customWidth="1"/>
    <col min="8" max="8" width="11.7109375" style="13" bestFit="1" customWidth="1"/>
    <col min="9" max="9" width="17.7109375" style="13" bestFit="1" customWidth="1"/>
    <col min="10" max="10" width="13.28515625" style="13" bestFit="1" customWidth="1"/>
    <col min="11" max="16384" width="9.140625" style="13"/>
  </cols>
  <sheetData>
    <row r="1" spans="1:10">
      <c r="A1" s="11" t="s">
        <v>65</v>
      </c>
      <c r="B1" s="11" t="s">
        <v>66</v>
      </c>
      <c r="C1" s="11" t="s">
        <v>67</v>
      </c>
      <c r="D1" s="11" t="s">
        <v>78</v>
      </c>
      <c r="E1" s="11" t="s">
        <v>80</v>
      </c>
      <c r="F1" s="11" t="s">
        <v>81</v>
      </c>
      <c r="G1" s="11" t="s">
        <v>82</v>
      </c>
      <c r="H1" s="11" t="s">
        <v>290</v>
      </c>
      <c r="I1" s="11" t="s">
        <v>470</v>
      </c>
      <c r="J1" s="11" t="s">
        <v>471</v>
      </c>
    </row>
    <row r="2" spans="1:10">
      <c r="A2" s="13" t="s">
        <v>68</v>
      </c>
      <c r="B2" s="13" t="s">
        <v>60</v>
      </c>
      <c r="C2" s="13" t="s">
        <v>62</v>
      </c>
      <c r="D2" s="13" t="s">
        <v>60</v>
      </c>
      <c r="E2" s="13" t="s">
        <v>79</v>
      </c>
      <c r="F2" s="13" t="s">
        <v>83</v>
      </c>
      <c r="G2" s="13" t="s">
        <v>83</v>
      </c>
      <c r="H2" s="13" t="s">
        <v>291</v>
      </c>
      <c r="I2" s="13" t="s">
        <v>462</v>
      </c>
      <c r="J2" s="13" t="s">
        <v>472</v>
      </c>
    </row>
    <row r="3" spans="1:10">
      <c r="A3" s="13" t="s">
        <v>69</v>
      </c>
      <c r="B3" s="13" t="s">
        <v>70</v>
      </c>
      <c r="C3" s="13" t="s">
        <v>71</v>
      </c>
      <c r="D3" s="13" t="s">
        <v>70</v>
      </c>
      <c r="E3" s="13" t="s">
        <v>89</v>
      </c>
      <c r="F3" s="13" t="s">
        <v>84</v>
      </c>
      <c r="G3" s="13" t="s">
        <v>84</v>
      </c>
      <c r="H3" s="13" t="s">
        <v>292</v>
      </c>
      <c r="I3" s="13" t="s">
        <v>440</v>
      </c>
      <c r="J3" s="13" t="s">
        <v>473</v>
      </c>
    </row>
    <row r="4" spans="1:10">
      <c r="A4" s="13" t="s">
        <v>72</v>
      </c>
      <c r="B4" s="13" t="s">
        <v>73</v>
      </c>
      <c r="C4" s="13" t="s">
        <v>73</v>
      </c>
      <c r="D4" s="13" t="s">
        <v>73</v>
      </c>
      <c r="F4" s="13" t="s">
        <v>90</v>
      </c>
      <c r="G4" s="13" t="s">
        <v>85</v>
      </c>
      <c r="I4" s="13" t="s">
        <v>474</v>
      </c>
      <c r="J4" s="13" t="s">
        <v>475</v>
      </c>
    </row>
    <row r="5" spans="1:10">
      <c r="A5" s="13" t="s">
        <v>74</v>
      </c>
      <c r="F5" s="13" t="s">
        <v>85</v>
      </c>
      <c r="G5" s="13" t="s">
        <v>86</v>
      </c>
    </row>
    <row r="6" spans="1:10">
      <c r="A6" s="13" t="s">
        <v>75</v>
      </c>
      <c r="F6" s="13" t="s">
        <v>86</v>
      </c>
      <c r="G6" s="13" t="s">
        <v>87</v>
      </c>
    </row>
    <row r="7" spans="1:10">
      <c r="A7" s="13" t="s">
        <v>61</v>
      </c>
      <c r="F7" s="13" t="s">
        <v>91</v>
      </c>
      <c r="G7" s="13" t="s">
        <v>88</v>
      </c>
    </row>
    <row r="8" spans="1:10">
      <c r="A8" s="13" t="s">
        <v>76</v>
      </c>
      <c r="F8" s="13" t="s">
        <v>92</v>
      </c>
    </row>
    <row r="9" spans="1:10">
      <c r="A9" s="13" t="s">
        <v>64</v>
      </c>
      <c r="F9" s="13" t="s">
        <v>87</v>
      </c>
    </row>
    <row r="10" spans="1:10">
      <c r="A10" s="13" t="s">
        <v>77</v>
      </c>
      <c r="F10" s="13" t="s">
        <v>93</v>
      </c>
    </row>
    <row r="11" spans="1:10">
      <c r="F11" s="13" t="s">
        <v>94</v>
      </c>
    </row>
    <row r="12" spans="1:10">
      <c r="F12" s="13" t="s">
        <v>95</v>
      </c>
    </row>
    <row r="13" spans="1:10">
      <c r="F13" s="13" t="s">
        <v>88</v>
      </c>
    </row>
  </sheetData>
  <customSheetViews>
    <customSheetView guid="{A8F9189F-30EC-448E-8FA3-1F1B01D22A46}" topLeftCell="C1">
      <selection activeCell="I3" sqref="I3"/>
      <pageMargins left="0.7" right="0.7" top="0.75" bottom="0.75" header="0.3" footer="0.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F25"/>
  <sheetViews>
    <sheetView topLeftCell="A10" workbookViewId="0">
      <selection activeCell="C30" sqref="C30"/>
    </sheetView>
  </sheetViews>
  <sheetFormatPr defaultRowHeight="15"/>
  <cols>
    <col min="1" max="1" width="30.140625" style="69" bestFit="1" customWidth="1"/>
    <col min="2" max="2" width="30.85546875" style="69" customWidth="1"/>
    <col min="3" max="3" width="28.5703125" style="69" customWidth="1"/>
    <col min="4" max="4" width="30.140625" style="69" bestFit="1" customWidth="1"/>
    <col min="5" max="5" width="9.140625" style="69"/>
    <col min="6" max="6" width="16.5703125" style="69" customWidth="1"/>
    <col min="7" max="16384" width="9.140625" style="69"/>
  </cols>
  <sheetData>
    <row r="2" spans="1:6">
      <c r="A2" s="32" t="s">
        <v>204</v>
      </c>
      <c r="B2" s="32" t="s">
        <v>308</v>
      </c>
      <c r="C2" s="75">
        <v>1</v>
      </c>
    </row>
    <row r="3" spans="1:6">
      <c r="A3" s="32" t="s">
        <v>205</v>
      </c>
      <c r="B3" s="32" t="s">
        <v>308</v>
      </c>
      <c r="C3" s="75">
        <v>1</v>
      </c>
      <c r="E3" s="69">
        <v>11</v>
      </c>
      <c r="F3" s="69" t="s">
        <v>473</v>
      </c>
    </row>
    <row r="4" spans="1:6">
      <c r="A4" s="32" t="s">
        <v>206</v>
      </c>
      <c r="B4" s="32" t="s">
        <v>308</v>
      </c>
      <c r="C4" s="75">
        <v>2</v>
      </c>
      <c r="E4" s="69">
        <v>12</v>
      </c>
      <c r="F4" s="69" t="s">
        <v>473</v>
      </c>
    </row>
    <row r="5" spans="1:6">
      <c r="A5" s="32" t="s">
        <v>207</v>
      </c>
      <c r="B5" s="32" t="s">
        <v>308</v>
      </c>
      <c r="C5" s="75">
        <v>3</v>
      </c>
      <c r="E5" s="69">
        <v>13</v>
      </c>
      <c r="F5" s="69" t="s">
        <v>473</v>
      </c>
    </row>
    <row r="6" spans="1:6">
      <c r="A6" s="32" t="s">
        <v>208</v>
      </c>
      <c r="B6" s="32" t="s">
        <v>308</v>
      </c>
      <c r="C6" s="75">
        <v>3</v>
      </c>
      <c r="E6" s="69">
        <v>14</v>
      </c>
      <c r="F6" s="69" t="s">
        <v>473</v>
      </c>
    </row>
    <row r="7" spans="1:6">
      <c r="A7" s="32" t="s">
        <v>209</v>
      </c>
      <c r="B7" s="76" t="s">
        <v>308</v>
      </c>
      <c r="C7" s="77"/>
      <c r="E7" s="69">
        <v>15</v>
      </c>
      <c r="F7" s="69" t="s">
        <v>472</v>
      </c>
    </row>
    <row r="8" spans="1:6">
      <c r="A8" s="78" t="s">
        <v>210</v>
      </c>
      <c r="B8" s="76" t="s">
        <v>308</v>
      </c>
      <c r="C8" s="77"/>
      <c r="E8" s="69">
        <v>16</v>
      </c>
      <c r="F8" s="69" t="s">
        <v>472</v>
      </c>
    </row>
    <row r="9" spans="1:6">
      <c r="A9" s="32" t="s">
        <v>211</v>
      </c>
      <c r="B9" s="32" t="s">
        <v>827</v>
      </c>
      <c r="C9" s="32"/>
      <c r="E9" s="69">
        <v>17</v>
      </c>
      <c r="F9" s="69" t="s">
        <v>472</v>
      </c>
    </row>
    <row r="10" spans="1:6">
      <c r="A10" s="32" t="s">
        <v>212</v>
      </c>
      <c r="B10" s="32" t="s">
        <v>827</v>
      </c>
      <c r="C10" s="32"/>
      <c r="E10" s="69">
        <v>18</v>
      </c>
      <c r="F10" s="69" t="s">
        <v>472</v>
      </c>
    </row>
    <row r="11" spans="1:6">
      <c r="A11" s="32" t="s">
        <v>213</v>
      </c>
      <c r="B11" s="32" t="s">
        <v>827</v>
      </c>
      <c r="C11" s="32"/>
    </row>
    <row r="12" spans="1:6">
      <c r="A12" s="32" t="s">
        <v>214</v>
      </c>
      <c r="B12" s="32" t="s">
        <v>308</v>
      </c>
      <c r="C12" s="75">
        <v>4</v>
      </c>
    </row>
    <row r="13" spans="1:6">
      <c r="A13" s="32" t="s">
        <v>215</v>
      </c>
      <c r="B13" s="76" t="s">
        <v>308</v>
      </c>
      <c r="C13" s="77">
        <v>5</v>
      </c>
    </row>
    <row r="14" spans="1:6">
      <c r="A14" s="57" t="s">
        <v>216</v>
      </c>
      <c r="B14" s="57"/>
      <c r="C14" s="57"/>
    </row>
    <row r="15" spans="1:6">
      <c r="A15" s="57" t="s">
        <v>217</v>
      </c>
      <c r="B15" s="57"/>
      <c r="C15" s="57"/>
    </row>
    <row r="16" spans="1:6">
      <c r="A16" s="32" t="s">
        <v>218</v>
      </c>
      <c r="B16" s="32" t="s">
        <v>308</v>
      </c>
      <c r="C16" s="75">
        <v>6</v>
      </c>
    </row>
    <row r="17" spans="1:4">
      <c r="A17" s="32" t="s">
        <v>219</v>
      </c>
      <c r="B17" s="76" t="s">
        <v>308</v>
      </c>
      <c r="C17" s="77">
        <v>7</v>
      </c>
      <c r="D17" s="69" t="s">
        <v>307</v>
      </c>
    </row>
    <row r="18" spans="1:4">
      <c r="A18" s="32" t="s">
        <v>220</v>
      </c>
      <c r="B18" s="32" t="s">
        <v>308</v>
      </c>
      <c r="C18" s="75">
        <v>8</v>
      </c>
    </row>
    <row r="19" spans="1:4">
      <c r="A19" s="32" t="s">
        <v>221</v>
      </c>
      <c r="B19" s="32" t="s">
        <v>308</v>
      </c>
      <c r="C19" s="75">
        <v>9</v>
      </c>
    </row>
    <row r="20" spans="1:4">
      <c r="A20" s="32" t="s">
        <v>825</v>
      </c>
      <c r="B20" s="32" t="s">
        <v>308</v>
      </c>
      <c r="C20" s="75">
        <v>15</v>
      </c>
    </row>
    <row r="21" spans="1:4">
      <c r="A21" s="32" t="s">
        <v>222</v>
      </c>
      <c r="B21" s="32"/>
      <c r="C21" s="32"/>
    </row>
    <row r="22" spans="1:4">
      <c r="A22" s="32" t="s">
        <v>350</v>
      </c>
      <c r="B22" s="76" t="s">
        <v>308</v>
      </c>
      <c r="C22" s="77">
        <v>11</v>
      </c>
    </row>
    <row r="23" spans="1:4">
      <c r="A23" s="32" t="s">
        <v>351</v>
      </c>
      <c r="B23" s="76" t="s">
        <v>308</v>
      </c>
      <c r="C23" s="77">
        <v>12</v>
      </c>
    </row>
    <row r="24" spans="1:4">
      <c r="A24" s="32" t="s">
        <v>352</v>
      </c>
      <c r="B24" s="76" t="s">
        <v>308</v>
      </c>
      <c r="C24" s="77">
        <v>13</v>
      </c>
    </row>
    <row r="25" spans="1:4">
      <c r="A25" s="32" t="s">
        <v>353</v>
      </c>
      <c r="B25" s="76" t="s">
        <v>308</v>
      </c>
      <c r="C25" s="77">
        <v>14</v>
      </c>
    </row>
  </sheetData>
  <protectedRanges>
    <protectedRange sqref="A5" name="Range1_1_1"/>
  </protectedRange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Master</vt:lpstr>
      <vt:lpstr>Application_Environment</vt:lpstr>
      <vt:lpstr>DataSheet</vt:lpstr>
      <vt:lpstr>Mapping</vt:lpstr>
      <vt:lpstr>TabData</vt:lpstr>
      <vt:lpstr>Version Control</vt:lpstr>
      <vt:lpstr>Sheet1</vt:lpstr>
      <vt:lpstr>Sheet2</vt:lpstr>
      <vt:lpstr>AdminProductType</vt:lpstr>
      <vt:lpstr>Another</vt:lpstr>
      <vt:lpstr>cASH</vt:lpstr>
      <vt:lpstr>CashPassport</vt:lpstr>
      <vt:lpstr>Currencies</vt:lpstr>
      <vt:lpstr>Passport</vt:lpstr>
      <vt:lpstr>PaymentCountries</vt:lpstr>
      <vt:lpstr>PaymentType</vt:lpstr>
      <vt:lpstr>Product</vt:lpstr>
    </vt:vector>
  </TitlesOfParts>
  <Company>Travelex</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Vikram Kapale</dc:creator>
  <cp:lastModifiedBy>Wadaskar, Harshit</cp:lastModifiedBy>
  <dcterms:created xsi:type="dcterms:W3CDTF">2013-01-22T09:38:43Z</dcterms:created>
  <dcterms:modified xsi:type="dcterms:W3CDTF">2015-12-17T14:25:09Z</dcterms:modified>
</cp:coreProperties>
</file>