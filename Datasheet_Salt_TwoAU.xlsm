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240" yWindow="1815" windowWidth="15120" windowHeight="6060" activeTab="3"/>
  </bookViews>
  <sheets>
    <sheet name="Master" sheetId="1" r:id="rId1"/>
    <sheet name="Application_Environment" sheetId="2" r:id="rId2"/>
    <sheet name="DataSheet" sheetId="3" r:id="rId3"/>
    <sheet name="Mapping" sheetId="4" r:id="rId4"/>
    <sheet name="TabData" sheetId="5" state="hidden" r:id="rId5"/>
    <sheet name="Version Control" sheetId="6" r:id="rId6"/>
    <sheet name="Sheet1" sheetId="7" r:id="rId7"/>
    <sheet name="Sheet2" sheetId="8" r:id="rId8"/>
  </sheets>
  <functionGroups builtInGroupCount="17"/>
  <externalReferences>
    <externalReference r:id="rId9"/>
  </externalReferences>
  <definedNames>
    <definedName name="_xlnm._FilterDatabase" localSheetId="2" hidden="1">DataSheet!$B$3:$D$3</definedName>
    <definedName name="_xlnm._FilterDatabase" localSheetId="0" hidden="1">Master!$A$1:$F$41</definedName>
    <definedName name="AdminProductType">Sheet1!$E$2:$E$3</definedName>
    <definedName name="Another">Sheet1!$C$2:$C$4</definedName>
    <definedName name="cASH">Sheet1!$F$2:$F$13</definedName>
    <definedName name="CashPassport">Sheet1!$G$2:$G$7</definedName>
    <definedName name="Currencies">Sheet1!$A$2:$A$10</definedName>
    <definedName name="FraudAction">[1]Sheet1!$H$2:$H$3</definedName>
    <definedName name="Passport">Sheet1!$D$2:$D$4</definedName>
    <definedName name="PaymentCountries">Sheet1!$I$2:$I$4</definedName>
    <definedName name="PaymentType">Sheet1!$J$2:$J$4</definedName>
    <definedName name="Product">Sheet1!$B$2:$B$4</definedName>
    <definedName name="Z_A8F9189F_30EC_448E_8FA3_1F1B01D22A46_.wvu.Cols" localSheetId="2" hidden="1">DataSheet!$CX:$CX</definedName>
    <definedName name="Z_A8F9189F_30EC_448E_8FA3_1F1B01D22A46_.wvu.FilterData" localSheetId="2" hidden="1">DataSheet!$D$3:$D$3</definedName>
    <definedName name="Z_A8F9189F_30EC_448E_8FA3_1F1B01D22A46_.wvu.FilterData" localSheetId="0" hidden="1">Master!$A$1:$F$41</definedName>
    <definedName name="Z_A8F9189F_30EC_448E_8FA3_1F1B01D22A46_.wvu.Rows" localSheetId="2" hidden="1">DataSheet!$30:$75</definedName>
  </definedNames>
  <calcPr calcId="145621"/>
  <customWorkbookViews>
    <customWorkbookView name="Sabale, Nilesh - Personal View" guid="{A8F9189F-30EC-448E-8FA3-1F1B01D22A46}" mergeInterval="0" personalView="1" maximized="1" windowWidth="1276" windowHeight="805" activeSheetId="5"/>
  </customWorkbookViews>
</workbook>
</file>

<file path=xl/calcChain.xml><?xml version="1.0" encoding="utf-8"?>
<calcChain xmlns="http://schemas.openxmlformats.org/spreadsheetml/2006/main">
  <c r="F37" i="3" l="1"/>
  <c r="G37" i="3"/>
  <c r="F129" i="3"/>
  <c r="G129" i="3"/>
  <c r="F125" i="3"/>
  <c r="G125" i="3"/>
  <c r="F39" i="3"/>
  <c r="G39" i="3"/>
  <c r="F122" i="3" l="1"/>
  <c r="G122" i="3"/>
  <c r="F109" i="3" l="1"/>
  <c r="G109" i="3"/>
  <c r="F121" i="3" l="1"/>
  <c r="G121" i="3"/>
  <c r="F120" i="3"/>
  <c r="G120" i="3"/>
  <c r="F106" i="3"/>
  <c r="G106" i="3"/>
  <c r="F105" i="3" l="1"/>
  <c r="G105" i="3"/>
  <c r="F102" i="3" l="1"/>
  <c r="G102" i="3"/>
  <c r="F96" i="3" l="1"/>
  <c r="G96" i="3"/>
  <c r="F95" i="3"/>
  <c r="G95" i="3"/>
  <c r="F48" i="3" l="1"/>
  <c r="G48" i="3"/>
  <c r="F118" i="3" l="1"/>
  <c r="G118" i="3"/>
  <c r="F117" i="3" l="1"/>
  <c r="G117" i="3"/>
  <c r="F116" i="3"/>
  <c r="G116" i="3"/>
  <c r="F115" i="3"/>
  <c r="G115" i="3"/>
  <c r="F53" i="3" l="1"/>
  <c r="G53" i="3"/>
  <c r="F52" i="3"/>
  <c r="G52" i="3"/>
  <c r="F51" i="3"/>
  <c r="G51" i="3"/>
  <c r="F50" i="3"/>
  <c r="G50" i="3"/>
  <c r="F38" i="3" l="1"/>
  <c r="G38" i="3"/>
  <c r="F44" i="3" l="1"/>
  <c r="G44" i="3"/>
  <c r="F43" i="3"/>
  <c r="G43" i="3"/>
  <c r="F42" i="3" l="1"/>
  <c r="G42" i="3"/>
  <c r="F41" i="3"/>
  <c r="G41" i="3"/>
  <c r="F130" i="3" l="1"/>
  <c r="G130" i="3"/>
  <c r="F150" i="3" l="1"/>
  <c r="G150" i="3"/>
  <c r="F148" i="3" l="1"/>
  <c r="G148" i="3"/>
  <c r="F147" i="3"/>
  <c r="G147" i="3"/>
  <c r="F146" i="3"/>
  <c r="G146" i="3"/>
  <c r="F145" i="3" l="1"/>
  <c r="G145" i="3"/>
  <c r="F144" i="3" l="1"/>
  <c r="G144" i="3"/>
  <c r="F143" i="3"/>
  <c r="G143" i="3"/>
  <c r="F142" i="3"/>
  <c r="G142" i="3"/>
  <c r="F141" i="3"/>
  <c r="G141" i="3"/>
  <c r="F140" i="3" l="1"/>
  <c r="G140" i="3"/>
  <c r="F139" i="3"/>
  <c r="G139" i="3"/>
  <c r="F138" i="3"/>
  <c r="G138" i="3"/>
  <c r="F133" i="3"/>
  <c r="G133" i="3"/>
  <c r="F136" i="3" l="1"/>
  <c r="G136" i="3"/>
  <c r="F135" i="3" l="1"/>
  <c r="G135" i="3"/>
  <c r="F134" i="3" l="1"/>
  <c r="G134" i="3"/>
  <c r="F63" i="3" l="1"/>
  <c r="G63" i="3"/>
  <c r="F14" i="3"/>
  <c r="G14" i="3"/>
  <c r="F111" i="3" l="1"/>
  <c r="G111" i="3"/>
  <c r="F126" i="3" l="1"/>
  <c r="G126" i="3"/>
  <c r="F28" i="3" l="1"/>
  <c r="G28" i="3"/>
  <c r="F132" i="3" l="1"/>
  <c r="G132" i="3"/>
  <c r="F124" i="3" l="1"/>
  <c r="G124" i="3"/>
  <c r="F25" i="3"/>
  <c r="G25" i="3"/>
  <c r="F112" i="3" l="1"/>
  <c r="G112" i="3"/>
  <c r="F110" i="3"/>
  <c r="G110" i="3"/>
  <c r="F98" i="3" l="1"/>
  <c r="G98" i="3"/>
  <c r="F36" i="3" l="1"/>
  <c r="G36" i="3"/>
  <c r="F35" i="3"/>
  <c r="G35" i="3"/>
  <c r="F34" i="3"/>
  <c r="G34" i="3"/>
  <c r="F33" i="3"/>
  <c r="G33" i="3"/>
  <c r="F32" i="3"/>
  <c r="G32" i="3"/>
  <c r="F114" i="3" l="1"/>
  <c r="G114" i="3"/>
  <c r="F66" i="3"/>
  <c r="G66" i="3"/>
  <c r="F113" i="3"/>
  <c r="G113" i="3"/>
  <c r="F65" i="3"/>
  <c r="G65" i="3"/>
  <c r="F119" i="3"/>
  <c r="G119" i="3"/>
  <c r="F108" i="3"/>
  <c r="G108" i="3"/>
  <c r="F64" i="3"/>
  <c r="G64" i="3"/>
  <c r="F123" i="3"/>
  <c r="G123" i="3"/>
  <c r="F107" i="3"/>
  <c r="G107" i="3"/>
  <c r="F26" i="3"/>
  <c r="G26" i="3"/>
  <c r="F24" i="3"/>
  <c r="G24" i="3"/>
  <c r="F23" i="3"/>
  <c r="G23" i="3"/>
  <c r="F22" i="3" l="1"/>
  <c r="G22" i="3"/>
  <c r="F21" i="3"/>
  <c r="G21" i="3"/>
  <c r="F20" i="3"/>
  <c r="G20" i="3"/>
  <c r="F19" i="3"/>
  <c r="G19" i="3"/>
  <c r="F18" i="3"/>
  <c r="G18" i="3"/>
  <c r="F17" i="3"/>
  <c r="G17" i="3"/>
  <c r="F16" i="3"/>
  <c r="G16" i="3"/>
  <c r="F15" i="3"/>
  <c r="G15" i="3"/>
  <c r="F13" i="3"/>
  <c r="G13" i="3"/>
</calcChain>
</file>

<file path=xl/comments1.xml><?xml version="1.0" encoding="utf-8"?>
<comments xmlns="http://schemas.openxmlformats.org/spreadsheetml/2006/main">
  <authors>
    <author>Kapale, Vikram</author>
  </authors>
  <commentList>
    <comment ref="IQ35" authorId="0">
      <text>
        <r>
          <rPr>
            <b/>
            <sz val="9"/>
            <color indexed="81"/>
            <rFont val="Tahoma"/>
            <family val="2"/>
          </rPr>
          <t>Kapale, Vikram:</t>
        </r>
        <r>
          <rPr>
            <sz val="9"/>
            <color indexed="81"/>
            <rFont val="Tahoma"/>
            <family val="2"/>
          </rPr>
          <t xml:space="preserve">
Should start with - (minus) Sign</t>
        </r>
      </text>
    </comment>
  </commentList>
</comments>
</file>

<file path=xl/sharedStrings.xml><?xml version="1.0" encoding="utf-8"?>
<sst xmlns="http://schemas.openxmlformats.org/spreadsheetml/2006/main" count="5331" uniqueCount="1495">
  <si>
    <t>Action</t>
  </si>
  <si>
    <t>Headers</t>
  </si>
  <si>
    <t>Headers Description</t>
  </si>
  <si>
    <t>FRAMEWORK</t>
  </si>
  <si>
    <t>INDEX</t>
  </si>
  <si>
    <t>STATUS</t>
  </si>
  <si>
    <t>TC_STATUS_MESSAGE</t>
  </si>
  <si>
    <t>SNAPSHOT_PATH</t>
  </si>
  <si>
    <t>RESULTS_PATH</t>
  </si>
  <si>
    <t>Test Case Name</t>
  </si>
  <si>
    <t>App_Env</t>
  </si>
  <si>
    <t>App_Name][App_Env][UserType</t>
  </si>
  <si>
    <t>App_Name</t>
  </si>
  <si>
    <t>UserType</t>
  </si>
  <si>
    <t>Sr. No</t>
  </si>
  <si>
    <t>TEST CASE NAME</t>
  </si>
  <si>
    <t>URL</t>
  </si>
  <si>
    <t>Timeout</t>
  </si>
  <si>
    <t>UserID</t>
  </si>
  <si>
    <t>Password</t>
  </si>
  <si>
    <t>Status</t>
  </si>
  <si>
    <t>AdditionalDetail</t>
  </si>
  <si>
    <t>Maker</t>
  </si>
  <si>
    <t>Not Active</t>
  </si>
  <si>
    <t>Datasheet Version</t>
  </si>
  <si>
    <t>1.0</t>
  </si>
  <si>
    <t>Created By</t>
  </si>
  <si>
    <t>Ninad Kambli</t>
  </si>
  <si>
    <t>Date</t>
  </si>
  <si>
    <t>Modified By</t>
  </si>
  <si>
    <t>Purpose</t>
  </si>
  <si>
    <t>Name of the sheet where modification is done</t>
  </si>
  <si>
    <t>Modification date</t>
  </si>
  <si>
    <t>BUSINESS_COMPONENT</t>
  </si>
  <si>
    <t>HEADERS_USED</t>
  </si>
  <si>
    <t>BUSINESS_COMPONENTS_USED</t>
  </si>
  <si>
    <t>TESTCASES</t>
  </si>
  <si>
    <t>Dependency</t>
  </si>
  <si>
    <t>TEST_CASE</t>
  </si>
  <si>
    <t>MAPPING_INDEX</t>
  </si>
  <si>
    <t>TEST_CASE][MAPPING_INDEX</t>
  </si>
  <si>
    <t>Copy_BCHeader_Values</t>
  </si>
  <si>
    <t>SOURCE_HEADERS</t>
  </si>
  <si>
    <t>TARGET_HEADERS</t>
  </si>
  <si>
    <t>SOURCE_HEADERS][TARGET_HEADERS</t>
  </si>
  <si>
    <t>Copy_TC_to_TC</t>
  </si>
  <si>
    <t>SourceTC</t>
  </si>
  <si>
    <t>SourceIndex</t>
  </si>
  <si>
    <t>SourceTCHeader</t>
  </si>
  <si>
    <t>TargetTCHeader</t>
  </si>
  <si>
    <t>SourceTC][SourceIndex][SourceTCHeader][TargetTCHeader</t>
  </si>
  <si>
    <t>TCNAME</t>
  </si>
  <si>
    <t>INDEX][TCNAME][STATUS][TC_STATUS_MESSAGE][SNAPSHOT_PATH][RESULTS_PATH</t>
  </si>
  <si>
    <t>Clear_Header_Values</t>
  </si>
  <si>
    <t>ClearHeaders</t>
  </si>
  <si>
    <t>Start_Time</t>
  </si>
  <si>
    <t>End_Time</t>
  </si>
  <si>
    <t>Total_Execution_Time</t>
  </si>
  <si>
    <t>SALT</t>
  </si>
  <si>
    <t>kapalev</t>
  </si>
  <si>
    <t>Cash Passport</t>
  </si>
  <si>
    <t>Indonesia, Rupiah</t>
  </si>
  <si>
    <t>Purchase Cash</t>
  </si>
  <si>
    <t>None</t>
  </si>
  <si>
    <t>New Zealand, Dollar</t>
  </si>
  <si>
    <t>Currencies</t>
  </si>
  <si>
    <t>Product</t>
  </si>
  <si>
    <t>AnotherCur</t>
  </si>
  <si>
    <t>Australia, Dollar</t>
  </si>
  <si>
    <t>Canada, Dollar</t>
  </si>
  <si>
    <t>Multi Currency Passport</t>
  </si>
  <si>
    <t>Purchase Multi-Currency Cash Passport</t>
  </si>
  <si>
    <t>Denmark, Krone</t>
  </si>
  <si>
    <t>Reload Cash Passport</t>
  </si>
  <si>
    <t>Euro</t>
  </si>
  <si>
    <t>Hong Kong, Dollar</t>
  </si>
  <si>
    <t>Japan, Yen</t>
  </si>
  <si>
    <t>United Kingdom, Pound</t>
  </si>
  <si>
    <t>Passport</t>
  </si>
  <si>
    <t>Cash</t>
  </si>
  <si>
    <t>AdminProductType</t>
  </si>
  <si>
    <t>AdminForeignCurrencyCash</t>
  </si>
  <si>
    <t>AdminForeignCurrencyCashPassport</t>
  </si>
  <si>
    <t>AUD</t>
  </si>
  <si>
    <t>CAD</t>
  </si>
  <si>
    <t>EUR</t>
  </si>
  <si>
    <t>GBP</t>
  </si>
  <si>
    <t>JPY</t>
  </si>
  <si>
    <t>USD</t>
  </si>
  <si>
    <t>CashPassport</t>
  </si>
  <si>
    <t>DKK</t>
  </si>
  <si>
    <t>HKD</t>
  </si>
  <si>
    <t>IDR</t>
  </si>
  <si>
    <t>MXN</t>
  </si>
  <si>
    <t>NZD</t>
  </si>
  <si>
    <t>SAR</t>
  </si>
  <si>
    <t>Admin</t>
  </si>
  <si>
    <t>Buy_Product</t>
  </si>
  <si>
    <t>LST_SALT_Home{Foreign_Currency}</t>
  </si>
  <si>
    <t>EDT_SALT_Home{Foreign_Amount}</t>
  </si>
  <si>
    <t>HandleSecurityAlert</t>
  </si>
  <si>
    <t>Actual_ForeignAmount</t>
  </si>
  <si>
    <t>Actual_LocalAmount</t>
  </si>
  <si>
    <t>LBL_SALT_Home{Foreign_CurrencyCode}</t>
  </si>
  <si>
    <t>Local_CurrencyCode</t>
  </si>
  <si>
    <t>EDT_SALT_Home{Local_Amount}</t>
  </si>
  <si>
    <r>
      <t>LST_SALT_Home</t>
    </r>
    <r>
      <rPr>
        <b/>
        <sz val="10"/>
        <color theme="1"/>
        <rFont val="Calibri"/>
        <family val="2"/>
        <scheme val="minor"/>
      </rPr>
      <t>{Foreign_Currency}</t>
    </r>
  </si>
  <si>
    <r>
      <t>EDT_SALT_Home</t>
    </r>
    <r>
      <rPr>
        <b/>
        <sz val="10"/>
        <color theme="1"/>
        <rFont val="Calibri"/>
        <family val="2"/>
        <scheme val="minor"/>
      </rPr>
      <t>{Foreign_Amount}</t>
    </r>
  </si>
  <si>
    <r>
      <t>LBL_SALT_Home</t>
    </r>
    <r>
      <rPr>
        <b/>
        <sz val="10"/>
        <color theme="1"/>
        <rFont val="Calibri"/>
        <family val="2"/>
        <scheme val="minor"/>
      </rPr>
      <t>{Foreign_CurrencyCode}</t>
    </r>
  </si>
  <si>
    <r>
      <t>EDT_SALT_Home</t>
    </r>
    <r>
      <rPr>
        <b/>
        <sz val="10"/>
        <color theme="1"/>
        <rFont val="Calibri"/>
        <family val="2"/>
        <scheme val="minor"/>
      </rPr>
      <t>{Local_Amount}</t>
    </r>
  </si>
  <si>
    <t>EnterFirstOrderDetail</t>
  </si>
  <si>
    <t>VerifyFirstOrder</t>
  </si>
  <si>
    <t>Add_ProductType</t>
  </si>
  <si>
    <t>Add_ForeignCurrency</t>
  </si>
  <si>
    <t>Add_ForeignAmount</t>
  </si>
  <si>
    <t>Add_Foreign_CurrencyCode</t>
  </si>
  <si>
    <t>Add_LocalAmount</t>
  </si>
  <si>
    <t>Add_Local_CurrencyCode</t>
  </si>
  <si>
    <t>Add_OrderType</t>
  </si>
  <si>
    <t>AddOrder</t>
  </si>
  <si>
    <t>EDT_SALT_ShippingOption{Location}</t>
  </si>
  <si>
    <t>Shipping_Type</t>
  </si>
  <si>
    <t>Availability_Message</t>
  </si>
  <si>
    <t>PricePromise_Message</t>
  </si>
  <si>
    <t>DeliveryDate</t>
  </si>
  <si>
    <t>Selected_DeliveryDate</t>
  </si>
  <si>
    <t>Selected_DeliveryCost</t>
  </si>
  <si>
    <t>Selected_FulfilmentOption</t>
  </si>
  <si>
    <t>LST_SALT_Pay{Title}</t>
  </si>
  <si>
    <t>EDT_SALT_Pay{FirstName}</t>
  </si>
  <si>
    <t>EDT_SALT_Pay{MiddleName}</t>
  </si>
  <si>
    <t>EDT_SALT_Pay{LastName}</t>
  </si>
  <si>
    <t>LST_SALT_Pay{DOB_MM}</t>
  </si>
  <si>
    <t>LST_SALT_Pay{DOB_DD}</t>
  </si>
  <si>
    <t>LST_SALT_Pay{DOB_YYYY}</t>
  </si>
  <si>
    <t>EDT_SALT_Pay{Mother_MaidenName}</t>
  </si>
  <si>
    <t>LST_SALT_Pay{ID_Type}</t>
  </si>
  <si>
    <t>LST_SALT_Pay{CountryOfIssue}</t>
  </si>
  <si>
    <t>LST_SALT_Pay{StateOfIssue}</t>
  </si>
  <si>
    <t>EDT_SALT_Pay{ID_Number}</t>
  </si>
  <si>
    <t>LST_SALT_Pay{IDExpiry_MM}</t>
  </si>
  <si>
    <t>LST_SALT_Pay{IDExpiry_DD}</t>
  </si>
  <si>
    <t>LST_SALT_Pay{IDExpiry_YYYY}</t>
  </si>
  <si>
    <t>EDT_SALT_Pay{Cell_Phone}</t>
  </si>
  <si>
    <t>EDT_SALT_Pay{Home_Phone}</t>
  </si>
  <si>
    <t>EDT_SALT_Pay{Email_Address}</t>
  </si>
  <si>
    <t>EDT_SALT_Pay{Confirm_EmailAddress}</t>
  </si>
  <si>
    <t>EDT_SALT_Pay{Street_Address}</t>
  </si>
  <si>
    <t>EDT_SALT_Pay{Apartment_Number}</t>
  </si>
  <si>
    <t>EDT_SALT_Pay{City}</t>
  </si>
  <si>
    <t>EDT_SALT_Pay{Zip}</t>
  </si>
  <si>
    <t>LST_SALT_Pay{Card_Type}</t>
  </si>
  <si>
    <t>EDT_SALT_Pay{Card_Number}</t>
  </si>
  <si>
    <t>EDT_SALT_Pay{Card_FirstName}</t>
  </si>
  <si>
    <t>EDT_SALT_Pay{Card_LastName}</t>
  </si>
  <si>
    <t>EDT_SALT_Pay{Security_Code}</t>
  </si>
  <si>
    <t>CHK_SALT_Pay{Special_Offers}</t>
  </si>
  <si>
    <t>CHK_SALT_Pay{TermsAndConditions}</t>
  </si>
  <si>
    <t>Confirmation</t>
  </si>
  <si>
    <t>NOD_SALT_Confirmation{Order_Number}</t>
  </si>
  <si>
    <t>Residential_State</t>
  </si>
  <si>
    <r>
      <t>EDT_SALT_ShippingOption</t>
    </r>
    <r>
      <rPr>
        <b/>
        <sz val="10"/>
        <color theme="1"/>
        <rFont val="Calibri"/>
        <family val="2"/>
        <scheme val="minor"/>
      </rPr>
      <t>{Location}</t>
    </r>
  </si>
  <si>
    <r>
      <t>LST_SALT_Pay</t>
    </r>
    <r>
      <rPr>
        <b/>
        <sz val="10"/>
        <color theme="1"/>
        <rFont val="Calibri"/>
        <family val="2"/>
        <scheme val="minor"/>
      </rPr>
      <t>{Title}</t>
    </r>
  </si>
  <si>
    <r>
      <t>EDT_SALT_Pay</t>
    </r>
    <r>
      <rPr>
        <b/>
        <sz val="10"/>
        <color theme="1"/>
        <rFont val="Calibri"/>
        <family val="2"/>
        <scheme val="minor"/>
      </rPr>
      <t>{FirstName}</t>
    </r>
  </si>
  <si>
    <r>
      <t>EDT_SALT_Pay</t>
    </r>
    <r>
      <rPr>
        <b/>
        <sz val="10"/>
        <color theme="1"/>
        <rFont val="Calibri"/>
        <family val="2"/>
        <scheme val="minor"/>
      </rPr>
      <t>{MiddleName}</t>
    </r>
  </si>
  <si>
    <r>
      <t>EDT_SALT_Pay</t>
    </r>
    <r>
      <rPr>
        <b/>
        <sz val="10"/>
        <color theme="1"/>
        <rFont val="Calibri"/>
        <family val="2"/>
        <scheme val="minor"/>
      </rPr>
      <t>{LastName}</t>
    </r>
  </si>
  <si>
    <r>
      <t>LST_SALT_Pay</t>
    </r>
    <r>
      <rPr>
        <b/>
        <sz val="10"/>
        <color theme="1"/>
        <rFont val="Calibri"/>
        <family val="2"/>
        <scheme val="minor"/>
      </rPr>
      <t>{DOB_MM}</t>
    </r>
  </si>
  <si>
    <r>
      <t>LST_SALT_Pay</t>
    </r>
    <r>
      <rPr>
        <b/>
        <sz val="10"/>
        <color theme="1"/>
        <rFont val="Calibri"/>
        <family val="2"/>
        <scheme val="minor"/>
      </rPr>
      <t>{DOB_DD}</t>
    </r>
  </si>
  <si>
    <r>
      <t>LST_SALT_Pay</t>
    </r>
    <r>
      <rPr>
        <b/>
        <sz val="10"/>
        <color theme="1"/>
        <rFont val="Calibri"/>
        <family val="2"/>
        <scheme val="minor"/>
      </rPr>
      <t>{DOB_YYYY}</t>
    </r>
  </si>
  <si>
    <r>
      <t>EDT_SALT_Pay</t>
    </r>
    <r>
      <rPr>
        <b/>
        <sz val="10"/>
        <color theme="1"/>
        <rFont val="Calibri"/>
        <family val="2"/>
        <scheme val="minor"/>
      </rPr>
      <t>{Mother_MaidenName}</t>
    </r>
  </si>
  <si>
    <r>
      <t>LST_SALT_Pay</t>
    </r>
    <r>
      <rPr>
        <b/>
        <sz val="10"/>
        <color theme="1"/>
        <rFont val="Calibri"/>
        <family val="2"/>
        <scheme val="minor"/>
      </rPr>
      <t>{ID_Type}</t>
    </r>
  </si>
  <si>
    <r>
      <t>LST_SALT_Pay</t>
    </r>
    <r>
      <rPr>
        <b/>
        <sz val="10"/>
        <color theme="1"/>
        <rFont val="Calibri"/>
        <family val="2"/>
        <scheme val="minor"/>
      </rPr>
      <t>{CountryOfIssue}</t>
    </r>
  </si>
  <si>
    <r>
      <t>LST_SALT_Pay</t>
    </r>
    <r>
      <rPr>
        <b/>
        <sz val="10"/>
        <color theme="1"/>
        <rFont val="Calibri"/>
        <family val="2"/>
        <scheme val="minor"/>
      </rPr>
      <t>{StateOfIssue}</t>
    </r>
  </si>
  <si>
    <r>
      <t>EDT_SALT_Pay</t>
    </r>
    <r>
      <rPr>
        <b/>
        <sz val="10"/>
        <color theme="1"/>
        <rFont val="Calibri"/>
        <family val="2"/>
        <scheme val="minor"/>
      </rPr>
      <t>{ID_Number}</t>
    </r>
  </si>
  <si>
    <r>
      <t>LST_SALT_Pay</t>
    </r>
    <r>
      <rPr>
        <b/>
        <sz val="10"/>
        <color theme="1"/>
        <rFont val="Calibri"/>
        <family val="2"/>
        <scheme val="minor"/>
      </rPr>
      <t>{IDExpiry_MM}</t>
    </r>
  </si>
  <si>
    <r>
      <t>LST_SALT_Pay</t>
    </r>
    <r>
      <rPr>
        <b/>
        <sz val="10"/>
        <color theme="1"/>
        <rFont val="Calibri"/>
        <family val="2"/>
        <scheme val="minor"/>
      </rPr>
      <t>{IDExpiry_DD}</t>
    </r>
  </si>
  <si>
    <r>
      <t>LST_SALT_Pay</t>
    </r>
    <r>
      <rPr>
        <b/>
        <sz val="10"/>
        <color theme="1"/>
        <rFont val="Calibri"/>
        <family val="2"/>
        <scheme val="minor"/>
      </rPr>
      <t>{IDExpiry_YYYY}</t>
    </r>
  </si>
  <si>
    <r>
      <t>EDT_SALT_Pay</t>
    </r>
    <r>
      <rPr>
        <b/>
        <sz val="10"/>
        <color theme="1"/>
        <rFont val="Calibri"/>
        <family val="2"/>
        <scheme val="minor"/>
      </rPr>
      <t>{Cell_Phone}</t>
    </r>
  </si>
  <si>
    <r>
      <t>EDT_SALT_Pay</t>
    </r>
    <r>
      <rPr>
        <b/>
        <sz val="10"/>
        <color theme="1"/>
        <rFont val="Calibri"/>
        <family val="2"/>
        <scheme val="minor"/>
      </rPr>
      <t>{Home_Phone}</t>
    </r>
  </si>
  <si>
    <r>
      <t>EDT_SALT_Pay</t>
    </r>
    <r>
      <rPr>
        <b/>
        <sz val="10"/>
        <color theme="1"/>
        <rFont val="Calibri"/>
        <family val="2"/>
        <scheme val="minor"/>
      </rPr>
      <t>{Email_Address}</t>
    </r>
  </si>
  <si>
    <r>
      <t>EDT_SALT_Pay</t>
    </r>
    <r>
      <rPr>
        <b/>
        <sz val="10"/>
        <color theme="1"/>
        <rFont val="Calibri"/>
        <family val="2"/>
        <scheme val="minor"/>
      </rPr>
      <t>{Confirm_EmailAddress}</t>
    </r>
  </si>
  <si>
    <r>
      <t>EDT_SALT_Pay</t>
    </r>
    <r>
      <rPr>
        <b/>
        <sz val="10"/>
        <color theme="1"/>
        <rFont val="Calibri"/>
        <family val="2"/>
        <scheme val="minor"/>
      </rPr>
      <t>{Street_Address}</t>
    </r>
  </si>
  <si>
    <r>
      <t>EDT_SALT_Pay</t>
    </r>
    <r>
      <rPr>
        <b/>
        <sz val="10"/>
        <color theme="1"/>
        <rFont val="Calibri"/>
        <family val="2"/>
        <scheme val="minor"/>
      </rPr>
      <t>{Apartment_Number}</t>
    </r>
  </si>
  <si>
    <r>
      <t>EDT_SALT_Pay</t>
    </r>
    <r>
      <rPr>
        <b/>
        <sz val="10"/>
        <color theme="1"/>
        <rFont val="Calibri"/>
        <family val="2"/>
        <scheme val="minor"/>
      </rPr>
      <t>{City}</t>
    </r>
  </si>
  <si>
    <r>
      <t>EDT_SALT_Pay</t>
    </r>
    <r>
      <rPr>
        <b/>
        <sz val="10"/>
        <color theme="1"/>
        <rFont val="Calibri"/>
        <family val="2"/>
        <scheme val="minor"/>
      </rPr>
      <t>{Zip}</t>
    </r>
  </si>
  <si>
    <r>
      <t>LST_SALT_Pay</t>
    </r>
    <r>
      <rPr>
        <b/>
        <sz val="10"/>
        <color theme="1"/>
        <rFont val="Calibri"/>
        <family val="2"/>
        <scheme val="minor"/>
      </rPr>
      <t>{Card_Type}</t>
    </r>
  </si>
  <si>
    <r>
      <t>EDT_SALT_Pay</t>
    </r>
    <r>
      <rPr>
        <b/>
        <sz val="10"/>
        <color theme="1"/>
        <rFont val="Calibri"/>
        <family val="2"/>
        <scheme val="minor"/>
      </rPr>
      <t>{Card_Number}</t>
    </r>
  </si>
  <si>
    <r>
      <t>EDT_SALT_Pay</t>
    </r>
    <r>
      <rPr>
        <b/>
        <sz val="10"/>
        <color theme="1"/>
        <rFont val="Calibri"/>
        <family val="2"/>
        <scheme val="minor"/>
      </rPr>
      <t>{Card_FirstName}</t>
    </r>
  </si>
  <si>
    <r>
      <t>EDT_SALT_Pay</t>
    </r>
    <r>
      <rPr>
        <b/>
        <sz val="10"/>
        <color theme="1"/>
        <rFont val="Calibri"/>
        <family val="2"/>
        <scheme val="minor"/>
      </rPr>
      <t>{Card_LastName}</t>
    </r>
  </si>
  <si>
    <r>
      <t>EDT_SALT_Pay</t>
    </r>
    <r>
      <rPr>
        <b/>
        <sz val="10"/>
        <color theme="1"/>
        <rFont val="Calibri"/>
        <family val="2"/>
        <scheme val="minor"/>
      </rPr>
      <t>{Security_Code}</t>
    </r>
  </si>
  <si>
    <r>
      <t>CHK_SALT_Pay</t>
    </r>
    <r>
      <rPr>
        <b/>
        <sz val="10"/>
        <color theme="1"/>
        <rFont val="Calibri"/>
        <family val="2"/>
        <scheme val="minor"/>
      </rPr>
      <t>{Special_Offers}</t>
    </r>
  </si>
  <si>
    <r>
      <t>CHK_SALT_Pay</t>
    </r>
    <r>
      <rPr>
        <b/>
        <sz val="10"/>
        <color theme="1"/>
        <rFont val="Calibri"/>
        <family val="2"/>
        <scheme val="minor"/>
      </rPr>
      <t>{TermsAndConditions}</t>
    </r>
  </si>
  <si>
    <r>
      <t>NOD_SALT_Confirmation</t>
    </r>
    <r>
      <rPr>
        <b/>
        <sz val="10"/>
        <color theme="1"/>
        <rFont val="Calibri"/>
        <family val="2"/>
        <scheme val="minor"/>
      </rPr>
      <t>{Order_Number}</t>
    </r>
  </si>
  <si>
    <t>EDT_SALT_CreateOrder{Primary_CardNumber}</t>
  </si>
  <si>
    <r>
      <t>EDT_SALT_CreateOrder</t>
    </r>
    <r>
      <rPr>
        <b/>
        <sz val="10"/>
        <color theme="1"/>
        <rFont val="Calibri"/>
        <family val="2"/>
        <scheme val="minor"/>
      </rPr>
      <t>{Primary_CardNumber}</t>
    </r>
  </si>
  <si>
    <t>4111111111111111</t>
  </si>
  <si>
    <t>OrderTotal</t>
  </si>
  <si>
    <t>ProductType</t>
  </si>
  <si>
    <t>ForeignAmount</t>
  </si>
  <si>
    <t>OrderNumber</t>
  </si>
  <si>
    <t>StoreName</t>
  </si>
  <si>
    <t>SelectStore</t>
  </si>
  <si>
    <t>PackOrder</t>
  </si>
  <si>
    <t>PrimaryCardNumber</t>
  </si>
  <si>
    <t>Pre-Req</t>
  </si>
  <si>
    <t>FraudOrdersInReview</t>
  </si>
  <si>
    <t>AdminFraudReviewSettle</t>
  </si>
  <si>
    <t>AdminFraudReviewReject</t>
  </si>
  <si>
    <t>CheckRefundDashBoard</t>
  </si>
  <si>
    <t>RefundCancellation</t>
  </si>
  <si>
    <t>CheckVaultDashBoardView</t>
  </si>
  <si>
    <t>CheckVaultDashBoardOrdersToPack</t>
  </si>
  <si>
    <t>CheckOrdersToPack</t>
  </si>
  <si>
    <t>CheckOrdersToPickUp</t>
  </si>
  <si>
    <t>CheckOrdersToUnpack</t>
  </si>
  <si>
    <t>StorePackCashOrder</t>
  </si>
  <si>
    <t>StorePackCashPassportOrder</t>
  </si>
  <si>
    <t>StoreDayEndOrdersPackedInSafe</t>
  </si>
  <si>
    <t>StoreDayEndOrdersCompleted</t>
  </si>
  <si>
    <t>PickUpCashOrder</t>
  </si>
  <si>
    <t>PickUpCashPassportOrder</t>
  </si>
  <si>
    <t>CancelledPendingUnpackingstore</t>
  </si>
  <si>
    <t>CancelledPendingPackingstore</t>
  </si>
  <si>
    <t>CancelledPendingScheduled</t>
  </si>
  <si>
    <t>IE</t>
  </si>
  <si>
    <t>RefundDashboardCancellation</t>
  </si>
  <si>
    <t>VaultDashBoardView</t>
  </si>
  <si>
    <t>VaultDashBoardOrdersToPack</t>
  </si>
  <si>
    <t>Currency_Amount</t>
  </si>
  <si>
    <t>Currency][Amount</t>
  </si>
  <si>
    <t>Add_Another_Currency</t>
  </si>
  <si>
    <t>Product_Name][("LST_SALT_FullSite{ProductType_CurrentOrderPage}")][("LST_SALT_FullSite{Currency_CurrentOrderPage}")][("EDT_SALT_FullSite{ForeignAmount_CurrentOrderPage}")</t>
  </si>
  <si>
    <t>Receive_Order</t>
  </si>
  <si>
    <t>EDT_SALT_FullSite{Receive_Your_Order_CreateOrderPage}</t>
  </si>
  <si>
    <t>Shipping_opt</t>
  </si>
  <si>
    <t>Select_Date</t>
  </si>
  <si>
    <t>Currency_Add_Next</t>
  </si>
  <si>
    <t>StorePickUp</t>
  </si>
  <si>
    <t>Cash_CashPassport][LST_SALT_FullSite{ProductType_CurrentOrderPage}][LST_SALT_FullSite{Currency_CurrentOrderPage}][EDT_SALT_FullSite{ForeignAmount_CurrentOrderPage}</t>
  </si>
  <si>
    <t>Home_Delivery</t>
  </si>
  <si>
    <t>GetCurrencySellSpotRate</t>
  </si>
  <si>
    <t>Admin Product Type][Admin Foreign Currency][CurrencyRate</t>
  </si>
  <si>
    <t>SaltAdminLogoutAndClose</t>
  </si>
  <si>
    <t>SiteContect_value</t>
  </si>
  <si>
    <t>Section Name][Field Name</t>
  </si>
  <si>
    <t>Select_Country</t>
  </si>
  <si>
    <t>LST_SALT_Admin{Country}</t>
  </si>
  <si>
    <t>Purchase_Cash</t>
  </si>
  <si>
    <t>Sort_Currencies_Admin</t>
  </si>
  <si>
    <t>Purchase_CashPassport</t>
  </si>
  <si>
    <t>Sort_Cur_CashPassport</t>
  </si>
  <si>
    <t>Salt_URL_launch</t>
  </si>
  <si>
    <t>CheckFraudOrderInReview</t>
  </si>
  <si>
    <t>GetOrderStatus</t>
  </si>
  <si>
    <t>FraudReviewAcceptReject</t>
  </si>
  <si>
    <t>OrderNumber][Action</t>
  </si>
  <si>
    <t>GetOrderPaymentType</t>
  </si>
  <si>
    <t>FraudReview</t>
  </si>
  <si>
    <t>Action][OrderNumber</t>
  </si>
  <si>
    <t>RefundDashBoard</t>
  </si>
  <si>
    <t>DayEndOrdersPackedInSafe</t>
  </si>
  <si>
    <t>DayEndOrdersCompleted</t>
  </si>
  <si>
    <t>PickUpOrder</t>
  </si>
  <si>
    <t>OrdersToUnPack</t>
  </si>
  <si>
    <t>CancelPendingPackingStoreAndHome</t>
  </si>
  <si>
    <t>OrdersToPack</t>
  </si>
  <si>
    <t>MakeOrderCancelledPendingRefund</t>
  </si>
  <si>
    <t>OrderNumber][PrimaryCardNumber][TrackingID</t>
  </si>
  <si>
    <t>PackOrderStatusCheck</t>
  </si>
  <si>
    <t>OrdersToPickUp</t>
  </si>
  <si>
    <t>CountryLoadBeforeExecution</t>
  </si>
  <si>
    <t>Currency</t>
  </si>
  <si>
    <t>Amount</t>
  </si>
  <si>
    <t>Product_Name</t>
  </si>
  <si>
    <t>("LST_SALT_FullSite{ProductType_CurrentOrderPage}")</t>
  </si>
  <si>
    <t>("LST_SALT_FullSite{Currency_CurrentOrderPage}")</t>
  </si>
  <si>
    <t>("EDT_SALT_FullSite{ForeignAmount_CurrentOrderPage}")</t>
  </si>
  <si>
    <t>Cash_CashPassport</t>
  </si>
  <si>
    <t>LST_SALT_FullSite{ProductType_CurrentOrderPage}</t>
  </si>
  <si>
    <t>LST_SALT_FullSite{Currency_CurrentOrderPage}</t>
  </si>
  <si>
    <t>EDT_SALT_FullSite{ForeignAmount_CurrentOrderPage}</t>
  </si>
  <si>
    <t>Admin Product Type</t>
  </si>
  <si>
    <t>Admin Foreign Currency</t>
  </si>
  <si>
    <t>CurrencyRate</t>
  </si>
  <si>
    <t>Section Name</t>
  </si>
  <si>
    <t>Field Name</t>
  </si>
  <si>
    <t>CustomerName</t>
  </si>
  <si>
    <t>PickupDate</t>
  </si>
  <si>
    <t>CashPassportPAN</t>
  </si>
  <si>
    <t>ProductTotal</t>
  </si>
  <si>
    <t>PANs</t>
  </si>
  <si>
    <t>TrackingID</t>
  </si>
  <si>
    <t>FraudAction</t>
  </si>
  <si>
    <t>Settle</t>
  </si>
  <si>
    <t>Reject</t>
  </si>
  <si>
    <r>
      <t>("LST_SALT_FullSite</t>
    </r>
    <r>
      <rPr>
        <b/>
        <sz val="10"/>
        <color theme="1"/>
        <rFont val="Calibri"/>
        <family val="2"/>
        <scheme val="minor"/>
      </rPr>
      <t>{ProductType_CurrentOrderPage}")</t>
    </r>
  </si>
  <si>
    <r>
      <t>("LST_SALT_FullSite</t>
    </r>
    <r>
      <rPr>
        <b/>
        <sz val="10"/>
        <color theme="1"/>
        <rFont val="Calibri"/>
        <family val="2"/>
        <scheme val="minor"/>
      </rPr>
      <t>{Currency_CurrentOrderPage}")</t>
    </r>
  </si>
  <si>
    <r>
      <t>("EDT_SALT_FullSite</t>
    </r>
    <r>
      <rPr>
        <b/>
        <sz val="10"/>
        <color theme="1"/>
        <rFont val="Calibri"/>
        <family val="2"/>
        <scheme val="minor"/>
      </rPr>
      <t>{ForeignAmount_CurrentOrderPage}")</t>
    </r>
  </si>
  <si>
    <r>
      <t>EDT_SALT_FullSite</t>
    </r>
    <r>
      <rPr>
        <b/>
        <sz val="10"/>
        <color theme="1"/>
        <rFont val="Calibri"/>
        <family val="2"/>
        <scheme val="minor"/>
      </rPr>
      <t>{Receive_Your_Order_CreateOrderPage}</t>
    </r>
  </si>
  <si>
    <r>
      <t>LST_SALT_FullSite</t>
    </r>
    <r>
      <rPr>
        <b/>
        <sz val="10"/>
        <color theme="1"/>
        <rFont val="Calibri"/>
        <family val="2"/>
        <scheme val="minor"/>
      </rPr>
      <t>{ProductType_CurrentOrderPage}</t>
    </r>
  </si>
  <si>
    <r>
      <t>LST_SALT_FullSite</t>
    </r>
    <r>
      <rPr>
        <b/>
        <sz val="10"/>
        <color theme="1"/>
        <rFont val="Calibri"/>
        <family val="2"/>
        <scheme val="minor"/>
      </rPr>
      <t>{Currency_CurrentOrderPage}</t>
    </r>
  </si>
  <si>
    <r>
      <t>EDT_SALT_FullSite</t>
    </r>
    <r>
      <rPr>
        <b/>
        <sz val="10"/>
        <color theme="1"/>
        <rFont val="Calibri"/>
        <family val="2"/>
        <scheme val="minor"/>
      </rPr>
      <t>{ForeignAmount_CurrentOrderPage}</t>
    </r>
  </si>
  <si>
    <r>
      <t>LST_SALT_Admin</t>
    </r>
    <r>
      <rPr>
        <b/>
        <sz val="10"/>
        <color theme="1"/>
        <rFont val="Calibri"/>
        <family val="2"/>
        <scheme val="minor"/>
      </rPr>
      <t>{Country}</t>
    </r>
  </si>
  <si>
    <t>SecondaryCardNumber</t>
  </si>
  <si>
    <t>OrderNumber][PrimaryCardNumber][SecondaryCardNumber][StoreName</t>
  </si>
  <si>
    <t>AdminCancelPendingUnpckingStore</t>
  </si>
  <si>
    <t>Salt_Login</t>
  </si>
  <si>
    <t>Salt_Logout</t>
  </si>
  <si>
    <t>CallCenter_SubmitNewOrder</t>
  </si>
  <si>
    <t>ChangeOrderIDPickUpDate</t>
  </si>
  <si>
    <t>HappyPath_SingleProduct_AUS</t>
  </si>
  <si>
    <t>HappyPath_MultipleProduct_AUS</t>
  </si>
  <si>
    <t>PurchaseFunnel_SingleProduct_AUS</t>
  </si>
  <si>
    <t>PurchaseFunnel_MultipleProduct_AUS</t>
  </si>
  <si>
    <t>CheckCallCenterOptions</t>
  </si>
  <si>
    <t>VerifySubmitNewOrderOption</t>
  </si>
  <si>
    <t>PartnerName][PartnerID</t>
  </si>
  <si>
    <t>CurrentOrderPage</t>
  </si>
  <si>
    <t>ProductType][ForeignCurrency][ForeignAmount][Foreign_CurrencyCode][LocalAmount][Local_CurrencyCode</t>
  </si>
  <si>
    <t>OrderSearchTC</t>
  </si>
  <si>
    <t>OrderNumber][StoreName</t>
  </si>
  <si>
    <t>PackOrderFirst</t>
  </si>
  <si>
    <t>OrderNumber][PrimaryCardNumber</t>
  </si>
  <si>
    <t>ChangeOrderID</t>
  </si>
  <si>
    <t>ChangePickUpDate</t>
  </si>
  <si>
    <t>Verify_Vault</t>
  </si>
  <si>
    <t>Salt_Login][EnterFirstOrderDetail][VerifyFirstOrder][AddOrder][ValidateOrderSummary][EnterShippingLocation][SelectFulfilmentOption][DeliveryDate][PayAus][Confirmation][Salt_Logout</t>
  </si>
  <si>
    <t>Salt_Login][PF_EnterFirstOrderDetail][EnterFirstOrderDetail][VerifyFirstOrder][ValidateOrderSummary][AddOrder][EnterShippingLocation][EnterShippingLocation][EnterShippingLocation][EnterShippingLocation][EnterShippingLocation][PF_ShippingOptions][SelectFulfilmentOption][DeliveryDate][PayAus][Confirmation][Salt_Logout</t>
  </si>
  <si>
    <t>ValidateOrderSummary</t>
  </si>
  <si>
    <t>Buy_Product][LST_SALT_Home{Foreign_Currency}][Actual_ForeignAmount][Actual_LocalAmount][LBL_SALT_Home{Foreign_CurrencyCode}][Local_CurrencyCode][Availability_Message][PricePromise_Message][EDT_SALT_CreateOrder{Primary_CardNumber}</t>
  </si>
  <si>
    <t>Add_OrderType][Add_ProductType][Add_ForeignCurrency][Add_ForeignAmount][Add_Foreign_CurrencyCode][Add_LocalAmount][Add_Local_CurrencyCode][Add_ActualForeignAmount</t>
  </si>
  <si>
    <t>Selected_DeliveryCost][NOD_SALT_Confirmation{Order_Number}][EDT_SALT_Pay{Street_Address}][EDT_SALT_Pay{Apartment_Number}][EDT_SALT_Pay{City}][EDT_SALT_Pay{Zip}][Order_Total</t>
  </si>
  <si>
    <t>GetAdminDetails</t>
  </si>
  <si>
    <t>PF_EnterFirstOrderDetail</t>
  </si>
  <si>
    <t>PF_ShippingOptions</t>
  </si>
  <si>
    <t>EnterShippingLocation</t>
  </si>
  <si>
    <t>EDT_SALT_ShippingOption{Location}][Validation_Type</t>
  </si>
  <si>
    <t>SelectFulfilmentOption</t>
  </si>
  <si>
    <t>PayAus</t>
  </si>
  <si>
    <t>PayNZ</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</si>
  <si>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LST_SALT_Pay{Card_Type}][EDT_SALT_Pay{Card_Number}][EDT_SALT_Pay{Card_FirstName}][EDT_SALT_Pay{Card_LastName}][EDT_SALT_Pay{Security_Code}][LST_SALT_PayAus{CardExpiry_Month}][LST_SALT_PayAus{CardExpiry_Year}][CHK_SALT_PayAus{Use_Residential}][EDT_SALT_PayAus{Billing_StreetAddress}][EDT_SALT_PayAus{Billing_Suburb}][EDT_SALT_PayAus{Billing_City}][EDT_SALT_PayAus{Billing_Postcode}][CHK_SALT_Pay{Special_Offers}][CHK_SALT_Pay{TermsAndConditions}][Order_Total</t>
  </si>
  <si>
    <t>PayCan</t>
  </si>
  <si>
    <t>LST_SALT_Pay{Title}][EDT_SALT_Pay{FirstName}][EDT_SALT_Pay{MiddleName}][EDT_SALT_Pay{LastName}][LST_SALT_Pay{DOB_MM}][LST_SALT_Pay{DOB_DD}][LST_SALT_Pay{DOB_YYYY}][LST_SALT_Pay{ID_Type}][LST_SALT_Pay{CountryOfIssue}][EDT_SALT_Pay{ID_Number}][EDT_SALT_Pay{Confirm_IDNumber}][LST_SALT_Pay{IDExpiry_MM}][LST_SALT_Pay{IDExpiry_DD}][LST_SALT_Pay{IDExpiry_YYYY}][EDT_SALT_Pay{Mother_MaidenName}][EDT_SALT_Pay{Cell_Phone}][EDT_SALT_Pay{Home_Phone}][EDT_SALT_Pay{Email_Address}][EDT_SALT_Pay{Confirm_EmailAddress}][EDT_SALT_Pay{Street_Address}][EDT_SALT_Pay{Apartment_Number}][EDT_SALT_Pay{City}][LST_SALT_Pay{State}][EDT_SALT_Pay{Zip}][LST_SALT_Pay{Card_Type}][EDT_SALT_Pay{Card_Number}][EDT_SALT_Pay{Card_FirstName}][EDT_SALT_Pay{Card_LastName}][EDT_SALT_Pay{Security_Code}][LST_SALT_Pay{CardExpiry_MM}][LST_SALT_Pay{CardExpiry_YYYY}][CHK_SALT_Pay{Special_Offers}][CHK_SALT_Pay{TermsAndConditions}][Order_Total</t>
  </si>
  <si>
    <t>EditOrder</t>
  </si>
  <si>
    <t>Edit_OrderNumber][Edit_ProductType][Edit_ForeignCurrency][Edit_ForeignAmount][Edit_Foreign_CurrencyCode][Edit_LocalAmount][Edit_Local_CurrencyCode][Edit_ActualForeignAmount</t>
  </si>
  <si>
    <t>PF_DeliveryDate</t>
  </si>
  <si>
    <t>Change_OrderDetail</t>
  </si>
  <si>
    <t>Change_ShippingOptions</t>
  </si>
  <si>
    <t>Change_DeliveryDate</t>
  </si>
  <si>
    <t>PF_Pay_Validation</t>
  </si>
  <si>
    <t>Order_Total</t>
  </si>
  <si>
    <t>AUSCountry</t>
  </si>
  <si>
    <t>FullPayment</t>
  </si>
  <si>
    <t>PartialPayment</t>
  </si>
  <si>
    <t>HigherPayment</t>
  </si>
  <si>
    <t>IgnorePayment</t>
  </si>
  <si>
    <t>BPAY_Payments</t>
  </si>
  <si>
    <t>OrderNumber][ActionName][Payment</t>
  </si>
  <si>
    <t>Add_ActualForeignAmount</t>
  </si>
  <si>
    <t>SSN</t>
  </si>
  <si>
    <t>LST_SALT_Pay{CardExpiry_MM}</t>
  </si>
  <si>
    <t>LST_SALT_Pay{CardExpiry_YYYY}</t>
  </si>
  <si>
    <t>Store_Name</t>
  </si>
  <si>
    <t>Airport_Name</t>
  </si>
  <si>
    <t>Validation_Type</t>
  </si>
  <si>
    <t>LST_SALT_PayAus{DOB_Day}</t>
  </si>
  <si>
    <t>LST_SALT_PayAus{DOB_Month}</t>
  </si>
  <si>
    <t>LST_SALT_PayAus{DOB_Year}</t>
  </si>
  <si>
    <t>LST_SALT_PayAus{IDExpiry_Day}</t>
  </si>
  <si>
    <t>LST_SALT_PayAus{IDExpiry_Month}</t>
  </si>
  <si>
    <t>LST_SALT_PayAus{IDExpiry_Year}</t>
  </si>
  <si>
    <t>EDT_SALT_PayAus{Suburb}</t>
  </si>
  <si>
    <t>LST_SALT_PayAus{CardExpiry_Month}</t>
  </si>
  <si>
    <t>LST_SALT_PayAus{CardExpiry_Year}</t>
  </si>
  <si>
    <t>CHK_SALT_PayAus{Use_Residential}</t>
  </si>
  <si>
    <t>EDT_SALT_PayAus{Billing_StreetAddress}</t>
  </si>
  <si>
    <t>EDT_SALT_PayAus{Billing_Suburb}</t>
  </si>
  <si>
    <t>EDT_SALT_PayAus{Billing_City}</t>
  </si>
  <si>
    <t>EDT_SALT_PayAus{Billing_Postcode}</t>
  </si>
  <si>
    <t>CHK_SALT_PayNZ{AdditionalIDRequired}</t>
  </si>
  <si>
    <t>LST_SALT_Pay{State}</t>
  </si>
  <si>
    <t>Edit_OrderNumber</t>
  </si>
  <si>
    <t>Edit_ProductType</t>
  </si>
  <si>
    <t>Edit_ForeignCurrency</t>
  </si>
  <si>
    <t>Edit_ForeignAmount</t>
  </si>
  <si>
    <t>Edit_Foreign_CurrencyCode</t>
  </si>
  <si>
    <t>Edit_LocalAmount</t>
  </si>
  <si>
    <t>Edit_Local_CurrencyCode</t>
  </si>
  <si>
    <t>Edit_ActualForeignAmount</t>
  </si>
  <si>
    <t>PartnerName</t>
  </si>
  <si>
    <t>PartnerID</t>
  </si>
  <si>
    <t>ForeignCurrency</t>
  </si>
  <si>
    <t>Foreign_CurrencyCode</t>
  </si>
  <si>
    <t>LocalAmount</t>
  </si>
  <si>
    <t>EDT_SALT_ChangeID{NewCustName}</t>
  </si>
  <si>
    <t>LST_SALT_ChangeID{IDType}</t>
  </si>
  <si>
    <t>LST_SALT_ChangeID{Country}</t>
  </si>
  <si>
    <t>LST_SALT_ChangeID{State}</t>
  </si>
  <si>
    <t>EDT_SALT_ChangeID{IdNumber}</t>
  </si>
  <si>
    <t>LST_SALT_ChangeID{ExpiryMonth}</t>
  </si>
  <si>
    <t>LST_SALT_ChangeID{ExpiryDay}</t>
  </si>
  <si>
    <t>LST_SALT_ChangeID{ExpiryYear}</t>
  </si>
  <si>
    <t>LST_SALT_ChangeID{DOBMonth}</t>
  </si>
  <si>
    <t>LST_SALT_ChangeID{DOBDay}</t>
  </si>
  <si>
    <t>LST_SALT_ChangeID{DOBYear}</t>
  </si>
  <si>
    <t>ActionName</t>
  </si>
  <si>
    <t>Payment</t>
  </si>
  <si>
    <r>
      <t>LST_SALT_Pay</t>
    </r>
    <r>
      <rPr>
        <b/>
        <sz val="10"/>
        <color theme="1"/>
        <rFont val="Calibri"/>
        <family val="2"/>
        <scheme val="minor"/>
      </rPr>
      <t>{CardExpiry_MM}</t>
    </r>
  </si>
  <si>
    <r>
      <t>LST_SALT_Pay</t>
    </r>
    <r>
      <rPr>
        <b/>
        <sz val="10"/>
        <color theme="1"/>
        <rFont val="Calibri"/>
        <family val="2"/>
        <scheme val="minor"/>
      </rPr>
      <t>{CardExpiry_YYYY}</t>
    </r>
  </si>
  <si>
    <r>
      <t>LST_SALT_PayAus</t>
    </r>
    <r>
      <rPr>
        <b/>
        <sz val="10"/>
        <color theme="1"/>
        <rFont val="Calibri"/>
        <family val="2"/>
        <scheme val="minor"/>
      </rPr>
      <t>{DOB_Day}</t>
    </r>
  </si>
  <si>
    <r>
      <t>LST_SALT_PayAus</t>
    </r>
    <r>
      <rPr>
        <b/>
        <sz val="10"/>
        <color theme="1"/>
        <rFont val="Calibri"/>
        <family val="2"/>
        <scheme val="minor"/>
      </rPr>
      <t>{DOB_Month}</t>
    </r>
  </si>
  <si>
    <r>
      <t>LST_SALT_PayAus</t>
    </r>
    <r>
      <rPr>
        <b/>
        <sz val="10"/>
        <color theme="1"/>
        <rFont val="Calibri"/>
        <family val="2"/>
        <scheme val="minor"/>
      </rPr>
      <t>{DOB_Year}</t>
    </r>
  </si>
  <si>
    <r>
      <t>LST_SALT_PayAus</t>
    </r>
    <r>
      <rPr>
        <b/>
        <sz val="10"/>
        <color theme="1"/>
        <rFont val="Calibri"/>
        <family val="2"/>
        <scheme val="minor"/>
      </rPr>
      <t>{IDExpiry_Day}</t>
    </r>
  </si>
  <si>
    <r>
      <t>LST_SALT_PayAus</t>
    </r>
    <r>
      <rPr>
        <b/>
        <sz val="10"/>
        <color theme="1"/>
        <rFont val="Calibri"/>
        <family val="2"/>
        <scheme val="minor"/>
      </rPr>
      <t>{IDExpiry_Month}</t>
    </r>
  </si>
  <si>
    <r>
      <t>LST_SALT_PayAus</t>
    </r>
    <r>
      <rPr>
        <b/>
        <sz val="10"/>
        <color theme="1"/>
        <rFont val="Calibri"/>
        <family val="2"/>
        <scheme val="minor"/>
      </rPr>
      <t>{IDExpiry_Year}</t>
    </r>
  </si>
  <si>
    <r>
      <t>EDT_SALT_PayAus</t>
    </r>
    <r>
      <rPr>
        <b/>
        <sz val="10"/>
        <color theme="1"/>
        <rFont val="Calibri"/>
        <family val="2"/>
        <scheme val="minor"/>
      </rPr>
      <t>{Suburb}</t>
    </r>
  </si>
  <si>
    <r>
      <t>LST_SALT_PayAus</t>
    </r>
    <r>
      <rPr>
        <b/>
        <sz val="10"/>
        <color theme="1"/>
        <rFont val="Calibri"/>
        <family val="2"/>
        <scheme val="minor"/>
      </rPr>
      <t>{CardExpiry_Month}</t>
    </r>
  </si>
  <si>
    <r>
      <t>LST_SALT_PayAus</t>
    </r>
    <r>
      <rPr>
        <b/>
        <sz val="10"/>
        <color theme="1"/>
        <rFont val="Calibri"/>
        <family val="2"/>
        <scheme val="minor"/>
      </rPr>
      <t>{CardExpiry_Year}</t>
    </r>
  </si>
  <si>
    <r>
      <t>CHK_SALT_PayAus</t>
    </r>
    <r>
      <rPr>
        <b/>
        <sz val="10"/>
        <color theme="1"/>
        <rFont val="Calibri"/>
        <family val="2"/>
        <scheme val="minor"/>
      </rPr>
      <t>{Use_Residential}</t>
    </r>
  </si>
  <si>
    <r>
      <t>EDT_SALT_PayAus</t>
    </r>
    <r>
      <rPr>
        <b/>
        <sz val="10"/>
        <color theme="1"/>
        <rFont val="Calibri"/>
        <family val="2"/>
        <scheme val="minor"/>
      </rPr>
      <t>{Billing_StreetAddress}</t>
    </r>
  </si>
  <si>
    <r>
      <t>EDT_SALT_PayAus</t>
    </r>
    <r>
      <rPr>
        <b/>
        <sz val="10"/>
        <color theme="1"/>
        <rFont val="Calibri"/>
        <family val="2"/>
        <scheme val="minor"/>
      </rPr>
      <t>{Billing_Suburb}</t>
    </r>
  </si>
  <si>
    <r>
      <t>EDT_SALT_PayAus</t>
    </r>
    <r>
      <rPr>
        <b/>
        <sz val="10"/>
        <color theme="1"/>
        <rFont val="Calibri"/>
        <family val="2"/>
        <scheme val="minor"/>
      </rPr>
      <t>{Billing_City}</t>
    </r>
  </si>
  <si>
    <r>
      <t>EDT_SALT_PayAus</t>
    </r>
    <r>
      <rPr>
        <b/>
        <sz val="10"/>
        <color theme="1"/>
        <rFont val="Calibri"/>
        <family val="2"/>
        <scheme val="minor"/>
      </rPr>
      <t>{Billing_Postcode}</t>
    </r>
  </si>
  <si>
    <r>
      <t>CHK_SALT_PayNZ</t>
    </r>
    <r>
      <rPr>
        <b/>
        <sz val="10"/>
        <color theme="1"/>
        <rFont val="Calibri"/>
        <family val="2"/>
        <scheme val="minor"/>
      </rPr>
      <t>{AdditionalIDRequired}</t>
    </r>
  </si>
  <si>
    <r>
      <t>LST_SALT_Pay</t>
    </r>
    <r>
      <rPr>
        <b/>
        <sz val="10"/>
        <color theme="1"/>
        <rFont val="Calibri"/>
        <family val="2"/>
        <scheme val="minor"/>
      </rPr>
      <t>{State}</t>
    </r>
  </si>
  <si>
    <r>
      <t>EDT_SALT_ChangeID</t>
    </r>
    <r>
      <rPr>
        <b/>
        <sz val="10"/>
        <color theme="1"/>
        <rFont val="Calibri"/>
        <family val="2"/>
        <scheme val="minor"/>
      </rPr>
      <t>{NewCustName}</t>
    </r>
  </si>
  <si>
    <r>
      <t>LST_SALT_ChangeID</t>
    </r>
    <r>
      <rPr>
        <b/>
        <sz val="10"/>
        <color theme="1"/>
        <rFont val="Calibri"/>
        <family val="2"/>
        <scheme val="minor"/>
      </rPr>
      <t>{IDType}</t>
    </r>
  </si>
  <si>
    <r>
      <t>LST_SALT_ChangeID</t>
    </r>
    <r>
      <rPr>
        <b/>
        <sz val="10"/>
        <color theme="1"/>
        <rFont val="Calibri"/>
        <family val="2"/>
        <scheme val="minor"/>
      </rPr>
      <t>{Country}</t>
    </r>
  </si>
  <si>
    <r>
      <t>LST_SALT_ChangeID</t>
    </r>
    <r>
      <rPr>
        <b/>
        <sz val="10"/>
        <color theme="1"/>
        <rFont val="Calibri"/>
        <family val="2"/>
        <scheme val="minor"/>
      </rPr>
      <t>{State}</t>
    </r>
  </si>
  <si>
    <r>
      <t>EDT_SALT_ChangeID</t>
    </r>
    <r>
      <rPr>
        <b/>
        <sz val="10"/>
        <color theme="1"/>
        <rFont val="Calibri"/>
        <family val="2"/>
        <scheme val="minor"/>
      </rPr>
      <t>{IdNumber}</t>
    </r>
  </si>
  <si>
    <r>
      <t>LST_SALT_ChangeID</t>
    </r>
    <r>
      <rPr>
        <b/>
        <sz val="10"/>
        <color theme="1"/>
        <rFont val="Calibri"/>
        <family val="2"/>
        <scheme val="minor"/>
      </rPr>
      <t>{ExpiryMonth}</t>
    </r>
  </si>
  <si>
    <r>
      <t>LST_SALT_ChangeID</t>
    </r>
    <r>
      <rPr>
        <b/>
        <sz val="10"/>
        <color theme="1"/>
        <rFont val="Calibri"/>
        <family val="2"/>
        <scheme val="minor"/>
      </rPr>
      <t>{ExpiryDay}</t>
    </r>
  </si>
  <si>
    <r>
      <t>LST_SALT_ChangeID</t>
    </r>
    <r>
      <rPr>
        <b/>
        <sz val="10"/>
        <color theme="1"/>
        <rFont val="Calibri"/>
        <family val="2"/>
        <scheme val="minor"/>
      </rPr>
      <t>{ExpiryYear}</t>
    </r>
  </si>
  <si>
    <r>
      <t>LST_SALT_ChangeID</t>
    </r>
    <r>
      <rPr>
        <b/>
        <sz val="10"/>
        <color theme="1"/>
        <rFont val="Calibri"/>
        <family val="2"/>
        <scheme val="minor"/>
      </rPr>
      <t>{DOBMonth}</t>
    </r>
  </si>
  <si>
    <r>
      <t>LST_SALT_ChangeID</t>
    </r>
    <r>
      <rPr>
        <b/>
        <sz val="10"/>
        <color theme="1"/>
        <rFont val="Calibri"/>
        <family val="2"/>
        <scheme val="minor"/>
      </rPr>
      <t>{DOBDay}</t>
    </r>
  </si>
  <si>
    <r>
      <t>LST_SALT_ChangeID</t>
    </r>
    <r>
      <rPr>
        <b/>
        <sz val="10"/>
        <color theme="1"/>
        <rFont val="Calibri"/>
        <family val="2"/>
        <scheme val="minor"/>
      </rPr>
      <t>{DOBYear}</t>
    </r>
  </si>
  <si>
    <t>CaptureAdminDetails</t>
  </si>
  <si>
    <t>Positive</t>
  </si>
  <si>
    <t>Store_Pickup</t>
  </si>
  <si>
    <t>Mr</t>
  </si>
  <si>
    <t>Vikram</t>
  </si>
  <si>
    <t>Kapale</t>
  </si>
  <si>
    <t>February</t>
  </si>
  <si>
    <t>Australia</t>
  </si>
  <si>
    <t>26</t>
  </si>
  <si>
    <t>April</t>
  </si>
  <si>
    <t>October</t>
  </si>
  <si>
    <t>B</t>
  </si>
  <si>
    <t>G</t>
  </si>
  <si>
    <t>LS Road</t>
  </si>
  <si>
    <t>Sydney</t>
  </si>
  <si>
    <t>false</t>
  </si>
  <si>
    <t>true</t>
  </si>
  <si>
    <t>Visa</t>
  </si>
  <si>
    <t>New South Wales</t>
  </si>
  <si>
    <t>Payment_Type</t>
  </si>
  <si>
    <t>Another_Currency</t>
  </si>
  <si>
    <t>Negative:-:1][Negative:-:2][Negative:-:3][Negative:-:4][Positive:-:5</t>
  </si>
  <si>
    <t>Steve</t>
  </si>
  <si>
    <t>V</t>
  </si>
  <si>
    <t>Waugh</t>
  </si>
  <si>
    <t>November</t>
  </si>
  <si>
    <t>Sachi</t>
  </si>
  <si>
    <t>Arthur Road Victoria</t>
  </si>
  <si>
    <t>08</t>
  </si>
  <si>
    <t>2017</t>
  </si>
  <si>
    <t>NA</t>
  </si>
  <si>
    <t>Copy_TC_to_TC][OrderSearchTC][CountryLoadBeforeExecution][PackOrder</t>
  </si>
  <si>
    <t>Copy_TC_to_TC][OrderSearchTC][CountryLoadBeforeExecution][PackOrder][PickUpOrder</t>
  </si>
  <si>
    <t>May</t>
  </si>
  <si>
    <t>Salt_Login][GetAdminDetails][Salt_Logout</t>
  </si>
  <si>
    <t>LST_SALT_Admin{Country}][Store_Name][Airport_Name</t>
  </si>
  <si>
    <t>New Zealand</t>
  </si>
  <si>
    <t>United States of America, Dollar</t>
  </si>
  <si>
    <t>Ravi</t>
  </si>
  <si>
    <t>Raj</t>
  </si>
  <si>
    <t>Sachin</t>
  </si>
  <si>
    <t>Nachi</t>
  </si>
  <si>
    <t>Rahul</t>
  </si>
  <si>
    <t>John</t>
  </si>
  <si>
    <t>Doc</t>
  </si>
  <si>
    <t>Nilesh</t>
  </si>
  <si>
    <t>Krishna</t>
  </si>
  <si>
    <t>Milind</t>
  </si>
  <si>
    <t>Vikas</t>
  </si>
  <si>
    <t>1950</t>
  </si>
  <si>
    <t>1952</t>
  </si>
  <si>
    <t>1956</t>
  </si>
  <si>
    <t>1985</t>
  </si>
  <si>
    <t>1977</t>
  </si>
  <si>
    <t>1970</t>
  </si>
  <si>
    <t>1988</t>
  </si>
  <si>
    <t>0:00:03:32</t>
  </si>
  <si>
    <t>Canada</t>
  </si>
  <si>
    <t>January</t>
  </si>
  <si>
    <t>March</t>
  </si>
  <si>
    <t>July</t>
  </si>
  <si>
    <t>August</t>
  </si>
  <si>
    <t>September</t>
  </si>
  <si>
    <t>December</t>
  </si>
  <si>
    <t>rahul.kamat@travelex.com</t>
  </si>
  <si>
    <t>Nachiket</t>
  </si>
  <si>
    <t>MakeOrderPayment</t>
  </si>
  <si>
    <t>PaymentCountries</t>
  </si>
  <si>
    <t>PaymentType</t>
  </si>
  <si>
    <t>Bank Transfer</t>
  </si>
  <si>
    <t>Bill Payment</t>
  </si>
  <si>
    <t>Japan</t>
  </si>
  <si>
    <t>BPAY</t>
  </si>
  <si>
    <t>PaymentFrom</t>
  </si>
  <si>
    <t>SourceFolder</t>
  </si>
  <si>
    <t>DestinationFolder</t>
  </si>
  <si>
    <t>OrderAmt</t>
  </si>
  <si>
    <t>BPAYbillpayBankTransferPaymentFull</t>
  </si>
  <si>
    <t>BPAYbillpayBankTransferPaymentPartial</t>
  </si>
  <si>
    <t>BPAYbillpayBankTransferPaymentHigher</t>
  </si>
  <si>
    <t>Copy_TC_to_TC][MakeOrderPayment</t>
  </si>
  <si>
    <t>Vikram Kapale</t>
  </si>
  <si>
    <t>4812</t>
  </si>
  <si>
    <t>Credit / Debit Card</t>
  </si>
  <si>
    <t>Sydney Airport (T1 International Terminal)</t>
  </si>
  <si>
    <t>testing</t>
  </si>
  <si>
    <t>Victoria</t>
  </si>
  <si>
    <t>NOD_SALT_Confirmation{Order_Number},Order_Total</t>
  </si>
  <si>
    <t>OrderNumber,OrderAmt</t>
  </si>
  <si>
    <t>UserPayment</t>
  </si>
  <si>
    <t>PaymentCountries][PaymentType][OrderNumber][PaymentFrom][SourceFolder][DestinationFolder][OrderAmt][UserPayment</t>
  </si>
  <si>
    <t>Full Payment</t>
  </si>
  <si>
    <t>Partial Payment</t>
  </si>
  <si>
    <t>Higher Payment</t>
  </si>
  <si>
    <t>queen victoria building</t>
  </si>
  <si>
    <t>Buy Cash</t>
  </si>
  <si>
    <t>0989898989</t>
  </si>
  <si>
    <t>sydney</t>
  </si>
  <si>
    <t>Northern Territory</t>
  </si>
  <si>
    <t>BPay</t>
  </si>
  <si>
    <t>PayUSA</t>
  </si>
  <si>
    <t>Selected_FulfilmentOption][LST_SALT_Pay{Title}][EDT_SALT_Pay{FirstName}][EDT_SALT_Pay{MiddleName}][EDT_SALT_Pay{LastName}][LST_SALT_Pay{DOB_MM}][LST_SALT_Pay{DOB_DD}][LST_SALT_Pay{DOB_YYYY}][EDT_SALT_Pay{Mother_MaidenName}][LST_SALT_Pay{ID_Type}][LST_SALT_Pay{CountryOfIssue}][LST_SALT_Pay{StateOfIssue}][EDT_SALT_Pay{ID_Number}][EDT_SALT_Pay{Confirm_IDNumber}][LST_SALT_Pay{IDExpiry_MM}][LST_SALT_Pay{IDExpiry_DD}][LST_SALT_Pay{IDExpiry_YYYY}][SSN][EDT_SALT_Pay{Cell_Phone}][EDT_SALT_Pay{Home_Phone}][EDT_SALT_Pay{Email_Address}][EDT_SALT_Pay{Confirm_EmailAddress}][EDT_SALT_Pay{Street_Address}][EDT_SALT_Pay{Apartment_Number}][EDT_SALT_Pay{City}][Residential_State][EDT_SALT_Pay{Zip}][LST_SALT_Pay{Card_Type}][EDT_SALT_Pay{Card_Number}][EDT_SALT_Pay{Card_FirstName}][EDT_SALT_Pay{Card_LastName}][EDT_SALT_Pay{Security_Code}][LST_SALT_Pay{CardExpiry_MM}][LST_SALT_Pay{CardExpiry_YYYY}][CHK_SALT_Pay{Special_Offers}][CHK_SALT_Pay{TermsAndConditions}][Order_Total</t>
  </si>
  <si>
    <t>Store Collection</t>
  </si>
  <si>
    <t>ae:-:1][zzz:-:2][%^$$:-:3][59895656566:-:4][sydney:-:5</t>
  </si>
  <si>
    <t>0898989898</t>
  </si>
  <si>
    <t>ae:-:1][zzz:-:2][#$%$%:-:3][5946513213:-:4][sydney:-:5</t>
  </si>
  <si>
    <t>CyberSourceCheck</t>
  </si>
  <si>
    <t>Cybersource][MerchantName][MerUserID][MerPassword</t>
  </si>
  <si>
    <t>Cybersource</t>
  </si>
  <si>
    <t>MerchantName</t>
  </si>
  <si>
    <t>MerUserID</t>
  </si>
  <si>
    <t>MerPassword</t>
  </si>
  <si>
    <t>MobileHomePageProduct_CashStoreCredit</t>
  </si>
  <si>
    <t>MobileHomePageProduct_CashPassportStoreCredit</t>
  </si>
  <si>
    <t>MobileHomePageProduct_Reload</t>
  </si>
  <si>
    <t>MobileStorePackCashOrder</t>
  </si>
  <si>
    <t>MobilePickUpCashOrder</t>
  </si>
  <si>
    <t>MobileStorePackCashPassportOrder</t>
  </si>
  <si>
    <t>MobilePickUpCashPassportOrder</t>
  </si>
  <si>
    <t>SALTMobile</t>
  </si>
  <si>
    <t>EnterFirstOrderDetailMobile</t>
  </si>
  <si>
    <t>FulfilmentType</t>
  </si>
  <si>
    <t>Fulfillment</t>
  </si>
  <si>
    <t>Store Pickup</t>
  </si>
  <si>
    <t>ProductName</t>
  </si>
  <si>
    <t>NIP_SALTMobile_CreateOrder{Foreign_Amount}</t>
  </si>
  <si>
    <t>LST_SALTMobile_CreateOrder{Foreign_Currency}</t>
  </si>
  <si>
    <r>
      <t>NIP_SALTMobile_CreateOrder</t>
    </r>
    <r>
      <rPr>
        <b/>
        <sz val="10"/>
        <color theme="1"/>
        <rFont val="Calibri"/>
        <family val="2"/>
        <scheme val="minor"/>
      </rPr>
      <t>{Foreign_Amount}</t>
    </r>
  </si>
  <si>
    <r>
      <t>LST_SALTMobile_CreateOrder</t>
    </r>
    <r>
      <rPr>
        <b/>
        <sz val="10"/>
        <color theme="1"/>
        <rFont val="Calibri"/>
        <family val="2"/>
        <scheme val="minor"/>
      </rPr>
      <t>{Foreign_Currency}</t>
    </r>
  </si>
  <si>
    <t>ChoosePickUpBranchMobile</t>
  </si>
  <si>
    <t>PayMobileAUS</t>
  </si>
  <si>
    <t>PayMobile</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</si>
  <si>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SSN1}][EDT_SALTMobile_Pay{Street_Address}][EDT_SALTMobile_Pay{Apartment_Number}][EDT_SALTMobile_Pay{City}][LST_SALTMobile_Pay{State}][EDT_SALTMobile_Pay{Zip}][LST_SALTMobile_Pay{Card_Type}][EDT_SALTMobile_Pay{Card_Number}][EDT_SALTMobile_Pay{Card_FirstName}][EDT_SALTMobile_Pay{Card_LastName}][EDT_SALTMobile_Pay{Security_Code}][LST_SALTMobile_Pay{CardExpiry_MM}][LST_SALTMobile_Pay{CardExpiry_YYYY}</t>
  </si>
  <si>
    <t>PayMobileNZ</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</si>
  <si>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CHK_SALTMobile_Pay{UseResidentialAddress}][EDT_SALTMobile_Pay{BillingAddress_Address1}][EDT_SALTMobile_Pay{BillingAddress_Address2}][EDT_SALTMobile_Pay{BillingAddress_City}][LST_SALTMobile_Pay{BillingAddress_StateId}][EDT_SALTMobile_Pay{BillingAddress_PostalCode}</t>
  </si>
  <si>
    <t>PayMobileFRA</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</si>
  <si>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t>
  </si>
  <si>
    <t>PayMobileJPN</t>
  </si>
  <si>
    <t>EDT_SALTMobile_Pay{LastName}][EDT_SALTMobile_Pay{FirstName}][LST_SALTMobile_Pay{DOB_MM}][LST_SALTMobile_Pay{DOB_DD}][LST_SALTMobile_Pay{DOB_YYYY}][EIP_SALTMobile_Pay{Email_Address}][EIP_SALTMobile_Pay{Confirm_EmailAddress}][PIP_SALTMobile_Pay{Phone_No}][LST_SALTMobile_PayJPN{Title}][EDT_SALTMobile_PayJPN{FirstName}][EDT_SALTMobile_PayJPN{LastName}][LST_SALTMobile_Pay{ID_Type}][LST_SALTMobile_Pay{CountryOfIssue}][EDT_SALTMobile_Pay{ID_Number}][EDT_SALTMobile_Pay{Confirm_IDNumber}][LST_SALTMobile_Pay{IDExpiry_MM}][LST_SALTMobile_Pay{IDExpiry_DD}][LST_SALTMobile_Pay{IDExpiry_YYYY}][EDT_SALTMobile_Pay{MothersMaidenName}][EDT_SALTMobile_PayJPN{Zip}][LST_SALTMobile_PayJPN{State}][EDT_SALTMobile_PayJPN{City}][EDT_SALTMobile_PayJPN{Apartment_Number}][EDT_SALTMobile_PayJPN{Street_Address}][LST_SALTMobile_Pay{Payment_Type}][LST_SALTMobile_Pay{Card_Type}][EDT_SALTMobile_Pay{Card_Number}][EDT_SALTMobile_Pay{Card_FirstName}][EDT_SALTMobile_Pay{Card_LastName}][EDT_SALTMobile_Pay{Security_Code}][LST_SALTMobile_Pay{CardExpiry_MM}][LST_SALTMobile_Pay{CardExpiry_YYYY}</t>
  </si>
  <si>
    <t>Mob_OrderSummary</t>
  </si>
  <si>
    <t>LST_SALTMobile_Pay{Title}</t>
  </si>
  <si>
    <t>EDT_SALTMobile_Pay{FirstName}</t>
  </si>
  <si>
    <t>EDT_SALTMobile_Pay{MiddleName}</t>
  </si>
  <si>
    <t>EDT_SALTMobile_Pay{LastName}</t>
  </si>
  <si>
    <t>LST_SALTMobile_Pay{DOB_MM}</t>
  </si>
  <si>
    <t>LST_SALTMobile_Pay{DOB_DD}</t>
  </si>
  <si>
    <t>LST_SALTMobile_Pay{DOB_YYYY}</t>
  </si>
  <si>
    <t>EIP_SALTMobile_Pay{Email_Address}</t>
  </si>
  <si>
    <t>EIP_SALTMobile_Pay{Confirm_EmailAddress}</t>
  </si>
  <si>
    <t>PIP_SALTMobile_Pay{Phone_No}</t>
  </si>
  <si>
    <t>LST_SALTMobile_Pay{ID_Type}</t>
  </si>
  <si>
    <t>LST_SALTMobile_Pay{CountryOfIssue}</t>
  </si>
  <si>
    <t>EDT_SALTMobile_Pay{ID_Number}</t>
  </si>
  <si>
    <t>EDT_SALTMobile_Pay{Confirm_IDNumber}</t>
  </si>
  <si>
    <t>LST_SALTMobile_Pay{IDExpiry_MM}</t>
  </si>
  <si>
    <t>LST_SALTMobile_Pay{IDExpiry_DD}</t>
  </si>
  <si>
    <t>LST_SALTMobile_Pay{IDExpiry_YYYY}</t>
  </si>
  <si>
    <t>EDT_SALTMobile_Pay{SSN1}</t>
  </si>
  <si>
    <t>EDT_SALTMobile_Pay{Street_Address}</t>
  </si>
  <si>
    <t>EDT_SALTMobile_Pay{Apartment_Number}</t>
  </si>
  <si>
    <t>EDT_SALTMobile_Pay{City}</t>
  </si>
  <si>
    <t>LST_SALTMobile_Pay{State}</t>
  </si>
  <si>
    <t>EDT_SALTMobile_Pay{Zip}</t>
  </si>
  <si>
    <t>LST_SALTMobile_Pay{Card_Type}</t>
  </si>
  <si>
    <t>EDT_SALTMobile_Pay{Card_Number}</t>
  </si>
  <si>
    <t>EDT_SALTMobile_Pay{Card_FirstName}</t>
  </si>
  <si>
    <t>EDT_SALTMobile_Pay{Card_LastName}</t>
  </si>
  <si>
    <t>EDT_SALTMobile_Pay{Security_Code}</t>
  </si>
  <si>
    <t>LST_SALTMobile_Pay{CardExpiry_MM}</t>
  </si>
  <si>
    <t>LST_SALTMobile_Pay{CardExpiry_YYYY}</t>
  </si>
  <si>
    <t>EDT_SALTMobile_Pay{MothersMaidenName}</t>
  </si>
  <si>
    <t>LST_SALTMobile_Pay{Payment_Type}</t>
  </si>
  <si>
    <t>CHK_SALTMobile_Pay{UseResidentialAddress}</t>
  </si>
  <si>
    <t>EDT_SALTMobile_Pay{BillingAddress_Address1}</t>
  </si>
  <si>
    <t>EDT_SALTMobile_Pay{BillingAddress_Address2}</t>
  </si>
  <si>
    <t>EDT_SALTMobile_Pay{BillingAddress_City}</t>
  </si>
  <si>
    <t>LST_SALTMobile_Pay{BillingAddress_StateId}</t>
  </si>
  <si>
    <t>EDT_SALTMobile_Pay{BillingAddress_PostalCode}</t>
  </si>
  <si>
    <t>LST_SALTMobile_PayJPN{Title}</t>
  </si>
  <si>
    <t>EDT_SALTMobile_PayJPN{FirstName}</t>
  </si>
  <si>
    <t>EDT_SALTMobile_PayJPN{LastName}</t>
  </si>
  <si>
    <t>EDT_SALTMobile_PayJPN{Zip}</t>
  </si>
  <si>
    <t>LST_SALTMobile_PayJPN{State}</t>
  </si>
  <si>
    <t>EDT_SALTMobile_PayJPN{City}</t>
  </si>
  <si>
    <t>EDT_SALTMobile_PayJPN{Apartment_Number}</t>
  </si>
  <si>
    <t>EDT_SALTMobile_PayJPN{Street_Address}</t>
  </si>
  <si>
    <t>SearchOption][EDT_SALTMobile_StorePickUpBranch{Searchstore}</t>
  </si>
  <si>
    <t>SearchOption</t>
  </si>
  <si>
    <t>EDT_SALTMobile_StorePickUpBranch{Searchstore}</t>
  </si>
  <si>
    <r>
      <t>EDT_SALTMobile_Pay</t>
    </r>
    <r>
      <rPr>
        <b/>
        <sz val="10"/>
        <color theme="1"/>
        <rFont val="Calibri"/>
        <family val="2"/>
        <scheme val="minor"/>
      </rPr>
      <t>{FirstName}</t>
    </r>
  </si>
  <si>
    <r>
      <t>EDT_SALTMobile_Pay</t>
    </r>
    <r>
      <rPr>
        <b/>
        <sz val="10"/>
        <color theme="1"/>
        <rFont val="Calibri"/>
        <family val="2"/>
        <scheme val="minor"/>
      </rPr>
      <t>{MiddleName}</t>
    </r>
  </si>
  <si>
    <r>
      <t>EDT_SALTMobile_Pay</t>
    </r>
    <r>
      <rPr>
        <b/>
        <sz val="10"/>
        <color theme="1"/>
        <rFont val="Calibri"/>
        <family val="2"/>
        <scheme val="minor"/>
      </rPr>
      <t>{LastName}</t>
    </r>
  </si>
  <si>
    <r>
      <t>LST_SALTMobile_Pay</t>
    </r>
    <r>
      <rPr>
        <b/>
        <sz val="10"/>
        <color theme="1"/>
        <rFont val="Calibri"/>
        <family val="2"/>
        <scheme val="minor"/>
      </rPr>
      <t>{DOB_MM}</t>
    </r>
  </si>
  <si>
    <r>
      <t>LST_SALTMobile_Pay</t>
    </r>
    <r>
      <rPr>
        <b/>
        <sz val="10"/>
        <color theme="1"/>
        <rFont val="Calibri"/>
        <family val="2"/>
        <scheme val="minor"/>
      </rPr>
      <t>{DOB_DD}</t>
    </r>
  </si>
  <si>
    <r>
      <t>LST_SALTMobile_Pay</t>
    </r>
    <r>
      <rPr>
        <b/>
        <sz val="10"/>
        <color theme="1"/>
        <rFont val="Calibri"/>
        <family val="2"/>
        <scheme val="minor"/>
      </rPr>
      <t>{DOB_YYYY}</t>
    </r>
  </si>
  <si>
    <r>
      <t>EIP_SALTMobile_Pay</t>
    </r>
    <r>
      <rPr>
        <b/>
        <sz val="10"/>
        <color theme="1"/>
        <rFont val="Calibri"/>
        <family val="2"/>
        <scheme val="minor"/>
      </rPr>
      <t>{Email_Address}</t>
    </r>
  </si>
  <si>
    <r>
      <t>EIP_SALTMobile_Pay</t>
    </r>
    <r>
      <rPr>
        <b/>
        <sz val="10"/>
        <color theme="1"/>
        <rFont val="Calibri"/>
        <family val="2"/>
        <scheme val="minor"/>
      </rPr>
      <t>{Confirm_EmailAddress}</t>
    </r>
  </si>
  <si>
    <r>
      <t>PIP_SALTMobile_Pay</t>
    </r>
    <r>
      <rPr>
        <b/>
        <sz val="10"/>
        <color theme="1"/>
        <rFont val="Calibri"/>
        <family val="2"/>
        <scheme val="minor"/>
      </rPr>
      <t>{Phone_No}</t>
    </r>
  </si>
  <si>
    <r>
      <t>LST_SALTMobile_Pay</t>
    </r>
    <r>
      <rPr>
        <b/>
        <sz val="10"/>
        <color theme="1"/>
        <rFont val="Calibri"/>
        <family val="2"/>
        <scheme val="minor"/>
      </rPr>
      <t>{ID_Type}</t>
    </r>
  </si>
  <si>
    <r>
      <t>LST_SALTMobile_Pay</t>
    </r>
    <r>
      <rPr>
        <b/>
        <sz val="10"/>
        <color theme="1"/>
        <rFont val="Calibri"/>
        <family val="2"/>
        <scheme val="minor"/>
      </rPr>
      <t>{CountryOfIssue}</t>
    </r>
  </si>
  <si>
    <r>
      <t>EDT_SALTMobile_Pay</t>
    </r>
    <r>
      <rPr>
        <b/>
        <sz val="10"/>
        <color theme="1"/>
        <rFont val="Calibri"/>
        <family val="2"/>
        <scheme val="minor"/>
      </rPr>
      <t>{ID_Number}</t>
    </r>
  </si>
  <si>
    <r>
      <t>EDT_SALTMobile_Pay</t>
    </r>
    <r>
      <rPr>
        <b/>
        <sz val="10"/>
        <color theme="1"/>
        <rFont val="Calibri"/>
        <family val="2"/>
        <scheme val="minor"/>
      </rPr>
      <t>{Confirm_IDNumber}</t>
    </r>
  </si>
  <si>
    <r>
      <t>LST_SALTMobile_Pay</t>
    </r>
    <r>
      <rPr>
        <b/>
        <sz val="10"/>
        <color theme="1"/>
        <rFont val="Calibri"/>
        <family val="2"/>
        <scheme val="minor"/>
      </rPr>
      <t>{IDExpiry_MM}</t>
    </r>
  </si>
  <si>
    <r>
      <t>LST_SALTMobile_Pay</t>
    </r>
    <r>
      <rPr>
        <b/>
        <sz val="10"/>
        <color theme="1"/>
        <rFont val="Calibri"/>
        <family val="2"/>
        <scheme val="minor"/>
      </rPr>
      <t>{IDExpiry_DD}</t>
    </r>
  </si>
  <si>
    <r>
      <t>LST_SALTMobile_Pay</t>
    </r>
    <r>
      <rPr>
        <b/>
        <sz val="10"/>
        <color theme="1"/>
        <rFont val="Calibri"/>
        <family val="2"/>
        <scheme val="minor"/>
      </rPr>
      <t>{IDExpiry_YYYY}</t>
    </r>
  </si>
  <si>
    <r>
      <t>EDT_SALTMobile_Pay</t>
    </r>
    <r>
      <rPr>
        <b/>
        <sz val="10"/>
        <color theme="1"/>
        <rFont val="Calibri"/>
        <family val="2"/>
        <scheme val="minor"/>
      </rPr>
      <t>{SSN1}</t>
    </r>
  </si>
  <si>
    <r>
      <t>EDT_SALTMobile_Pay</t>
    </r>
    <r>
      <rPr>
        <b/>
        <sz val="10"/>
        <color theme="1"/>
        <rFont val="Calibri"/>
        <family val="2"/>
        <scheme val="minor"/>
      </rPr>
      <t>{Street_Address}</t>
    </r>
  </si>
  <si>
    <r>
      <t>EDT_SALTMobile_Pay</t>
    </r>
    <r>
      <rPr>
        <b/>
        <sz val="10"/>
        <color theme="1"/>
        <rFont val="Calibri"/>
        <family val="2"/>
        <scheme val="minor"/>
      </rPr>
      <t>{Apartment_Number}</t>
    </r>
  </si>
  <si>
    <r>
      <t>EDT_SALTMobile_Pay</t>
    </r>
    <r>
      <rPr>
        <b/>
        <sz val="10"/>
        <color theme="1"/>
        <rFont val="Calibri"/>
        <family val="2"/>
        <scheme val="minor"/>
      </rPr>
      <t>{City}</t>
    </r>
  </si>
  <si>
    <r>
      <t>LST_SALTMobile_Pay</t>
    </r>
    <r>
      <rPr>
        <b/>
        <sz val="10"/>
        <color theme="1"/>
        <rFont val="Calibri"/>
        <family val="2"/>
        <scheme val="minor"/>
      </rPr>
      <t>{State}</t>
    </r>
  </si>
  <si>
    <r>
      <t>EDT_SALTMobile_Pay</t>
    </r>
    <r>
      <rPr>
        <b/>
        <sz val="10"/>
        <color theme="1"/>
        <rFont val="Calibri"/>
        <family val="2"/>
        <scheme val="minor"/>
      </rPr>
      <t>{Zip}</t>
    </r>
  </si>
  <si>
    <r>
      <t>LST_SALTMobile_Pay</t>
    </r>
    <r>
      <rPr>
        <b/>
        <sz val="10"/>
        <color theme="1"/>
        <rFont val="Calibri"/>
        <family val="2"/>
        <scheme val="minor"/>
      </rPr>
      <t>{Card_Type}</t>
    </r>
  </si>
  <si>
    <r>
      <t>EDT_SALTMobile_Pay</t>
    </r>
    <r>
      <rPr>
        <b/>
        <sz val="10"/>
        <color theme="1"/>
        <rFont val="Calibri"/>
        <family val="2"/>
        <scheme val="minor"/>
      </rPr>
      <t>{Card_Number}</t>
    </r>
  </si>
  <si>
    <r>
      <t>EDT_SALTMobile_Pay</t>
    </r>
    <r>
      <rPr>
        <b/>
        <sz val="10"/>
        <color theme="1"/>
        <rFont val="Calibri"/>
        <family val="2"/>
        <scheme val="minor"/>
      </rPr>
      <t>{Card_FirstName}</t>
    </r>
  </si>
  <si>
    <r>
      <t>EDT_SALTMobile_Pay</t>
    </r>
    <r>
      <rPr>
        <b/>
        <sz val="10"/>
        <color theme="1"/>
        <rFont val="Calibri"/>
        <family val="2"/>
        <scheme val="minor"/>
      </rPr>
      <t>{Card_LastName}</t>
    </r>
  </si>
  <si>
    <r>
      <t>EDT_SALTMobile_Pay</t>
    </r>
    <r>
      <rPr>
        <b/>
        <sz val="10"/>
        <color theme="1"/>
        <rFont val="Calibri"/>
        <family val="2"/>
        <scheme val="minor"/>
      </rPr>
      <t>{Security_Code}</t>
    </r>
  </si>
  <si>
    <r>
      <t>LST_SALTMobile_Pay</t>
    </r>
    <r>
      <rPr>
        <b/>
        <sz val="10"/>
        <color theme="1"/>
        <rFont val="Calibri"/>
        <family val="2"/>
        <scheme val="minor"/>
      </rPr>
      <t>{CardExpiry_MM}</t>
    </r>
  </si>
  <si>
    <r>
      <t>LST_SALTMobile_Pay</t>
    </r>
    <r>
      <rPr>
        <b/>
        <sz val="10"/>
        <color theme="1"/>
        <rFont val="Calibri"/>
        <family val="2"/>
        <scheme val="minor"/>
      </rPr>
      <t>{CardExpiry_YYYY}</t>
    </r>
  </si>
  <si>
    <r>
      <t>EDT_SALTMobile_Pay</t>
    </r>
    <r>
      <rPr>
        <b/>
        <sz val="10"/>
        <color theme="1"/>
        <rFont val="Calibri"/>
        <family val="2"/>
        <scheme val="minor"/>
      </rPr>
      <t>{MothersMaidenName}</t>
    </r>
  </si>
  <si>
    <r>
      <t>LST_SALTMobile_Pay</t>
    </r>
    <r>
      <rPr>
        <b/>
        <sz val="10"/>
        <color theme="1"/>
        <rFont val="Calibri"/>
        <family val="2"/>
        <scheme val="minor"/>
      </rPr>
      <t>{Payment_Type}</t>
    </r>
  </si>
  <si>
    <r>
      <t>CHK_SALTMobile_Pay</t>
    </r>
    <r>
      <rPr>
        <b/>
        <sz val="10"/>
        <color theme="1"/>
        <rFont val="Calibri"/>
        <family val="2"/>
        <scheme val="minor"/>
      </rPr>
      <t>{UseResidentialAddress}</t>
    </r>
  </si>
  <si>
    <r>
      <t>EDT_SALTMobile_Pay</t>
    </r>
    <r>
      <rPr>
        <b/>
        <sz val="10"/>
        <color theme="1"/>
        <rFont val="Calibri"/>
        <family val="2"/>
        <scheme val="minor"/>
      </rPr>
      <t>{BillingAddress_Address1}</t>
    </r>
  </si>
  <si>
    <r>
      <t>EDT_SALTMobile_Pay</t>
    </r>
    <r>
      <rPr>
        <b/>
        <sz val="10"/>
        <color theme="1"/>
        <rFont val="Calibri"/>
        <family val="2"/>
        <scheme val="minor"/>
      </rPr>
      <t>{BillingAddress_Address2}</t>
    </r>
  </si>
  <si>
    <r>
      <t>EDT_SALTMobile_Pay</t>
    </r>
    <r>
      <rPr>
        <b/>
        <sz val="10"/>
        <color theme="1"/>
        <rFont val="Calibri"/>
        <family val="2"/>
        <scheme val="minor"/>
      </rPr>
      <t>{BillingAddress_City}</t>
    </r>
  </si>
  <si>
    <r>
      <t>LST_SALTMobile_Pay</t>
    </r>
    <r>
      <rPr>
        <b/>
        <sz val="10"/>
        <color theme="1"/>
        <rFont val="Calibri"/>
        <family val="2"/>
        <scheme val="minor"/>
      </rPr>
      <t>{BillingAddress_StateId}</t>
    </r>
  </si>
  <si>
    <r>
      <t>EDT_SALTMobile_Pay</t>
    </r>
    <r>
      <rPr>
        <b/>
        <sz val="10"/>
        <color theme="1"/>
        <rFont val="Calibri"/>
        <family val="2"/>
        <scheme val="minor"/>
      </rPr>
      <t>{BillingAddress_PostalCode}</t>
    </r>
  </si>
  <si>
    <r>
      <t>EDT_SALTMobile_PayJPN</t>
    </r>
    <r>
      <rPr>
        <b/>
        <sz val="10"/>
        <color theme="1"/>
        <rFont val="Calibri"/>
        <family val="2"/>
        <scheme val="minor"/>
      </rPr>
      <t>{FirstName}</t>
    </r>
  </si>
  <si>
    <r>
      <t>EDT_SALTMobile_PayJPN</t>
    </r>
    <r>
      <rPr>
        <b/>
        <sz val="10"/>
        <color theme="1"/>
        <rFont val="Calibri"/>
        <family val="2"/>
        <scheme val="minor"/>
      </rPr>
      <t>{LastName}</t>
    </r>
  </si>
  <si>
    <r>
      <t>EDT_SALTMobile_PayJPN</t>
    </r>
    <r>
      <rPr>
        <b/>
        <sz val="10"/>
        <color theme="1"/>
        <rFont val="Calibri"/>
        <family val="2"/>
        <scheme val="minor"/>
      </rPr>
      <t>{Zip}</t>
    </r>
  </si>
  <si>
    <r>
      <t>LST_SALTMobile_PayJPN</t>
    </r>
    <r>
      <rPr>
        <b/>
        <sz val="10"/>
        <color theme="1"/>
        <rFont val="Calibri"/>
        <family val="2"/>
        <scheme val="minor"/>
      </rPr>
      <t>{State}</t>
    </r>
  </si>
  <si>
    <r>
      <t>EDT_SALTMobile_PayJPN</t>
    </r>
    <r>
      <rPr>
        <b/>
        <sz val="10"/>
        <color theme="1"/>
        <rFont val="Calibri"/>
        <family val="2"/>
        <scheme val="minor"/>
      </rPr>
      <t>{City}</t>
    </r>
  </si>
  <si>
    <r>
      <t>EDT_SALTMobile_PayJPN</t>
    </r>
    <r>
      <rPr>
        <b/>
        <sz val="10"/>
        <color theme="1"/>
        <rFont val="Calibri"/>
        <family val="2"/>
        <scheme val="minor"/>
      </rPr>
      <t>{Apartment_Number}</t>
    </r>
  </si>
  <si>
    <r>
      <t>EDT_SALTMobile_PayJPN</t>
    </r>
    <r>
      <rPr>
        <b/>
        <sz val="10"/>
        <color theme="1"/>
        <rFont val="Calibri"/>
        <family val="2"/>
        <scheme val="minor"/>
      </rPr>
      <t>{Street_Address}</t>
    </r>
  </si>
  <si>
    <r>
      <t>EDT_SALTMobile_StorePickUpBranch</t>
    </r>
    <r>
      <rPr>
        <b/>
        <sz val="10"/>
        <color theme="1"/>
        <rFont val="Calibri"/>
        <family val="2"/>
        <scheme val="minor"/>
      </rPr>
      <t>{Searchstore}</t>
    </r>
  </si>
  <si>
    <t>Search</t>
  </si>
  <si>
    <t>Darwin</t>
  </si>
  <si>
    <t>krishnamraju.k@travelex.com</t>
  </si>
  <si>
    <t>12345</t>
  </si>
  <si>
    <t>Lava</t>
  </si>
  <si>
    <t>Wisconsin</t>
  </si>
  <si>
    <t>0810</t>
  </si>
  <si>
    <t>Mob_OrderConfirmationPage</t>
  </si>
  <si>
    <t>Welcome444</t>
  </si>
  <si>
    <t>DeliveryDateMobile</t>
  </si>
  <si>
    <r>
      <t>LST_SALTMobile_Pay</t>
    </r>
    <r>
      <rPr>
        <b/>
        <sz val="10"/>
        <color theme="1"/>
        <rFont val="Calibri"/>
        <family val="2"/>
        <scheme val="minor"/>
      </rPr>
      <t>{Title}</t>
    </r>
  </si>
  <si>
    <t>0:00:09:13</t>
  </si>
  <si>
    <t>ConnectDatabaseForAdmin</t>
  </si>
  <si>
    <t>AirportName</t>
  </si>
  <si>
    <t>RateProfile</t>
  </si>
  <si>
    <t>Country</t>
  </si>
  <si>
    <t>ForeignCurrencyCode</t>
  </si>
  <si>
    <t>StoreName][AirportName][RateProfile][Country][ForeignCurrencyCode</t>
  </si>
  <si>
    <t>Queen Victoria Building</t>
  </si>
  <si>
    <t>Brisbane Airport (Domestic Terminal)</t>
  </si>
  <si>
    <t>SALT_TravelexAUOnline_AU</t>
  </si>
  <si>
    <t>'NZD','EUR','AUD','CAD','DKK','IDR','JPY','GBP'</t>
  </si>
  <si>
    <t>AvailablefulfillmentOptions</t>
  </si>
  <si>
    <t>Fulfillment][AvailablefulfillmentOptions</t>
  </si>
  <si>
    <t>Home delivery|Store pickup</t>
  </si>
  <si>
    <t>Mob_ContactUs</t>
  </si>
  <si>
    <t>Mob_GrtProductNServices</t>
  </si>
  <si>
    <t>Mob_StoreLocator</t>
  </si>
  <si>
    <r>
      <t>LST_SALTMobile_PayJPN</t>
    </r>
    <r>
      <rPr>
        <b/>
        <sz val="10"/>
        <color theme="1"/>
        <rFont val="Calibri"/>
        <family val="2"/>
        <scheme val="minor"/>
      </rPr>
      <t>{Title}</t>
    </r>
  </si>
  <si>
    <t>Credit_Card</t>
  </si>
  <si>
    <t>LST_SALT_PayAus{Billing_State}</t>
  </si>
  <si>
    <r>
      <t>LST_SALT_PayAus</t>
    </r>
    <r>
      <rPr>
        <b/>
        <sz val="10"/>
        <color theme="1"/>
        <rFont val="Calibri"/>
        <family val="2"/>
        <scheme val="minor"/>
      </rPr>
      <t>{Billing_State}</t>
    </r>
  </si>
  <si>
    <t>KillIE</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</si>
  <si>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CHK_SALTMobile_Pay{UseResidentialAddress}][EDT_SALT_PayAus{Billing_StreetAddress}][EDT_SALT_PayAus{Billing_Suburb}][LST_SALT_PayAus{Billing_State}][EDT_SALT_PayAus{Billing_Postcode}][EDT_SALT_PayAus{Billing_City}</t>
  </si>
  <si>
    <t>Salt_Login][Mob_ContactUs</t>
  </si>
  <si>
    <t>ConnectDatabaseForAdmin][Salt_Login][EnterFirstOrderDetailMobile][FulfilmentType][ChoosePickUpBranchMobile][DeliveryDateMobile][PayMobileAUS][Mob_OrderSummary][Mob_OrderConfirmationPage][Salt_Logout</t>
  </si>
  <si>
    <t>0147000000</t>
  </si>
  <si>
    <t>0:00:01:09</t>
  </si>
  <si>
    <t>0:00:01:19</t>
  </si>
  <si>
    <t>0:00:00:54</t>
  </si>
  <si>
    <t>MobileReview</t>
  </si>
  <si>
    <t>ConnectDatabaseForAdmin][Salt_Login][EnterFirstOrderDetailMobile][MobileReview][PayMobileAUS][Mob_OrderSummary][Mob_OrderConfirmationPage][Salt_Logout</t>
  </si>
  <si>
    <t>CardNumber</t>
  </si>
  <si>
    <t>ProductName][NIP_SALTMobile_CreateOrder{Foreign_Amount}][LST_SALTMobile_CreateOrder{Foreign_Currency}][Local_CurrencyCode][EDT_SALT_Home{Foreign_Amount}][LBL_SALT_Home{Foreign_CurrencyCode}][EDT_SALT_Home{Local_Amount}][CardNumber</t>
  </si>
  <si>
    <t>5386350000030777</t>
  </si>
  <si>
    <t>0:00:00:14</t>
  </si>
  <si>
    <t>0:00:08:59</t>
  </si>
  <si>
    <t>0:00:10:54</t>
  </si>
  <si>
    <t>DatasheetToRecordSet</t>
  </si>
  <si>
    <t>http://admin.rgt.salt.travelex.com/Login.aspx</t>
  </si>
  <si>
    <t>Need Assistance?
If you need assistance with your order or if the currency you require is not available, please call our Customer Service Centre on 1800 440 039 (within Australia).
Currency Restrictions:
Some countries impose restrictions on the import/export of local and foreign currencies. You should seek advice from an official government website for the country you may be visiting before placing your order.</t>
  </si>
  <si>
    <t>AirportTerminal_Name</t>
  </si>
  <si>
    <t>DeliveryDate_dd/mm/yyyy][Selected_FulfilmentOption][Selected_DeliveryCost][Selected_DeliveryDate</t>
  </si>
  <si>
    <t>DeliveryDate_dd/mm/yyyy</t>
  </si>
  <si>
    <t>LST_SALT_PayAus{CardBilling_State}</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</si>
  <si>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Payment_Type][LST_SALT_Pay{Card_Type}][EDT_SALT_Pay{Card_Number}][EDT_SALT_Pay{Card_FirstName}][EDT_SALT_Pay{Card_LastName}][EDT_SALT_Pay{Security_Code}][LST_SALT_PayAus{CardExpiry_Month}][LST_SALT_PayAus{CardExpiry_Year}][CHK_SALT_PayAus{Use_Residential}][EDT_SALT_PayAus{Billing_StreetAddress}][EDT_SALT_PayAus{Billing_Suburb}][EDT_SALT_PayAus{Billing_City}][LST_SALT_PayAus{CardBilling_State}][EDT_SALT_PayAus{Billing_Postcode}][CHK_SALT_Pay{Special_Offers}][CHK_SALT_Pay{TermsAndConditions}][Order_Total</t>
  </si>
  <si>
    <r>
      <t>LST_SALT_PayAus</t>
    </r>
    <r>
      <rPr>
        <b/>
        <sz val="10"/>
        <color theme="1"/>
        <rFont val="Calibri"/>
        <family val="2"/>
        <scheme val="minor"/>
      </rPr>
      <t>{CardBilling_State}</t>
    </r>
  </si>
  <si>
    <t>Buy Multi-Currency Cash Passport</t>
  </si>
  <si>
    <t>Eastgardens</t>
  </si>
  <si>
    <t>Product Type</t>
  </si>
  <si>
    <t>Cash|CashPassport|Reload</t>
  </si>
  <si>
    <t>WEA_SALT_ChangeID{Reason}</t>
  </si>
  <si>
    <t>OrderNumber][EDT_SALT_ChangeID{NewCustName}][LST_SALT_ChangeID{IDType}][LST_SALT_ChangeID{Country}][LST_SALT_ChangeID{State}][EDT_SALT_ChangeID{IdNumber}][LST_SALT_ChangeID{ExpiryMonth}][LST_SALT_ChangeID{ExpiryDay}][LST_SALT_ChangeID{ExpiryYear}][LST_SALT_ChangeID{DOBMonth}][LST_SALT_ChangeID{DOBDay}][LST_SALT_ChangeID{DOBYear}][WEA_SALT_ChangeID{Reason}</t>
  </si>
  <si>
    <t>WEA_SALT_ChangePickUpDate{Reason}</t>
  </si>
  <si>
    <t>OrderNumber][WEA_SALT_ChangePickUpDate{Reason}</t>
  </si>
  <si>
    <r>
      <t>WEA_SALT_ChangeID</t>
    </r>
    <r>
      <rPr>
        <b/>
        <sz val="10"/>
        <color theme="1"/>
        <rFont val="Calibri"/>
        <family val="2"/>
        <scheme val="minor"/>
      </rPr>
      <t>{Reason}</t>
    </r>
  </si>
  <si>
    <r>
      <t>WEA_SALT_ChangePickUpDate</t>
    </r>
    <r>
      <rPr>
        <b/>
        <sz val="10"/>
        <color theme="1"/>
        <rFont val="Calibri"/>
        <family val="2"/>
        <scheme val="minor"/>
      </rPr>
      <t>{Reason}</t>
    </r>
  </si>
  <si>
    <t>This TC is not for Aus/NZ as there is no HomePickup</t>
  </si>
  <si>
    <t>Datasheet needs to be manually updated for this TC on every execution</t>
  </si>
  <si>
    <t>Secondary Card Number to be inputted in Datasheet</t>
  </si>
  <si>
    <t>Ignore Payment</t>
  </si>
  <si>
    <t>DatecheckOnOnlineRateScreen</t>
  </si>
  <si>
    <t>Salt_Login][Select_Country][SiteTreeSelectionAsPerCountry][Admin_OnlineRate_Check</t>
  </si>
  <si>
    <t>DatecheckOnCurrencyWidgetScreen</t>
  </si>
  <si>
    <t>SiteTreeSelectionAsPerCountry][Admin_Currency_Widget</t>
  </si>
  <si>
    <t>Admin_CurrencyConverter_Check</t>
  </si>
  <si>
    <t>CheckForOnlineStorePickup</t>
  </si>
  <si>
    <t>SiteTreeSelectionAsPerCountry][StoreSetupForOnlineStoreCheck][Admin_Store_Locator_Online_Check</t>
  </si>
  <si>
    <t>CheckForNonOnlineStorePickup</t>
  </si>
  <si>
    <t>CheckForOnlineAirportPickup</t>
  </si>
  <si>
    <t>SiteTreeSelectionAsPerCountry][StoreSetupForOnlineStoreCheck][Admin_Store_Locator_AirportOnline_Check</t>
  </si>
  <si>
    <t>SiteTreeSelectionAsPerCountry</t>
  </si>
  <si>
    <t>Local Currency</t>
  </si>
  <si>
    <t>AdminLocalCurrencyValidatorMajor</t>
  </si>
  <si>
    <t>Admin_Store_Locator_AirportOnline_Check</t>
  </si>
  <si>
    <t>AdminDate][Local Currency</t>
  </si>
  <si>
    <t>EDT_SALT_Admin{CCLocalCurrencyAmt}][LST_SALT_Admin{CCForeignCurrency}][EDT_SALT_Admin{CCForeignCurrencyAmt}][LST_SALT_Admin{CCLocalCurrency}][Local Currency][AdminDate</t>
  </si>
  <si>
    <t>CountryRetailScreen</t>
  </si>
  <si>
    <t>Admin_OnlineRate_Check</t>
  </si>
  <si>
    <t>AdminDate</t>
  </si>
  <si>
    <t>Admin_Currency_Widget</t>
  </si>
  <si>
    <t>StoreSetupForOnlineStoreCheck</t>
  </si>
  <si>
    <t>EDT_SALT_Admin{StoreSearchName}][EDT_SALT_ShippingOption{SLLocation}][Local Currency][AdminDate</t>
  </si>
  <si>
    <t>Admin_Store_Locator_Online_Check</t>
  </si>
  <si>
    <t>EDT_SALT_Admin{CCLocalCurrencyAmt}</t>
  </si>
  <si>
    <t>LST_SALT_Admin{CCForeignCurrency}</t>
  </si>
  <si>
    <t>EDT_SALT_Admin{CCForeignCurrencyAmt}</t>
  </si>
  <si>
    <t>LST_SALT_Admin{CCLocalCurrency}</t>
  </si>
  <si>
    <t>EDT_SALT_Admin{StoreSearchName}</t>
  </si>
  <si>
    <t>EDT_SALT_ShippingOption{SLLocation}</t>
  </si>
  <si>
    <r>
      <t>EDT_SALT_Admin</t>
    </r>
    <r>
      <rPr>
        <b/>
        <sz val="10"/>
        <color theme="1"/>
        <rFont val="Calibri"/>
        <family val="2"/>
        <scheme val="minor"/>
      </rPr>
      <t>{CCLocalCurrencyAmt}</t>
    </r>
  </si>
  <si>
    <r>
      <t>LST_SALT_Admin</t>
    </r>
    <r>
      <rPr>
        <b/>
        <sz val="10"/>
        <color theme="1"/>
        <rFont val="Calibri"/>
        <family val="2"/>
        <scheme val="minor"/>
      </rPr>
      <t>{CCForeignCurrency}</t>
    </r>
  </si>
  <si>
    <r>
      <t>EDT_SALT_Admin</t>
    </r>
    <r>
      <rPr>
        <b/>
        <sz val="10"/>
        <color theme="1"/>
        <rFont val="Calibri"/>
        <family val="2"/>
        <scheme val="minor"/>
      </rPr>
      <t>{CCForeignCurrencyAmt}</t>
    </r>
  </si>
  <si>
    <r>
      <t>LST_SALT_Admin</t>
    </r>
    <r>
      <rPr>
        <b/>
        <sz val="10"/>
        <color theme="1"/>
        <rFont val="Calibri"/>
        <family val="2"/>
        <scheme val="minor"/>
      </rPr>
      <t>{CCLocalCurrency}</t>
    </r>
  </si>
  <si>
    <r>
      <t>EDT_SALT_Admin</t>
    </r>
    <r>
      <rPr>
        <b/>
        <sz val="10"/>
        <color theme="1"/>
        <rFont val="Calibri"/>
        <family val="2"/>
        <scheme val="minor"/>
      </rPr>
      <t>{StoreSearchName}</t>
    </r>
  </si>
  <si>
    <r>
      <t>EDT_SALT_ShippingOption</t>
    </r>
    <r>
      <rPr>
        <b/>
        <sz val="10"/>
        <color theme="1"/>
        <rFont val="Calibri"/>
        <family val="2"/>
        <scheme val="minor"/>
      </rPr>
      <t>{SLLocation}</t>
    </r>
  </si>
  <si>
    <t>Monday, 16 Dec 2013 10:30:38 AEDT</t>
  </si>
  <si>
    <t>Monday, 31 Mar 2014</t>
  </si>
  <si>
    <t>Friday, 4 Apr 2014</t>
  </si>
  <si>
    <t>AU40035834</t>
  </si>
  <si>
    <t>0:00:07:03</t>
  </si>
  <si>
    <t>AU40035867</t>
  </si>
  <si>
    <t>0:00:10:58</t>
  </si>
  <si>
    <t>0:00:01:57</t>
  </si>
  <si>
    <t>0:00:04:23</t>
  </si>
  <si>
    <t>0:00:00:13</t>
  </si>
  <si>
    <t>0:00:01:41</t>
  </si>
  <si>
    <t>Travelex Australia</t>
  </si>
  <si>
    <t>Auto_StorePickup</t>
  </si>
  <si>
    <t>Airport_Pickup</t>
  </si>
  <si>
    <t>Sydney International Airport</t>
  </si>
  <si>
    <t>* Domestic Airport Terminal 2 Virgin</t>
  </si>
  <si>
    <t xml:space="preserve">Queen Street </t>
  </si>
  <si>
    <t>Brisbane, Queensland,4000</t>
  </si>
  <si>
    <t>Salt_Login][PF_EnterFirstOrderDetail][EnterFirstOrderDetail][VerifyFirstOrder][ValidateOrderSummary][EnterShippingLocation][EnterShippingLocation][EnterShippingLocation][EnterShippingLocation][EnterShippingLocation][PF_ShippingOptions][SelectFulfilmentOption][DeliveryDate][PF_Pay_Validation][PayAus][Validate_ConfirmationPage][Confirmation][Salt_Logout</t>
  </si>
  <si>
    <t>EXECUTE</t>
  </si>
  <si>
    <t>0:00:00:25</t>
  </si>
  <si>
    <t>0:00:00:53</t>
  </si>
  <si>
    <t>0:00:03:27</t>
  </si>
  <si>
    <t>0:00:02:58</t>
  </si>
  <si>
    <t>HappyPath_AUS_AU_HP001</t>
  </si>
  <si>
    <t>HappyPath_AUS_AU_HP002</t>
  </si>
  <si>
    <t>HappyPath_AUS_AU_HP003</t>
  </si>
  <si>
    <t>HappyPath_AUS_AU_HP004a</t>
  </si>
  <si>
    <t>HappyPath_AUS_AU_HP005</t>
  </si>
  <si>
    <t>HappyPath_AUS_AU_HP006</t>
  </si>
  <si>
    <t>Buy Multi-currency Cash Passport</t>
  </si>
  <si>
    <t>United States of America</t>
  </si>
  <si>
    <t>Auto_AirportPickup</t>
  </si>
  <si>
    <t>priya.ladi@travelex.com</t>
  </si>
  <si>
    <t>Buy_Product][LST_SALT_Home{Foreign_Currency}][Local_CurrencyCode][EDT_SALT_Home{Foreign_Amount}][LBL_SALT_Home{Foreign_CurrencyCode}][EDT_SALT_Home{Local_Amount}][Country</t>
  </si>
  <si>
    <t>5386350000031452</t>
  </si>
  <si>
    <t>Bondi Junction</t>
  </si>
  <si>
    <t>TempLocalCurrencyCode</t>
  </si>
  <si>
    <t>5386350000030690</t>
  </si>
  <si>
    <t>Shipping_Type][Store_Name][Airport_Name][AirportTerminal_Name][TempLocalCurrencyCode</t>
  </si>
  <si>
    <t>Wednesday, 30 Apr 2014</t>
  </si>
  <si>
    <t>AU40038580</t>
  </si>
  <si>
    <t>Wednesday, 23 Apr 2014</t>
  </si>
  <si>
    <t>AU40038598</t>
  </si>
  <si>
    <t>0:00:06:36</t>
  </si>
  <si>
    <t>AU40038606</t>
  </si>
  <si>
    <t>0:00:03:50</t>
  </si>
  <si>
    <t>Salt_Login][Select_Country][SiteTreeSelectionAsPerCountry][Admin_CurrencyConverter_Check</t>
  </si>
  <si>
    <t>Testing</t>
  </si>
  <si>
    <t>Town Hall</t>
  </si>
  <si>
    <t>Canberra Airport</t>
  </si>
  <si>
    <t>Canberra Airport (Int'l Terminal)</t>
  </si>
  <si>
    <t>AU40038838</t>
  </si>
  <si>
    <t>0:00:12:56</t>
  </si>
  <si>
    <t>0:00:06:06</t>
  </si>
  <si>
    <t>AUD:-:1][AUD:-:2</t>
  </si>
  <si>
    <t>USD:-:1][USD:-:2</t>
  </si>
  <si>
    <t>EUR:-:1][EUR:-:2</t>
  </si>
  <si>
    <t>0:00:06:14</t>
  </si>
  <si>
    <t>0:00:06:01</t>
  </si>
  <si>
    <t>Salt_AdminLogin</t>
  </si>
  <si>
    <t>Salt_LoginTest</t>
  </si>
  <si>
    <t>test</t>
  </si>
  <si>
    <t>Salt_AdminLogin][Select_Country][Copy_TC_to_TC][CountryLoadBeforeExecution][FraudReviewAcceptReject</t>
  </si>
  <si>
    <t>Salt_AdminLogin][Select_Country][Copy_TC_to_TC][Select_Country][CountryLoadBeforeExecution][RefundDashBoard</t>
  </si>
  <si>
    <t>Salt_AdminLogin][Select_Country][Copy_TC_to_TC][Select_Country][CountryLoadBeforeExecution][RefundDashboardCancellation</t>
  </si>
  <si>
    <t>Salt_AdminLogin][Select_Country][CountryLoadBeforeExecution][VaultDashBoardView</t>
  </si>
  <si>
    <t>Salt_AdminLogin][Select_Country][Copy_TC_to_TC][CountryLoadBeforeExecution][VaultDashBoardOrdersToPack</t>
  </si>
  <si>
    <t>Salt_AdminLogin][Select_Country][Copy_TC_to_TC][OrderSearchTC][CountryLoadBeforeExecution][PackOrder</t>
  </si>
  <si>
    <t>AUD:-:1][AUD:-:2][AUD:-:3][AUD:-:4][AUD:-:5</t>
  </si>
  <si>
    <t>USD:-:1][USD:-:2][USD:-:3][USD:-:4][USD:-:5</t>
  </si>
  <si>
    <t>Spot Rate</t>
  </si>
  <si>
    <t>Original Rate</t>
  </si>
  <si>
    <t>Custom rate</t>
  </si>
  <si>
    <t>Cancellation Fee</t>
  </si>
  <si>
    <t>-30</t>
  </si>
  <si>
    <t>Canada, Dollar|Euro|Singapore, Dollar</t>
  </si>
  <si>
    <t>800|600|550</t>
  </si>
  <si>
    <t>PF_LayoutValidation</t>
  </si>
  <si>
    <t>ValidateSummary</t>
  </si>
  <si>
    <t>Buy_Product][LST_SALT_Home{Foreign_Currency}][Local_CurrencyCode][EDT_SALT_Home{Foreign_Amount}][LBL_SALT_Home{Foreign_CurrencyCode}][EDT_SALT_Home{Local_Amount}</t>
  </si>
  <si>
    <t>PF_VerifyFirstOrder</t>
  </si>
  <si>
    <t>Haymarket</t>
  </si>
  <si>
    <t>durvesh.naik@travelex.com</t>
  </si>
  <si>
    <t>AddOrder_HP</t>
  </si>
  <si>
    <t>EnterFirstOrderDetail_HP</t>
  </si>
  <si>
    <t>0:00:01:52</t>
  </si>
  <si>
    <t>Another_Currency|Cash_Passport|AnotherCurrency_CashPassport</t>
  </si>
  <si>
    <t>Buy Cash|Buy Multi-currency Cash Passport</t>
  </si>
  <si>
    <t xml:space="preserve">
AU40039927</t>
  </si>
  <si>
    <t>800:-:1][800.00:-:2][600.00:-:3][600.00:-:4][550.00:-:5][550.00:-:6][800.00:-:7][800.00:-:8][600.00:-:9][600.00:-:10][800.00:-:1][800.00:-:2][600.00:-:3][600.00:-:4][:-:5][:-:6][800.00:-:7][800.00:-:8][800.00:-:9][800.00:-:10][600.00:-:1][600.00:-:2][550.00:-:3][550.00:-:4][800.00:-:5][800.00:-:6][600.00:-:7][600.00:-:8][550.00:-:9][550.00:-:10][:-:1][:-:2][:-:3][:-:4][800.00:-:5][800.00:-:6][600.00:-:7][600.00:-:8</t>
  </si>
  <si>
    <t>CAD:-:1][EUR:-:2][SGD:-:3][CAD:-:4][EUR:-:5][CAD:-:6][EUR:-:7][:-:8][:-:9][CAD:-:10][EUR:-:1][CAD:-:2][EUR:-:3][SGD:-:4][CAD:-:5][EUR:-:6][SGD:-:7][:-:8][:-:9][:-:10][:-:1][CAD:-:2][EUR:-:3][SGD:-:4</t>
  </si>
  <si>
    <t>899.99:-:1][959.23:-:2][520.69:-:3][899.99:-:4][959.23:-:5][899.99:-:6][959.23:-:7][:-:8][899.99:-:9][:-:10][899.99:-:1][959.23:-:2][520.69:-:3][899.99:-:4][959.23:-:5][520.69:-:6][:-:7][:-:8][:-:9][899.99:-:10][959.23:-:1][:-:2</t>
  </si>
  <si>
    <t>AUD:-:1][AUD:-:2][AUD:-:3][AUD:-:4][AUD:-:5][AUD:-:6][AUD:-:7][:-:8][AUD:-:9][:-:10][AUD:-:1][AUD:-:2][AUD:-:3][AUD:-:4][AUD:-:5][AUD:-:6][:-:7][:-:8][:-:9][AUD:-:10][AUD:-:1][:-:2</t>
  </si>
  <si>
    <t>AUD:-:1][AUD:-:2][AUD:-:3][AUD:-:4][AUD:-:5][AUD:-:6][AUD:-:7][AUD:-:8][AUD:-:9][AUD:-:10][AUD:-:1][AUD:-:2][AUD:-:3][AUD:-:4][AUD:-:5][AUD:-:6][AUD:-:7][AUD:-:8][AUD:-:9][AUD:-:10][AUD:-:1][AUD:-:2][AUD:-:3][AUD:-:4][AUD:-:5][AUD:-:6][AUD:-:7][AUD:-:8][AUD:-:9][AUD:-:10][AUD:-:1][AUD:-:2][AUD:-:3][AUD:-:4][AUD:-:5][AUD:-:6][AUD:-:7][AUD:-:8][AUD:-:9][AUD:-:10][AUD:-:1][AUD:-:2][AUD:-:3][AUD:-:4][AUD:-:5][AUD:-:6</t>
  </si>
  <si>
    <t>NZD:-:1][NZD:-:2][NZD:-:3][NZD:-:4][NZD:-:5][NZD:-:6][NZD:-:7][NZD:-:8][NZD:-:9][NZD:-:10][NZD:-:1][NZD:-:2][NZD:-:3][NZD:-:4][NZD:-:5][NZD:-:6][NZD:-:7][NZD:-:8][NZD:-:9][NZD:-:10][NZD:-:1][NZD:-:2][NZD:-:3][NZD:-:4][NZD:-:5][NZD:-:6][NZD:-:7][BND:-:8][NZD:-:9][NZD:-:10][NZD:-:1][NZD:-:2][NZD:-:3][NZD:-:4][NZD:-:5][NZD:-:6][NZD:-:7][NZD:-:8][NZD:-:9][NZD:-:10][NZD:-:1][NZD:-:2][NZD:-:3][NZD:-:4][NZD:-:5][NZD:-:6</t>
  </si>
  <si>
    <t>683.73:-:1][683.73:-:2][683.73:-:3][683.73:-:4][683.73:-:5][683.73:-:6][683.73:-:7][683.73:-:8][683.73:-:9][683.73:-:10][683.73:-:1][683.73:-:2][683.73:-:3][683.73:-:4][683.73:-:5][683.73:-:6][683.73:-:7][683.73:-:8][683.73:-:9][683.73:-:10][683.73:-:1][683.73:-:2][683.73:-:3][683.73:-:4][683.73:-:5][683.73:-:6][683.73:-:7][696.37:-:8][683.73:-:9][683.73:-:10][683.73:-:1][683.73:-:2][683.73:-:3][683.73:-:4][683.73:-:5][683.73:-:6][683.73:-:7][683.73:-:8][683.73:-:9][683.73:-:10][683.73:-:1][683.73:-:2][683.73:-:3][683.73:-:4][683.73:-:5][683.73:-:6</t>
  </si>
  <si>
    <t>VerifyFirstOrder_HP</t>
  </si>
  <si>
    <t>HappyPath_AUS_AU_HP004</t>
  </si>
  <si>
    <t>0:00:08:08</t>
  </si>
  <si>
    <t>EDT_SALT_Pay{Confirm_IDNumber}</t>
  </si>
  <si>
    <r>
      <t>EDT_SALT_Pay</t>
    </r>
    <r>
      <rPr>
        <b/>
        <sz val="10"/>
        <color theme="1"/>
        <rFont val="Calibri"/>
        <family val="2"/>
        <scheme val="minor"/>
      </rPr>
      <t>{Confirm_IDNumber}</t>
    </r>
  </si>
  <si>
    <t>ValidateOrderSummary_HP</t>
  </si>
  <si>
    <t>DeliveryDate_HP</t>
  </si>
  <si>
    <t>EnterShippingLocation_HP</t>
  </si>
  <si>
    <t>SelectFulfilmentOption_HP</t>
  </si>
  <si>
    <t>Salt_Login][EnterFirstOrderDetail_HP][VerifyFirstOrder_HP][AddOrder_HP][ValidateOrderSummary_HP][EnterShippingLocation_HP][Copy_TC_to_TC][SelectFulfilmentOption_HP][DeliveryDate_HP][PayAus][Confirmation][Salt_Logout</t>
  </si>
  <si>
    <t>Salt_Login][EnterFirstOrderDetail_HP][VerifyFirstOrder_HP][EnterShippingLocation_HP][Copy_TC_to_TC][SelectFulfilmentOption_HP][DeliveryDate_HP][PayAus][Confirmation][Salt_Logout</t>
  </si>
  <si>
    <t>Salt_Login][EnterFirstOrderDetail_HP][VerifyFirstOrder_HP][AddOrder_HP][AddOrder_HP][AddOrder_HP][ValidateOrderSummary_HP][EnterShippingLocation_HP][Copy_TC_to_TC][SelectFulfilmentOption_HP][DeliveryDate_HP][PayAus][Confirmation][Salt_Logout</t>
  </si>
  <si>
    <t>0:00:00:18</t>
  </si>
  <si>
    <t>700:-:1][700.00:-:2</t>
  </si>
  <si>
    <t>0:00:07:22</t>
  </si>
  <si>
    <t>MasterCard</t>
  </si>
  <si>
    <t>1758.59:-:1][1,758.59:-:2</t>
  </si>
  <si>
    <t>5111111111111110</t>
  </si>
  <si>
    <t>Purchase_Funnel</t>
  </si>
  <si>
    <t>PurchaseFunnel_Change_CreateOrder</t>
  </si>
  <si>
    <t>PurchaseFunnel_Change_ShippingOptions</t>
  </si>
  <si>
    <t>PurchaseFunnel_Change_DeliveryDate</t>
  </si>
  <si>
    <t>PurchaseFunnel_PF006</t>
  </si>
  <si>
    <t>0:00:23:09</t>
  </si>
  <si>
    <t>This is Availability Message</t>
  </si>
  <si>
    <t>AUD:-:1][AUD:-:2][AUD:-:3][AUD:-:4][AUD:-:5][AUD:-:6][AUD:-:7][AUD:-:8][AUD:-:9][AUD:-:10</t>
  </si>
  <si>
    <t>CAD:-:1][CAD:-:2][CAD:-:3][CAD:-:4][CAD:-:5][CAD:-:6][CAD:-:7][CAD:-:8][CAD:-:9][CAD:-:10</t>
  </si>
  <si>
    <t>899.99:-:1][899.99:-:2][899.99:-:3][899.99:-:4][899.99:-:5][899.99:-:6][899.99:-:7][899.99:-:8][899.99:-:9][899.99:-:10</t>
  </si>
  <si>
    <t>CAD:-:1][CAD:-:2][CAD:-:3][CAD:-:4][CAD:-:5][CAD:-:6][CAD:-:7][CAD:-:8][CAD:-:9</t>
  </si>
  <si>
    <t>449.99:-:1][449.99:-:2][449.99:-:3][449.99:-:4][449.99:-:5][449.99:-:6][449.99:-:7][449.99:-:8][449.99:-:9</t>
  </si>
  <si>
    <t>AUD:-:1][AUD:-:2][AUD:-:3][AUD:-:4][AUD:-:5][AUD:-:6][AUD:-:7][AUD:-:8][AUD:-:9</t>
  </si>
  <si>
    <t>400:-:1][400.00:-:2][400.00:-:3][400.00:-:4][400.00:-:5][400.00:-:6][400.00:-:7][:-:8][400.00:-:9][400.00:-:10</t>
  </si>
  <si>
    <t>Thursday, 8 May 2014</t>
  </si>
  <si>
    <t>AU40040909</t>
  </si>
  <si>
    <t>0:00:24:40</t>
  </si>
  <si>
    <t>0:00:02:03</t>
  </si>
  <si>
    <t>691.09:-:1][691.09:-:2][691.09:-:3][691.09:-:4][691.09:-:5</t>
  </si>
  <si>
    <t>0:00:02:26</t>
  </si>
  <si>
    <t>691.09:-:1][691.09:-:2</t>
  </si>
  <si>
    <t>0:00:02:04</t>
  </si>
  <si>
    <t>This is availability message</t>
  </si>
  <si>
    <t>Salt_Login][PF_EnterFirstOrderDetail][EnterFirstOrderDetail][VerifyFirstOrder][AddOrder][PF_Validations][ValidateOrderSummary][EnterShippingLocation][EnterShippingLocation][EnterShippingLocation][EnterShippingLocation][EnterShippingLocation][PF_ShippingOptions][ValidateSummary][SelectFulfilmentOption][PF_DeliveryDate][ValidateSummary][DeliveryDate][ValidateSummary][PF_Pay_Validation][PayAus][Validate_ConfirmationPage][Confirmation][Salt_Logout</t>
  </si>
  <si>
    <t>Salt_Login][EnterFirstOrderDetailForAdmin][EnterShippingLocationForAdmin][SelectFulfilmentOptionForAdmin][DeliveryDateForAdmin][Change_OrderDetail][KillIE</t>
  </si>
  <si>
    <t>Salt_Login][EnterFirstOrderDetailForAdmin][EnterShippingLocationForAdmin][SelectFulfilmentOptionForAdmin][DeliveryDateForAdmin][Change_ShippingOptions][KillIE</t>
  </si>
  <si>
    <t>Salt_Login][EnterFirstOrderDetailForAdmin][EnterShippingLocationForAdmin][SelectFulfilmentOptionForAdmin][DeliveryDateForAdmin][Change_DeliveryDate][KillIE</t>
  </si>
  <si>
    <t>Salt_Login][EnterFirstOrderDetail][VerifyFirstOrder][AddOrder][ValidateOrderSummary][Validate_MultiProducts</t>
  </si>
  <si>
    <t>GetDataForDayEndOrdersPackedInSafe</t>
  </si>
  <si>
    <t>OrderNumber][CustomerName][PickupDate][CashPassportPAN][ProductTotal][OrderTotal][Country</t>
  </si>
  <si>
    <t>GetDataForDayEndOrdersCompleted</t>
  </si>
  <si>
    <t>OrderNumber][PickupDate][ProductType][Currency][ForeignAmt][DomesticAmt][Country][CashPassportPAN</t>
  </si>
  <si>
    <t>PF_Validations</t>
  </si>
  <si>
    <t>EnterFirstOrderDetailForAdmin</t>
  </si>
  <si>
    <t>EnterShippingLocationForAdmin</t>
  </si>
  <si>
    <t>SelectFulfilmentOptionForAdmin</t>
  </si>
  <si>
    <t>Shipping_Type][Store_Name][Airport_Name][AirportTerminal_Name</t>
  </si>
  <si>
    <t>DeliveryDateForAdmin</t>
  </si>
  <si>
    <t>PayForAdmin</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</si>
  <si>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Payment_Type][LST_SALT_Pay{Card_Type}][EDT_SALT_Pay{Card_Number}][EDT_SALT_Pay{Card_FirstName}][EDT_SALT_Pay{Card_LastName}][EDT_SALT_Pay{Security_Code}][LST_SALT_PayAus{CardExpiry_Month}][LST_SALT_PayAus{CardExpiry_Year}][CHK_SALT_PayAus{Use_Residential}][LST_SALT_PayAus{CardBilling_State}][EDT_SALT_PayAus{Billing_StreetAddress}][EDT_SALT_PayAus{Billing_Suburb}][EDT_SALT_PayAus{Billing_City}][EDT_SALT_PayAus{Billing_Postcode}][CHK_SALT_Pay{Special_Offers}][CHK_SALT_Pay{TermsAndConditions}][Order_Total</t>
  </si>
  <si>
    <t>ConfirmationForAdmin</t>
  </si>
  <si>
    <t>Validate_MultiProducts</t>
  </si>
  <si>
    <t>ForeignAmt</t>
  </si>
  <si>
    <t>DomesticAmt</t>
  </si>
  <si>
    <t>None][Product Type][Availability_Message</t>
  </si>
  <si>
    <t>OrderNumber][PickupDate][ProductType][Currency][ForeignAmt][DomesticAmt][PANs</t>
  </si>
  <si>
    <t>ConfigurationBuyBackCountryLevel</t>
  </si>
  <si>
    <t>ConfigurationBuyBackRetailPartnerLevel</t>
  </si>
  <si>
    <t>BuyBackConfigurationCheckOnFullSite</t>
  </si>
  <si>
    <t>GetBuyBackNumber</t>
  </si>
  <si>
    <t>Salt_AdminLogin][Select_Country][ConfigurationBuyBackCountryLevel</t>
  </si>
  <si>
    <t>Salt_AdminLogin][Select_Country][ConfigurationBuyBackRetailPartnerLevel</t>
  </si>
  <si>
    <t>Salt_Login][EnterFirstOrderDetailForAdmin][HandleSecurityAlert][BuyBackConfigurationCheckOnFullSite][EnterShippingLocationForAdmin][SelectFulfilmentOptionForAdmin][DeliveryDateForAdmin][PayFRA][ConfirmationForAdmin][Salt_Logout][Salt_LoginAnotherInstance</t>
  </si>
  <si>
    <t>MakeBuybackActiveForPartner</t>
  </si>
  <si>
    <t>BybackNumber</t>
  </si>
  <si>
    <t>MakeBuybackActiveForCountry</t>
  </si>
  <si>
    <t>Salt_LoginAnotherInstance</t>
  </si>
  <si>
    <t>App_Name1][App_Env1][UserType1</t>
  </si>
  <si>
    <t>Salt_Login][Select_Country][Copy_TC_to_TC][CountryLoadBeforeExecution][CheckFraudOrderInReview</t>
  </si>
  <si>
    <t>Salt_AdminLogin][Select_Country][Copy_TC_to_TC][OrderSearchTC][CountryLoadBeforeExecution][PackOrder][PickUpOrder</t>
  </si>
  <si>
    <t>Salt_AdminLogin][Select_Country][Copy_TC_to_TC][OrderSearchTC][CountryLoadBeforeExecution][AdminCancelPendingUnpckingStore</t>
  </si>
  <si>
    <t>Salt_AdminLogin][Select_Country][Copy_TC_to_TC][CountryLoadBeforeExecution][CancelPendingPackingStoreAndHome</t>
  </si>
  <si>
    <t>Salt_AdminLogin][Select_Country][Copy_TC_to_TC][CheckCallCenterOptions][OrderSearchTC][SelectStore][PackOrderFirst][ChangeOrderID][ChangePickUpDate][Salt_Logout</t>
  </si>
  <si>
    <t>Fees</t>
  </si>
  <si>
    <t>Buyback Ref</t>
  </si>
  <si>
    <t>BuyBack Text</t>
  </si>
  <si>
    <t>BuyBack Name</t>
  </si>
  <si>
    <t>App_Name1</t>
  </si>
  <si>
    <t>App_Env1</t>
  </si>
  <si>
    <t>UserType1</t>
  </si>
  <si>
    <t>5,00</t>
  </si>
  <si>
    <t>FR40040982</t>
  </si>
  <si>
    <t>\\gb-pb-gec-vt5\Batch\BPay\AU\Import</t>
  </si>
  <si>
    <t>Jack Smee</t>
  </si>
  <si>
    <t>BuyBackConfigurationCheckOnFullSiteMultiProd</t>
  </si>
  <si>
    <t>No fees on your return, save by adding our $0 Fee Buy Back
Don't lose out. Take out our $0 Fee Buy Back and we'll buy back your unused foreign currency, commission free, when you return.</t>
  </si>
  <si>
    <t>Travelex Rate Advantage</t>
  </si>
  <si>
    <t>Salt_AdminLoginAnotherInstance</t>
  </si>
  <si>
    <t>URL][UserID][Password</t>
  </si>
  <si>
    <t>0:00:01:21</t>
  </si>
  <si>
    <t>Salt_Login][EnterFirstOrderDetailForAdmin][HandleSecurityAlert][BuyBackConfigurationCheckOnFullSite][EnterShippingLocationForAdmin][SelectFulfilmentOptionForAdmin][DeliveryDateForAdmin][PayForAdmin][ConfirmationForAdmin][Salt_Logout][Salt_AdminLoginAnotherInstance][Select_Country][BybackNumber][Salt_Logout</t>
  </si>
  <si>
    <t>Salt_Login][Salt_Logout][Salt_AdminLoginAnotherInstance][Select_Country][BybackNumber][Salt_Logout</t>
  </si>
  <si>
    <t>AUD:-:1][AUD:-:2][AUD:-:3][AUD:-:4][AUD:-:5][AUD:-:6][AUD:-:7][AUD:-:8</t>
  </si>
  <si>
    <t>USD:-:1][USD:-:2][USD:-:3][USD:-:4][USD:-:5][USD:-:6][USD:-:7][USD:-:8</t>
  </si>
  <si>
    <t>691.09:-:1][691.09:-:2][691.09:-:3][691.09:-:4][691.09:-:5][691.09:-:6][691.09:-:7][691.09:-:8</t>
  </si>
  <si>
    <t>AU40041139</t>
  </si>
  <si>
    <t>JRHW-CL3N</t>
  </si>
  <si>
    <t>0:00:07:50</t>
  </si>
  <si>
    <t>BuyBackConfigurationTwoCashStorePick</t>
  </si>
  <si>
    <t>MakeBuyBackActiveForCountryAndPartner</t>
  </si>
  <si>
    <t>5.00</t>
  </si>
  <si>
    <t>Salt_AdminLogin][Select_Country][MakeBuybackActiveForCountry][MakeBuybackActiveForPartner</t>
  </si>
  <si>
    <t>Vijay</t>
  </si>
  <si>
    <t>Vik</t>
  </si>
  <si>
    <t>0:00:06:21</t>
  </si>
  <si>
    <t>0:00:07:01</t>
  </si>
  <si>
    <t>0:00:06:07</t>
  </si>
  <si>
    <t>0:00:06:11</t>
  </si>
  <si>
    <t>0:00:06:04</t>
  </si>
  <si>
    <t>0:00:06:09</t>
  </si>
  <si>
    <t>0:00:06:41</t>
  </si>
  <si>
    <t>0:00:06:16</t>
  </si>
  <si>
    <t>0:00:05:53</t>
  </si>
  <si>
    <t>0:00:06:26</t>
  </si>
  <si>
    <t>CancelledBankTransferPandingBpay</t>
  </si>
  <si>
    <t>CancelBankTransBpay</t>
  </si>
  <si>
    <t>Salt_AdminLogin][Select_Country][Copy_TC_to_TC][CountryLoadBeforeExecution][CancelBankTransBpay</t>
  </si>
  <si>
    <t>Need only store name</t>
  </si>
  <si>
    <t>Salt_AdminLogin][Select_Country][Copy_TC_to_TC][BybackNumber</t>
  </si>
  <si>
    <t>BuyBack Name][Fees</t>
  </si>
  <si>
    <t>ValidateBuyBackOnConfirmationPage</t>
  </si>
  <si>
    <t>Salt_Login][EnterFirstOrderDetailForAdmin][HandleSecurityAlert][AddOrder][BuyBackConfigurationCheckOnFullSite][EnterShippingLocationForAdmin][SelectFulfilmentOptionForAdmin][DeliveryDateForAdmin][PayForAdmin][ConfirmationForAdmin][ValidateBuyBackOnConfirmationPage][Salt_Logout</t>
  </si>
  <si>
    <t>Euro - EUR</t>
  </si>
  <si>
    <t>ExpiryDays</t>
  </si>
  <si>
    <t>ExpiryDays][Fees][LST_SALT_Admin{Country}</t>
  </si>
  <si>
    <t>600:-:1][600.00:-:2][600:-:3][:-:4][:-:5][600.00:-:6][600.00:-:7][600.00:-:8][600.00:-:9][600.00:-:10</t>
  </si>
  <si>
    <t>EUR:-:1][EUR:-:2][EUR:-:3][EUR:-:4][EUR:-:5][EUR:-:6][EUR:-:7][EUR:-:8</t>
  </si>
  <si>
    <t>959.23:-:1][959.23:-:2][959.23:-:3][959.23:-:4][959.23:-:5][959.23:-:6][1041.18:-:7][1041.18:-:8</t>
  </si>
  <si>
    <t>TC 32</t>
  </si>
  <si>
    <t>TC 33</t>
  </si>
  <si>
    <t>BuyBackConfigurationSingleCashStorePick</t>
  </si>
  <si>
    <t>TC 34,TC35</t>
  </si>
  <si>
    <t>Orders</t>
  </si>
  <si>
    <t>NOD_SALT_Confirmation{Order_Number}][Buyback Ref][Orders</t>
  </si>
  <si>
    <t>Salt_Login][EnterFirstOrderDetailForAdmin][HandleSecurityAlert][BuyBackConfigurationCheckOnFullSite][EnterShippingLocationForAdmin][SelectFulfilmentOptionForAdmin][DeliveryDateForAdmin][PayForAdmin][ConfirmationForAdmin][ValidateBuyBackOnConfirmationPage][Salt_Logout</t>
  </si>
  <si>
    <t>GetBuyBackNumberForMultiple</t>
  </si>
  <si>
    <t>Multiple</t>
  </si>
  <si>
    <t>BPAYbillpayBankTransferPaymentIgnore</t>
  </si>
  <si>
    <t>Bank_Transfer</t>
  </si>
  <si>
    <t>BankTransferPaymentFull</t>
  </si>
  <si>
    <t>BankTransferPaymentPartial</t>
  </si>
  <si>
    <t>BankTransferPaymentHigher</t>
  </si>
  <si>
    <t>BankTransferPaymentIgnore</t>
  </si>
  <si>
    <t>\\gb-pb-gec-vt5\Batch\Swift\AU\Unprocessed</t>
  </si>
  <si>
    <t>AU40041345</t>
  </si>
  <si>
    <t>AU40041352</t>
  </si>
  <si>
    <t>0:00:00:06</t>
  </si>
  <si>
    <t>0:00:00:05</t>
  </si>
  <si>
    <t>CancelBPAYBankTransferPending</t>
  </si>
  <si>
    <t>Salt_AdminLogin][Select_Country][Copy_TC_to_TC][CountryLoadBeforeExecution][CancelBPAYBankTransferPending</t>
  </si>
  <si>
    <t>CancellBPayBankTransferPending</t>
  </si>
  <si>
    <t>PrintUnpackOrder</t>
  </si>
  <si>
    <t>Salt_AdminLogin][Select_Country][SelectStore][PrintUnpackOrder</t>
  </si>
  <si>
    <t>0259 - Bondi Junction</t>
  </si>
  <si>
    <t>ChangeOrderIDCompletedCallCentre</t>
  </si>
  <si>
    <t>ChangeIDDetails</t>
  </si>
  <si>
    <t>AU60046307</t>
  </si>
  <si>
    <t>RunTime</t>
  </si>
  <si>
    <t>0245 - Bondi Junction</t>
  </si>
  <si>
    <t>Last Name</t>
  </si>
  <si>
    <t>ID Number</t>
  </si>
  <si>
    <t>111111</t>
  </si>
  <si>
    <t>ChangePickUpLocationPackedOrder</t>
  </si>
  <si>
    <t>Test</t>
  </si>
  <si>
    <t>Benin</t>
  </si>
  <si>
    <t>Feb</t>
  </si>
  <si>
    <t>Automation Testing</t>
  </si>
  <si>
    <t>AU40039489</t>
  </si>
  <si>
    <t>AU40040677</t>
  </si>
  <si>
    <t>Bankstown</t>
  </si>
  <si>
    <t>Salt_AdminLogin][Select_Country][Copy_TC_to_TC][ChangeOrderID][ChangeIDDetails</t>
  </si>
  <si>
    <t>Salt_AdminLogin][Select_Country][Copy_TC_to_TC][OrderSearchTC][SelectStore][ChangePickupLocation</t>
  </si>
  <si>
    <t>ChangePickupLocation</t>
  </si>
  <si>
    <t>OrderNumber][StoreName][Reason][New Store Name</t>
  </si>
  <si>
    <t>Reason</t>
  </si>
  <si>
    <t>New Store Name</t>
  </si>
  <si>
    <t>0221 - Queen Victoria Building</t>
  </si>
  <si>
    <t>SearchOrderThroughCallCentre</t>
  </si>
  <si>
    <t>Salt_AdminLogin][Select_Country][Copy_TC_to_TC][SearchOrderThroughCallCentre</t>
  </si>
  <si>
    <t>http://buy.rgt.salt.travelex.com.au/au/Home</t>
  </si>
  <si>
    <t>Country][Selected_DeliveryCost][NOD_SALT_Confirmation{Order_Number}][EDT_SALT_Pay{Street_Address}][EDT_SALT_Pay{Apartment_Number}][EDT_SALT_Pay{City}][EDT_SALT_Pay{Zip}][Order_Total</t>
  </si>
  <si>
    <t>USA</t>
  </si>
  <si>
    <t>AUD:-:1][AUD:-:2][AUD:-:3</t>
  </si>
  <si>
    <t>Salt_AdminLogin][Select_Country][CountryLoadBeforeExecution][Copy_TC_to_TC][OrderSearchTC][SelectStore][OrdersToPack</t>
  </si>
  <si>
    <t>OrderNumber][FromDate][ToDate</t>
  </si>
  <si>
    <t>FromDate</t>
  </si>
  <si>
    <t>ToDate</t>
  </si>
  <si>
    <t>08 May 2014</t>
  </si>
  <si>
    <t>19 May 2014</t>
  </si>
  <si>
    <t>Salt_AdminLogin][Select_Country][Copy_TC_to_TC][OrderSearchTC][SelectStore][OrdersToPickUp</t>
  </si>
  <si>
    <t>Last Name][ID Number][OrderNumber</t>
  </si>
  <si>
    <t>Salt_Login][Select_Country][Copy_TC_to_TC][SelectStore][GetDataForDayEndOrdersPackedInSafe][SelectStore][DayEndOrdersPackedInSafe</t>
  </si>
  <si>
    <t>OrderNumber][ProductTotal][PickupDate][ProductType][Currency][ForeignAmt][DomesticAmt][Country][CashPassportPAN][CustomerName][OrderTotal</t>
  </si>
  <si>
    <t>Salt_Login][Select_Country][Copy_TC_to_TC][GetDataForDayEndOrdersCompleted][SelectStore][DayEndOrdersCompleted</t>
  </si>
  <si>
    <t>CloseAdminCallCentre</t>
  </si>
  <si>
    <t>Salt_Login][Select_Country][CheckCallCenterOptions][VerifySubmitNewOrderOption][CloseAdminCallCentre][HandleSecurityAlert][EnterShippingLocationForAdmin][SelectFulfilmentOptionForAdmin][DeliveryDateForAdmin][PayForAdmin][ConfirmationForAdmin][Salt_Logout</t>
  </si>
  <si>
    <t>OrderNumber,StoreName</t>
  </si>
  <si>
    <t>Rate</t>
  </si>
  <si>
    <t>SecondRate</t>
  </si>
  <si>
    <t>BuyBack Text][BuyBack Name][LST_SALT_Admin{Country}][Rate][SecondRate][Fees</t>
  </si>
  <si>
    <t>0.6255 EUR</t>
  </si>
  <si>
    <t>0.8889 CAD</t>
  </si>
  <si>
    <t>No fees on your return, save by adding our $0 Fee Buy BackDon't lose out. Take out our $0 Fee Buy Back and we'll buy back your unused foreign currency, commission free, when you return</t>
  </si>
  <si>
    <t>EUR:-:1][EUR:-:2][EUR:-:3</t>
  </si>
  <si>
    <t>0.6567</t>
  </si>
  <si>
    <t>0.6255</t>
  </si>
  <si>
    <t>OrderNumber][Spot Rate][Original Rate][Custom rate][Cancellation Fee][Country][LST_SALT_Admin{Country}</t>
  </si>
  <si>
    <t>citibank Global</t>
  </si>
  <si>
    <t>NZ40044943</t>
  </si>
  <si>
    <t>Austria</t>
  </si>
  <si>
    <t>Mar</t>
  </si>
  <si>
    <t>PartnerName][OrderNumber][EDT_SALT_ChangeID{NewCustName}][LST_SALT_ChangeID{IDType}][LST_SALT_ChangeID{Country}][LST_SALT_ChangeID{State}][EDT_SALT_ChangeID{IdNumber}][LST_SALT_ChangeID{ExpiryMonth}][LST_SALT_ChangeID{ExpiryDay}][LST_SALT_ChangeID{ExpiryYear}][LST_SALT_ChangeID{DOBMonth}][LST_SALT_ChangeID{DOBDay}][LST_SALT_ChangeID{DOBYear}][WEA_SALT_ChangeID{Reason}</t>
  </si>
  <si>
    <t/>
  </si>
  <si>
    <t>5386350000031510</t>
  </si>
  <si>
    <t>C:\Users\kapalev\Desktop\BPAY</t>
  </si>
  <si>
    <t>Salt_AdminLogin][Select_Country][Copy_TC_to_TC][CountryLoadBeforeExecution][BPAY_Payments</t>
  </si>
  <si>
    <t>Bpay</t>
  </si>
  <si>
    <t>\\gb-pb-gec-vt5\Batch\Swift\AU\Import</t>
  </si>
  <si>
    <t>FullPaymentBankTransfer</t>
  </si>
  <si>
    <t>PartialPaymentBankTransfer</t>
  </si>
  <si>
    <t>HigherPaymentBankTransfer</t>
  </si>
  <si>
    <t>IgnorePaymentBankTransfer</t>
  </si>
  <si>
    <t>18</t>
  </si>
  <si>
    <t>AU40048720</t>
  </si>
  <si>
    <t>AU40048753</t>
  </si>
  <si>
    <t>Salt_AdminLogin][Select_Country][Copy_TC_to_TC][OrderSearchTC][CountryLoadBeforeExecution][CancelPendingPackingStoreAndHome</t>
  </si>
  <si>
    <t>CancelBPayPaidPart</t>
  </si>
  <si>
    <t>CancelBPayPaidFull</t>
  </si>
  <si>
    <t>CancelAndRefundBapyFullPay</t>
  </si>
  <si>
    <t>Salt_AdminLogin][Select_Country][Copy_TC_to_TC][Select_Country][CountryLoadBeforeExecution][RefundDashBoard][RefundDashboardCancellation</t>
  </si>
  <si>
    <t>AU40048282</t>
  </si>
  <si>
    <t>OrdersToUnPackAdmin</t>
  </si>
  <si>
    <t>rugved.albal@travelex.com</t>
  </si>
  <si>
    <t>PreReqUnpack</t>
  </si>
  <si>
    <t>Salt_AdminLogin][Select_Country][Copy_TC_to_TC][OrderSearchTC][PackOrder][SelectStore][PreReqUnpack][SelectStore][OrdersToUnPackAdmin</t>
  </si>
  <si>
    <t xml:space="preserve"> </t>
  </si>
  <si>
    <t>0:00:05:58</t>
  </si>
  <si>
    <t>AU40057473</t>
  </si>
  <si>
    <t>0:00:06:38</t>
  </si>
  <si>
    <t>Pass</t>
  </si>
  <si>
    <t>AU40057481</t>
  </si>
  <si>
    <t>0:00:06:30</t>
  </si>
  <si>
    <t>AU40057499</t>
  </si>
  <si>
    <t>0:00:06:08</t>
  </si>
  <si>
    <t>AU40057507</t>
  </si>
  <si>
    <t>0:00:06:35</t>
  </si>
  <si>
    <t>AU40057523</t>
  </si>
  <si>
    <t>0:00:06:23</t>
  </si>
  <si>
    <t>AU40057531</t>
  </si>
  <si>
    <t>0:00:06:18</t>
  </si>
  <si>
    <t>AU40057564</t>
  </si>
  <si>
    <t>0:00:06:13</t>
  </si>
  <si>
    <t>0:00:06:20</t>
  </si>
  <si>
    <t>AU40057622</t>
  </si>
  <si>
    <t>AU40057663</t>
  </si>
  <si>
    <t>0:00:05:55</t>
  </si>
  <si>
    <t>AU40057754</t>
  </si>
  <si>
    <t>AU40057796</t>
  </si>
  <si>
    <t>0:00:06:15</t>
  </si>
  <si>
    <t>AU40057812</t>
  </si>
  <si>
    <t>AU40057838</t>
  </si>
  <si>
    <t>0:00:06:00</t>
  </si>
  <si>
    <t>AU40057846</t>
  </si>
  <si>
    <t>0:00:06:39</t>
  </si>
  <si>
    <t>AU40057853</t>
  </si>
  <si>
    <t>0:00:06:43</t>
  </si>
  <si>
    <t>AU40057861</t>
  </si>
  <si>
    <t>AU40057903</t>
  </si>
  <si>
    <t>0:00:06:12</t>
  </si>
  <si>
    <t>AU40057911</t>
  </si>
  <si>
    <t>0:00:06:17</t>
  </si>
  <si>
    <t>0:00:00:16</t>
  </si>
  <si>
    <t>0:00:02:19</t>
  </si>
  <si>
    <t>0:00:02:20</t>
  </si>
  <si>
    <t>0:00:02:30</t>
  </si>
  <si>
    <t>0:00:03:44</t>
  </si>
  <si>
    <t>0:00:05:05</t>
  </si>
  <si>
    <t>Fail</t>
  </si>
  <si>
    <t>959.23:-:1][959.23:-:2][959.23:-:3</t>
  </si>
  <si>
    <t>AU40058174</t>
  </si>
  <si>
    <t>0:00:08:51</t>
  </si>
  <si>
    <t>AUD:-:1][AUD:-:2][AUD:-:3][AUD:-:4</t>
  </si>
  <si>
    <t>CAD:-:1][CAD:-:2][CAD:-:3][CAD:-:4</t>
  </si>
  <si>
    <t>449.99:-:1][449.99:-:2][449.99:-:3][449.99:-:4</t>
  </si>
  <si>
    <t>400:-:1][400.00:-:2][600.00:-:3][400.00:-:4</t>
  </si>
  <si>
    <t>EUR:-:1][EUR:-:2][EUR:-:3][EUR:-:4</t>
  </si>
  <si>
    <t>639.49:-:1][639.49:-:2][959.23:-:3][639.49:-:4</t>
  </si>
  <si>
    <t>AU40058182</t>
  </si>
  <si>
    <t>0:00:09:22</t>
  </si>
  <si>
    <t>DN4W-EG3P</t>
  </si>
  <si>
    <t>0:00:01:13</t>
  </si>
  <si>
    <t>J0NW-M2R7|JW1A-7R11</t>
  </si>
  <si>
    <t>0:00:01:46</t>
  </si>
  <si>
    <t>0:00:02:55</t>
  </si>
  <si>
    <t>0:00:02:29</t>
  </si>
  <si>
    <t>0:00:02:02</t>
  </si>
  <si>
    <t>0:00:02:00</t>
  </si>
  <si>
    <t>AU40058935</t>
  </si>
  <si>
    <t>AU40058976</t>
  </si>
  <si>
    <t>UnpackCashOrder</t>
  </si>
  <si>
    <t>UnpackCashPassportOrder</t>
  </si>
  <si>
    <t>UnpackCashAndCashPassPortOrder</t>
  </si>
  <si>
    <t>Jayesh</t>
  </si>
  <si>
    <t>Rajesh</t>
  </si>
  <si>
    <t>Shawn</t>
  </si>
  <si>
    <t>Ron</t>
  </si>
  <si>
    <t>Vivek</t>
  </si>
  <si>
    <t>Rama</t>
  </si>
  <si>
    <t>Raju</t>
  </si>
  <si>
    <t>Salt_Login][EnterFirstOrderDetailForAdmin][AddOrder][EnterShippingLocationForAdmin][SelectFulfilmentOptionForAdmin][DeliveryDateForAdmin][PayForAdmin][ConfirmationForAdmin</t>
  </si>
  <si>
    <t>Y</t>
  </si>
  <si>
    <t>Start_Test</t>
  </si>
  <si>
    <t>NZD:-:1][NZD:-:2</t>
  </si>
  <si>
    <t>390.7:-:1][390.70:-:2</t>
  </si>
  <si>
    <t>300:-:1][300.00:-:2][300.00:-:3</t>
  </si>
  <si>
    <t>479.62:-:1][479.62:-:2][479.62:-:3</t>
  </si>
  <si>
    <t>0:00:10:09</t>
  </si>
  <si>
    <t>CancelOrder</t>
  </si>
  <si>
    <t>AU40053852</t>
  </si>
  <si>
    <t>Validation</t>
  </si>
  <si>
    <t>OrderNumber][Validation</t>
  </si>
  <si>
    <t>AU40060394</t>
  </si>
  <si>
    <t>0:00:08:39</t>
  </si>
  <si>
    <t>Salt_AdminLogin][Copy_TC_to_TC][Select_Country][CancelOrder][OrderSearchTC][SelectStore][OrdersToUnPackAdmin</t>
  </si>
  <si>
    <t>0:00:07:34</t>
  </si>
  <si>
    <t>UnpackOrederStoreTransfer</t>
  </si>
  <si>
    <t>AU40051377</t>
  </si>
  <si>
    <t>0:00:05:06</t>
  </si>
  <si>
    <t>AU40060501</t>
  </si>
  <si>
    <t>0:00:13:13</t>
  </si>
  <si>
    <t>AddStoreInAdmin</t>
  </si>
  <si>
    <t>StoreLeadTimeValidation</t>
  </si>
  <si>
    <t>BTN_AddStore</t>
  </si>
  <si>
    <t>EDT_AddStore_{SiteID}</t>
  </si>
  <si>
    <t>EDT_AddStore_{StorePREL}</t>
  </si>
  <si>
    <t>EDT_AddStore_{StoreFidelity}</t>
  </si>
  <si>
    <t>LST_AddStore_{StoreOwnPart}</t>
  </si>
  <si>
    <t>LST_AddStore_{StoreArea}</t>
  </si>
  <si>
    <t>EDT_AddStore_{StoreAdd1}</t>
  </si>
  <si>
    <t>EDT_AddStore_{StoreAdd2}</t>
  </si>
  <si>
    <t>EDT_AddStore_{StoreCity}</t>
  </si>
  <si>
    <t>LST_AddStore_{StoreState}</t>
  </si>
  <si>
    <t>EDT_AddStore_{StoreZip}</t>
  </si>
  <si>
    <t>EDT_AddStore_{StoreLatitude}</t>
  </si>
  <si>
    <t>EDT_AddStore_{StoreLongitude}</t>
  </si>
  <si>
    <t>LST_AddStore_{StoreTime}</t>
  </si>
  <si>
    <t>CHK_AddStore_{StoreLocator}</t>
  </si>
  <si>
    <t>LST_AddStore_{StoreType}</t>
  </si>
  <si>
    <t>CHK_AddStore_{StoreATM}</t>
  </si>
  <si>
    <t>EDT_AddStore_{StoreEmailID}</t>
  </si>
  <si>
    <t>EDT_AddStore_{StorePhoneID}</t>
  </si>
  <si>
    <t>EDT_AddStore_{StoreFax}</t>
  </si>
  <si>
    <t>CHK_AddStore_{StorePhNo}</t>
  </si>
  <si>
    <t>CHK_AddStore_{StoreStatusIsActive}</t>
  </si>
  <si>
    <t>CHK_AddStore_{StoreOnlineStatus}</t>
  </si>
  <si>
    <t>LST_AddStore_{StoreHolidayProfile}</t>
  </si>
  <si>
    <t>CHK_AddStore_{EmailIDDisplay}</t>
  </si>
  <si>
    <r>
      <t>EDT_AddStore_</t>
    </r>
    <r>
      <rPr>
        <b/>
        <sz val="10"/>
        <color theme="1"/>
        <rFont val="Calibri"/>
        <family val="2"/>
        <scheme val="minor"/>
      </rPr>
      <t>{SiteID}</t>
    </r>
  </si>
  <si>
    <r>
      <t>EDT_AddStore_</t>
    </r>
    <r>
      <rPr>
        <b/>
        <sz val="10"/>
        <color theme="1"/>
        <rFont val="Calibri"/>
        <family val="2"/>
        <scheme val="minor"/>
      </rPr>
      <t>{StoreName}</t>
    </r>
  </si>
  <si>
    <r>
      <t>EDT_AddStore_</t>
    </r>
    <r>
      <rPr>
        <b/>
        <sz val="10"/>
        <color theme="1"/>
        <rFont val="Calibri"/>
        <family val="2"/>
        <scheme val="minor"/>
      </rPr>
      <t>{StorePREL}</t>
    </r>
  </si>
  <si>
    <r>
      <t>EDT_AddStore_</t>
    </r>
    <r>
      <rPr>
        <b/>
        <sz val="10"/>
        <color theme="1"/>
        <rFont val="Calibri"/>
        <family val="2"/>
        <scheme val="minor"/>
      </rPr>
      <t>{StoreFidelity}</t>
    </r>
  </si>
  <si>
    <r>
      <t>LST_AddStore_</t>
    </r>
    <r>
      <rPr>
        <b/>
        <sz val="10"/>
        <color theme="1"/>
        <rFont val="Calibri"/>
        <family val="2"/>
        <scheme val="minor"/>
      </rPr>
      <t>{StoreOwnPart}</t>
    </r>
  </si>
  <si>
    <r>
      <t>LST_AddStore_</t>
    </r>
    <r>
      <rPr>
        <b/>
        <sz val="10"/>
        <color theme="1"/>
        <rFont val="Calibri"/>
        <family val="2"/>
        <scheme val="minor"/>
      </rPr>
      <t>{StoreArea}</t>
    </r>
  </si>
  <si>
    <r>
      <t>EDT_AddStore_</t>
    </r>
    <r>
      <rPr>
        <b/>
        <sz val="10"/>
        <color theme="1"/>
        <rFont val="Calibri"/>
        <family val="2"/>
        <scheme val="minor"/>
      </rPr>
      <t>{StoreAdd1}</t>
    </r>
  </si>
  <si>
    <r>
      <t>EDT_AddStore_</t>
    </r>
    <r>
      <rPr>
        <b/>
        <sz val="10"/>
        <color theme="1"/>
        <rFont val="Calibri"/>
        <family val="2"/>
        <scheme val="minor"/>
      </rPr>
      <t>{StoreAdd2}</t>
    </r>
  </si>
  <si>
    <r>
      <t>EDT_AddStore_</t>
    </r>
    <r>
      <rPr>
        <b/>
        <sz val="10"/>
        <color theme="1"/>
        <rFont val="Calibri"/>
        <family val="2"/>
        <scheme val="minor"/>
      </rPr>
      <t>{StoreCity}</t>
    </r>
  </si>
  <si>
    <r>
      <t>LST_AddStore_</t>
    </r>
    <r>
      <rPr>
        <b/>
        <sz val="10"/>
        <color theme="1"/>
        <rFont val="Calibri"/>
        <family val="2"/>
        <scheme val="minor"/>
      </rPr>
      <t>{StoreState}</t>
    </r>
  </si>
  <si>
    <r>
      <t>EDT_AddStore_</t>
    </r>
    <r>
      <rPr>
        <b/>
        <sz val="10"/>
        <color theme="1"/>
        <rFont val="Calibri"/>
        <family val="2"/>
        <scheme val="minor"/>
      </rPr>
      <t>{StoreZip}</t>
    </r>
  </si>
  <si>
    <r>
      <t>EDT_AddStore_</t>
    </r>
    <r>
      <rPr>
        <b/>
        <sz val="10"/>
        <color theme="1"/>
        <rFont val="Calibri"/>
        <family val="2"/>
        <scheme val="minor"/>
      </rPr>
      <t>{StoreLatitude}</t>
    </r>
  </si>
  <si>
    <r>
      <t>EDT_AddStore_</t>
    </r>
    <r>
      <rPr>
        <b/>
        <sz val="10"/>
        <color theme="1"/>
        <rFont val="Calibri"/>
        <family val="2"/>
        <scheme val="minor"/>
      </rPr>
      <t>{StoreLongitude}</t>
    </r>
  </si>
  <si>
    <r>
      <t>LST_AddStore_</t>
    </r>
    <r>
      <rPr>
        <b/>
        <sz val="10"/>
        <color theme="1"/>
        <rFont val="Calibri"/>
        <family val="2"/>
        <scheme val="minor"/>
      </rPr>
      <t>{StoreTime}</t>
    </r>
  </si>
  <si>
    <r>
      <t>CHK_AddStore_</t>
    </r>
    <r>
      <rPr>
        <b/>
        <sz val="10"/>
        <color theme="1"/>
        <rFont val="Calibri"/>
        <family val="2"/>
        <scheme val="minor"/>
      </rPr>
      <t>{StoreLocator}</t>
    </r>
  </si>
  <si>
    <r>
      <t>LST_AddStore_</t>
    </r>
    <r>
      <rPr>
        <b/>
        <sz val="10"/>
        <color theme="1"/>
        <rFont val="Calibri"/>
        <family val="2"/>
        <scheme val="minor"/>
      </rPr>
      <t>{StoreType}</t>
    </r>
  </si>
  <si>
    <r>
      <t>CHK_AddStore_</t>
    </r>
    <r>
      <rPr>
        <b/>
        <sz val="10"/>
        <color theme="1"/>
        <rFont val="Calibri"/>
        <family val="2"/>
        <scheme val="minor"/>
      </rPr>
      <t>{StoreATM}</t>
    </r>
  </si>
  <si>
    <r>
      <t>EDT_AddStore_</t>
    </r>
    <r>
      <rPr>
        <b/>
        <sz val="10"/>
        <color theme="1"/>
        <rFont val="Calibri"/>
        <family val="2"/>
        <scheme val="minor"/>
      </rPr>
      <t>{StoreEmailID}</t>
    </r>
  </si>
  <si>
    <r>
      <t>EDT_AddStore_</t>
    </r>
    <r>
      <rPr>
        <b/>
        <sz val="10"/>
        <color theme="1"/>
        <rFont val="Calibri"/>
        <family val="2"/>
        <scheme val="minor"/>
      </rPr>
      <t>{StorePhoneID}</t>
    </r>
  </si>
  <si>
    <r>
      <t>EDT_AddStore_</t>
    </r>
    <r>
      <rPr>
        <b/>
        <sz val="10"/>
        <color theme="1"/>
        <rFont val="Calibri"/>
        <family val="2"/>
        <scheme val="minor"/>
      </rPr>
      <t>{StoreFax}</t>
    </r>
  </si>
  <si>
    <r>
      <t>CHK_AddStore_</t>
    </r>
    <r>
      <rPr>
        <b/>
        <sz val="10"/>
        <color theme="1"/>
        <rFont val="Calibri"/>
        <family val="2"/>
        <scheme val="minor"/>
      </rPr>
      <t>{StorePhNo}</t>
    </r>
  </si>
  <si>
    <r>
      <t>CHK_AddStore_</t>
    </r>
    <r>
      <rPr>
        <b/>
        <sz val="10"/>
        <color theme="1"/>
        <rFont val="Calibri"/>
        <family val="2"/>
        <scheme val="minor"/>
      </rPr>
      <t>{StoreStatusIsActive}</t>
    </r>
  </si>
  <si>
    <r>
      <t>CHK_AddStore_</t>
    </r>
    <r>
      <rPr>
        <b/>
        <sz val="10"/>
        <color theme="1"/>
        <rFont val="Calibri"/>
        <family val="2"/>
        <scheme val="minor"/>
      </rPr>
      <t>{StoreOnlineStatus}</t>
    </r>
  </si>
  <si>
    <r>
      <t>LST_AddStore_</t>
    </r>
    <r>
      <rPr>
        <b/>
        <sz val="10"/>
        <color theme="1"/>
        <rFont val="Calibri"/>
        <family val="2"/>
        <scheme val="minor"/>
      </rPr>
      <t>{StoreHolidayProfile}</t>
    </r>
  </si>
  <si>
    <r>
      <t>CHK_AddStore_</t>
    </r>
    <r>
      <rPr>
        <b/>
        <sz val="10"/>
        <color theme="1"/>
        <rFont val="Calibri"/>
        <family val="2"/>
        <scheme val="minor"/>
      </rPr>
      <t>{EmailIDDisplay}</t>
    </r>
  </si>
  <si>
    <t>0251</t>
  </si>
  <si>
    <t>NSW off airport, McGarrity, Lorna</t>
  </si>
  <si>
    <t>c/- HSBC</t>
  </si>
  <si>
    <t>-33.8671</t>
  </si>
  <si>
    <t>151.2070</t>
  </si>
  <si>
    <t>(UTC+10:00) Canberra, Melbourne, Sydney</t>
  </si>
  <si>
    <t>AutoTest@travelex.com</t>
  </si>
  <si>
    <t>0288613712</t>
  </si>
  <si>
    <t>TRUE</t>
  </si>
  <si>
    <t>NSW Holidays</t>
  </si>
  <si>
    <t>Automation Test Store SALT</t>
  </si>
  <si>
    <t>City</t>
  </si>
  <si>
    <t>ValidateLeadTime</t>
  </si>
  <si>
    <t>Automation SALT</t>
  </si>
  <si>
    <t>AU40030058</t>
  </si>
  <si>
    <t>AddEditNewFulFilmentOption</t>
  </si>
  <si>
    <t>Is True</t>
  </si>
  <si>
    <t>Name</t>
  </si>
  <si>
    <t>strFulFilmentType</t>
  </si>
  <si>
    <t>FirstAvailableDate</t>
  </si>
  <si>
    <t>ContinueFor</t>
  </si>
  <si>
    <t>FulFilment Type</t>
  </si>
  <si>
    <t>Advertised Delivery Days</t>
  </si>
  <si>
    <t>Delivery Days</t>
  </si>
  <si>
    <t>Shipping Time</t>
  </si>
  <si>
    <t>All</t>
  </si>
  <si>
    <t>ValidationOnSelectedFulfilmentOpt</t>
  </si>
  <si>
    <t>ValidationOnFulfilmentPage</t>
  </si>
  <si>
    <t>AddEditNewFulFilmentOption][ValidationOnFulfilmentPage][ValidationOnSelectedFulfilmentOpt</t>
  </si>
  <si>
    <t>Existing/New</t>
  </si>
  <si>
    <t>Is True][Name][FirstAvailableDate][ContinueFor][FulFilment Type][Fees][Advertised Delivery Days][Delivery Days][Shipping Time][Existing/New</t>
  </si>
  <si>
    <t>New</t>
  </si>
  <si>
    <t>Automation27:08:2014:13:20:30</t>
  </si>
  <si>
    <t>NewFulfilmentOptionOnPartner</t>
  </si>
  <si>
    <t>SelectPartnerLink</t>
  </si>
  <si>
    <t>FulfillmentValidation</t>
  </si>
  <si>
    <t>Country/Partner</t>
  </si>
  <si>
    <t>LST_SALT_Admin{Country}][Country/Partner</t>
  </si>
  <si>
    <t>Partner</t>
  </si>
  <si>
    <t>0:00:01:23</t>
  </si>
  <si>
    <t>ValidateNewFulfilmentTableNames</t>
  </si>
  <si>
    <t>0:00:00:15</t>
  </si>
  <si>
    <t>Salt_AdminLogin][Select_Country][ValidateLeadTime</t>
  </si>
  <si>
    <t>StoreType</t>
  </si>
  <si>
    <t>StoreName][StoreType</t>
  </si>
  <si>
    <t>Retail store</t>
  </si>
  <si>
    <t>Airport store</t>
  </si>
  <si>
    <t>Implant store</t>
  </si>
  <si>
    <t>Partner store</t>
  </si>
  <si>
    <t>Miranda</t>
  </si>
  <si>
    <t>Adelaide Airport T1 Arrivals</t>
  </si>
  <si>
    <t>Hobart</t>
  </si>
  <si>
    <t>1 Queens Road</t>
  </si>
  <si>
    <t>0:00:01:59</t>
  </si>
  <si>
    <t>0:00:01:53</t>
  </si>
  <si>
    <t>EditStoreLeadTime</t>
  </si>
  <si>
    <r>
      <t>EDT_SearchStore_</t>
    </r>
    <r>
      <rPr>
        <b/>
        <sz val="10"/>
        <color theme="1"/>
        <rFont val="Calibri"/>
        <family val="2"/>
        <scheme val="minor"/>
      </rPr>
      <t>{StoreName}</t>
    </r>
  </si>
  <si>
    <t>Salt_AdminLogin][Select_Country][EditStoreLeadTime</t>
  </si>
  <si>
    <t>0:00:03:11</t>
  </si>
  <si>
    <t>0:00:01:56</t>
  </si>
  <si>
    <t>AddStoreValidateEditStoreLeadTime</t>
  </si>
  <si>
    <t>Salt_AdminLogin][Select_Country][AddStoreInAdmin][ValidateLeadTime][EditStoreLeadTime</t>
  </si>
  <si>
    <t>Airport store Miranda</t>
  </si>
  <si>
    <t>Retail store Miranda</t>
  </si>
  <si>
    <t>Implant store Miranda</t>
  </si>
  <si>
    <t>Partner store Miranda</t>
  </si>
  <si>
    <t>Airport</t>
  </si>
  <si>
    <t>Implant</t>
  </si>
  <si>
    <t>StoreType][StoreName</t>
  </si>
  <si>
    <t>TempFullSite</t>
  </si>
  <si>
    <t>Salt_Login][HappyPath_Page1][HappyPath_Page2][HappyPath_PaymentPage][HappyPath_ConfirmPg][HappyPath_LastPage][Salt_Logout</t>
  </si>
  <si>
    <t>HappyPath_Page1</t>
  </si>
  <si>
    <t>HomePage_URL][EDT_Purchase_ForeignCurr][EDT_Purchase_LocalAmount][EDT_Purchase_ForeignAmount][LBL_Purchase_CashCheckpoint][LBL_Purchase_CashPassCheckpoint</t>
  </si>
  <si>
    <t>HappyPath_Page2</t>
  </si>
  <si>
    <t>LNK_HappyPath_HomeDelivery][LNK_HappyPath_StorePickup][EDT_SALT_SearchStoreName][LST_AddPromo_LoyalCard][EDT_HappyPath_Vcode</t>
  </si>
  <si>
    <t>HappyPath_PaymentPage</t>
  </si>
  <si>
    <t>LST_HappyPath_Pay_Title][EDT_HappyPath_Pay_Fname][EDT_HappyPath_Pay_Lname][EDT_HappyPath_Pay_PhoneNo][EDT_HappyPath_Pay_Email][EDT_HappyPath_Pay_ConfirmEmail][EDT_HappyPath_Pay_AddressFinder][EDT_HappyPath_Pay_AddPostCode][LST_HappyPath_Pay_CardType][EDT_HappyPath_Pay_CardNo][LST_HappyPath_Pay_CardMonth][LST_HappyPath_Pay_CardYear][EDT_HappyPath_Pay_CardSec][EDT_HappyPath_Pay_DOBDate][LST_HappyPath_Pay_DOBMonth][EDT_HappyPath_Pay_DOBYear</t>
  </si>
  <si>
    <t>HappyPath_ConfirmPg</t>
  </si>
  <si>
    <t>LST_HappyPath_Pay_Title][EDT_HappyPath_Pay_Fname][EDT_HappyPath_Pay_Lname][EDT_HappyPath_Pay_PhoneNo][EDT_HappyPath_Pay_Email][EDT_HappyPath_Pay_AddressFinder][EDT_HappyPath_Pay_AddPostCode][LST_HappyPath_Pay_CardMonth][LST_HappyPath_Pay_CardYear][ConfirmPageCheck</t>
  </si>
  <si>
    <t>HappyPath_LastPage</t>
  </si>
  <si>
    <t>LST_HappyPath_Pay_Title][EDT_HappyPath_Pay_Fname][EDT_HappyPath_Pay_Lname][EDT_HappyPath_Pay_PhoneNo][EDT_HappyPath_Pay_Email][EDT_HappyPath_Pay_AddressFinder][EDT_HappyPath_Pay_AddPostCode][LST_HappyPath_Pay_CardMonth][LST_HappyPath_Pay_CardYear][LastPageCheck</t>
  </si>
  <si>
    <t>HomePage_URL</t>
  </si>
  <si>
    <t>EDT_Purchase_ForeignCurr</t>
  </si>
  <si>
    <t>EDT_Purchase_LocalAmount</t>
  </si>
  <si>
    <t>EDT_Purchase_ForeignAmount</t>
  </si>
  <si>
    <t>LBL_Purchase_CashCheckpoint</t>
  </si>
  <si>
    <t>LBL_Purchase_CashPassCheckpoint</t>
  </si>
  <si>
    <t>LNK_HappyPath_HomeDelivery</t>
  </si>
  <si>
    <t>LNK_HappyPath_StorePickup</t>
  </si>
  <si>
    <t>EDT_SALT_SearchStoreName</t>
  </si>
  <si>
    <t>LST_AddPromo_LoyalCard</t>
  </si>
  <si>
    <t>EDT_HappyPath_Vcode</t>
  </si>
  <si>
    <t>LST_HappyPath_Pay_Title</t>
  </si>
  <si>
    <t>EDT_HappyPath_Pay_Fname</t>
  </si>
  <si>
    <t>EDT_HappyPath_Pay_Lname</t>
  </si>
  <si>
    <t>EDT_HappyPath_Pay_PhoneNo</t>
  </si>
  <si>
    <t>EDT_HappyPath_Pay_Email</t>
  </si>
  <si>
    <t>EDT_HappyPath_Pay_ConfirmEmail</t>
  </si>
  <si>
    <t>EDT_HappyPath_Pay_AddressFinder</t>
  </si>
  <si>
    <t>EDT_HappyPath_Pay_AddPostCode</t>
  </si>
  <si>
    <t>LST_HappyPath_Pay_CardType</t>
  </si>
  <si>
    <t>EDT_HappyPath_Pay_CardNo</t>
  </si>
  <si>
    <t>LST_HappyPath_Pay_CardMonth</t>
  </si>
  <si>
    <t>LST_HappyPath_Pay_CardYear</t>
  </si>
  <si>
    <t>EDT_HappyPath_Pay_CardSec</t>
  </si>
  <si>
    <t>EDT_HappyPath_Pay_DOBDate</t>
  </si>
  <si>
    <t>LST_HappyPath_Pay_DOBMonth</t>
  </si>
  <si>
    <t>EDT_HappyPath_Pay_DOBYear</t>
  </si>
  <si>
    <t>ConfirmPageCheck</t>
  </si>
  <si>
    <t>LastPageCheck</t>
  </si>
  <si>
    <t>USCountry</t>
  </si>
  <si>
    <t>http://www.travelex.co.uk.sit.salt/gb/Basket</t>
  </si>
  <si>
    <t>yy</t>
  </si>
  <si>
    <t>Manchester</t>
  </si>
  <si>
    <t>N/A</t>
  </si>
  <si>
    <t>Mr.</t>
  </si>
  <si>
    <t>07448133625</t>
  </si>
  <si>
    <t>nilesh.sabale@travelex.com</t>
  </si>
  <si>
    <t>PE2 7AD</t>
  </si>
  <si>
    <t>Visa ( Debit ) - FREE</t>
  </si>
  <si>
    <t>YES</t>
  </si>
  <si>
    <t>0140000000</t>
  </si>
  <si>
    <t>0:00:05:20</t>
  </si>
  <si>
    <t>LST_SALT_AddStore{AirportName}</t>
  </si>
  <si>
    <t>LST_SALT_AddStore{AirportLocation}</t>
  </si>
  <si>
    <t>StoreType][BTN_AddStore][EDT_AddStore_{SiteID}][StoreName][EDT_AddStore_{StorePREL}][EDT_AddStore_{StoreFidelity}][LST_AddStore_{StoreOwnPart}][LST_AddStore_{StoreArea}][EDT_AddStore_{StoreAdd1}][EDT_AddStore_{StoreAdd2}][EDT_AddStore_{StoreCity}][LST_AddStore_{StoreState}][EDT_AddStore_{StoreZip}][EDT_AddStore_{StoreLatitude}][EDT_AddStore_{StoreLongitude}][LST_AddStore_{StoreTime}][CHK_AddStore_{StoreLocator}][LST_AddStore_{StoreType}][CHK_AddStore_{StoreATM}][EDT_AddStore_{StoreEmailID}][CHK_AddStore_{StoreATM}][EDT_AddStore_{StorePhoneID}][EDT_AddStore_{StoreFax}][CHK_AddStore_{StorePhNo}][CHK_AddStore_{StoreStatusIsActive}][CHK_AddStore_{StoreOnlineStatus}][LST_AddStore_{StoreHolidayProfile}][CHK_AddStore_{EmailIDDisplay}][LST_SALT_AddStore{AirportName}][LST_SALT_AddStore{AirportLocation}</t>
  </si>
  <si>
    <r>
      <t>LST_SALT_AddStore</t>
    </r>
    <r>
      <rPr>
        <b/>
        <sz val="10"/>
        <color theme="1"/>
        <rFont val="Calibri"/>
        <family val="2"/>
        <scheme val="minor"/>
      </rPr>
      <t>{AirportName}</t>
    </r>
  </si>
  <si>
    <r>
      <t>LST_SALT_AddStore</t>
    </r>
    <r>
      <rPr>
        <b/>
        <sz val="10"/>
        <color theme="1"/>
        <rFont val="Calibri"/>
        <family val="2"/>
        <scheme val="minor"/>
      </rPr>
      <t>{AirportLocation}</t>
    </r>
  </si>
  <si>
    <t>Brisbane Airport</t>
  </si>
  <si>
    <t>Airside</t>
  </si>
  <si>
    <t>0:00:05:21</t>
  </si>
  <si>
    <t>0:00:05:09</t>
  </si>
  <si>
    <t>0:00:05:03</t>
  </si>
  <si>
    <t>VaultFieldsValidation</t>
  </si>
  <si>
    <t>SALTSuperAdmin</t>
  </si>
  <si>
    <t>Travelex123</t>
  </si>
  <si>
    <t>Bird</t>
  </si>
  <si>
    <t>0:00:00:00</t>
  </si>
  <si>
    <t>0:00:01:34</t>
  </si>
  <si>
    <t>John Doc</t>
  </si>
  <si>
    <t>NZD 1,200.00</t>
  </si>
  <si>
    <t>OrderTotal' has not been matched:-:'OrderTotal' should be matched:-:DayEndOrdersPackedInSafe</t>
  </si>
  <si>
    <t>0:00:03:08</t>
  </si>
  <si>
    <t>0:00:02:16</t>
  </si>
  <si>
    <t>The following test case VaultFieldsValidation does not exist in mapping sheet, Please Check!!:-:GetBCList_for_TestCase:-:DayEndOrdersCompleted</t>
  </si>
  <si>
    <t xml:space="preserve">AU41023003 </t>
  </si>
  <si>
    <t>0656 - Subiaco</t>
  </si>
  <si>
    <t>AU41022997</t>
  </si>
  <si>
    <t>Error message has been displayed:-:Error message should not be displayed:-:PackOrder][Order status has been displayed as Pending Packing Store:-:Order status should be 'Packed':-:PickUpOrder</t>
  </si>
  <si>
    <t>0:00:04:52</t>
  </si>
  <si>
    <t>0:00:06:58</t>
  </si>
  <si>
    <t>AU41023086</t>
  </si>
  <si>
    <t>AU40041329</t>
  </si>
  <si>
    <t>0:00:08:00</t>
  </si>
  <si>
    <t>AU41023094</t>
  </si>
  <si>
    <t>0:00:13:04</t>
  </si>
  <si>
    <t>AU41023193</t>
  </si>
  <si>
    <t>AU41022757</t>
  </si>
  <si>
    <t>0:00:00:43</t>
  </si>
  <si>
    <t>0:00:00:35</t>
  </si>
  <si>
    <t>AU41023219</t>
  </si>
  <si>
    <t>0:00:03:48</t>
  </si>
  <si>
    <t>AU41023227</t>
  </si>
  <si>
    <t>967.23</t>
  </si>
  <si>
    <t>1009.24</t>
  </si>
  <si>
    <t>AU41023235</t>
  </si>
  <si>
    <t>918.75</t>
  </si>
  <si>
    <t>AU41023243</t>
  </si>
  <si>
    <t>907.99</t>
  </si>
  <si>
    <t>AU41023250</t>
  </si>
  <si>
    <t>0:00:01:43</t>
  </si>
  <si>
    <t>0:00:01:02</t>
  </si>
  <si>
    <t>0:00:00:56</t>
  </si>
  <si>
    <t>0:00:01:04</t>
  </si>
  <si>
    <t>AU41023284</t>
  </si>
  <si>
    <t>AU41023292</t>
  </si>
  <si>
    <t>AU41023300</t>
  </si>
  <si>
    <t>AU41023318</t>
  </si>
  <si>
    <t>0:00:01:22</t>
  </si>
  <si>
    <t>0:00:00:52</t>
  </si>
  <si>
    <t>0:00:08:21</t>
  </si>
  <si>
    <t>AU41023367</t>
  </si>
  <si>
    <t>AU41023409</t>
  </si>
  <si>
    <t>0:00:12:41</t>
  </si>
  <si>
    <t>C:\RaviK\SVN_Admin_NewTask\Projects\SALT\Snapshots\ChangeOrderIDPickUpDate_IN-MU-LT-J27116\2015513\154012\Iterator_1\</t>
  </si>
  <si>
    <t>Change ID Button is not visible on the Order Details Page:-:Change ID Button should be visible on the Order Details Page:-:ChangeOrderID][User is not redirected to the Customer ID Information page to update the details:-:User should be redirected to the Customer ID Information page to update the details:-:ChangeOrderID][Order Status is not Packed/Pending Packing Store:-:Order Status should be Packed/Pending Packing Store:-:ChangePickUpDate</t>
  </si>
  <si>
    <t>0:00:03:30</t>
  </si>
  <si>
    <t>0:00:04:06</t>
  </si>
  <si>
    <t>0:00:02:25</t>
  </si>
  <si>
    <t>C:\RaviK\SVN_Admin_NewTask\Projects\SALT\Snapshots\BuyBackConfigurationTwoCashStorePick_IN-MU-LT-J27116\2015513\1735\Iterator_1\</t>
  </si>
  <si>
    <t>AU41023508</t>
  </si>
  <si>
    <t>AU41023524</t>
  </si>
  <si>
    <t>AU41023532</t>
  </si>
  <si>
    <t>0:00:03:14</t>
  </si>
  <si>
    <t>0:00:01:25</t>
  </si>
  <si>
    <t>AU41023581</t>
  </si>
  <si>
    <t>AU01066117</t>
  </si>
  <si>
    <t>0:00:12:07</t>
  </si>
  <si>
    <t>AU41023615</t>
  </si>
  <si>
    <t>0:14:17:35</t>
  </si>
  <si>
    <t>Order status has been displayed as Cancelled Pending Refund:-:Order status should be 'PendingPackingStore':-:PackOrder</t>
  </si>
  <si>
    <t>Order status has been displayed as Application Error:-:Order status should be 'PendingPackingStore':-:PackOrder</t>
  </si>
  <si>
    <t>0:00:03:25</t>
  </si>
  <si>
    <t>C:\SVN\SALT ADMIN 525\Projects\SALT\Snapshots\HappyPath_SingleProduct_AUS_IN-MU-LT-J27174\201569\17729\Iterator_1\</t>
  </si>
  <si>
    <t>NOD_SALT_Home_BuyCurrency_Now not found in XML:-:XML Repository must have Object detail:-:Salt_Login][NOD_SALTMobile_Home_Welcome not found in XML:-:XML Repository must have Object detail:-:Salt_Login</t>
  </si>
  <si>
    <t xml:space="preserve"> HappyPath_SingleProduct_AUS- 11/15/20/22</t>
  </si>
  <si>
    <t>[ HappyPath_SingleProduct_AUS ] , Normal Cash Order with 'Bank-Transfer'</t>
  </si>
  <si>
    <t xml:space="preserve"> HappyPath_SingleProduct_AUS- 12/16/21</t>
  </si>
  <si>
    <t xml:space="preserve"> HappyPath_SingleProduct_AUS- 13/17</t>
  </si>
  <si>
    <t xml:space="preserve"> HappyPath_SingleProduct_AUS- 14/18</t>
  </si>
  <si>
    <t xml:space="preserve"> HappyPath_SingleProduct_AUS- 19</t>
  </si>
  <si>
    <t xml:space="preserve"> HappyPath_SingleProduct_AUS- 20</t>
  </si>
  <si>
    <t xml:space="preserve"> HappyPath_SingleProduct_AUS- 21</t>
  </si>
  <si>
    <t xml:space="preserve"> HappyPath_SingleProduct_AUS- 22</t>
  </si>
  <si>
    <t>HappyPath_SingleProduct_AUS with 'Fraud_Review'</t>
  </si>
  <si>
    <t>2</t>
  </si>
  <si>
    <t>1</t>
  </si>
  <si>
    <t xml:space="preserve"> HappyPath_SingleProduct_AUS- 1</t>
  </si>
  <si>
    <t xml:space="preserve"> HappyPath_SingleProduct_AUS- 2</t>
  </si>
  <si>
    <t xml:space="preserve"> HappyPath_SingleProduct_AUS- 3</t>
  </si>
  <si>
    <t>HappyPath_SingleProduct_AUS , Regular Order</t>
  </si>
  <si>
    <t>Salt_login_fast</t>
  </si>
  <si>
    <t>New_UI_Page1</t>
  </si>
  <si>
    <t>HomePage_URL][Product_Type][EDT_Purchase_ForeignCurr][EDT_Purchase_LocalAmount][EDT_Purchase_ForeignAmount</t>
  </si>
  <si>
    <t>New_UI_Page2</t>
  </si>
  <si>
    <t>Product_Type][EDT_SALT_SearchStoreName][DeliveryType</t>
  </si>
  <si>
    <t>HappyPath_PaymentPage_New</t>
  </si>
  <si>
    <t>PaymentType][LST_HappyPath_Pay_Title][EDT_HappyPath_Pay_Fname][EDT_HappyPath_Pay_Lname][EDT_HappyPath_Pay_PhNo][EDT_HappyPath_Pay_PhoneNo][EDT_HappyPath_Pay_Email][EDT_HappyPath_Pay_ConfirmEmail][EDT_HappyPath_Pay_Street][EDT_HappyPath_Pay_Suburb][EDT_HappyPath_Pay_City][LST_HappyPath_Pay_State][EDT_HappyPath_Pay_BillingStreet][EDT_HappyPath_Pay_BillingSuburb][EDT_HappyPath_Pay_BillingCity][LST_HappyPath_Pay_BillingState][EDT_HappyPath_Pay_BillingPostCode][LST_HappyPath_Pay_FullAddress][EDT_HappyPath_Pay_PostCode][EDT_HappyPath_Pay_AddressFinder][EDT_HappyPath_Pay_AddPostCode][LST_HappyPath_Pay_CardType][EDT_HappyPath_Pay_CardNo][LST_HappyPath_Pay_CardMonth][LST_HappyPath_Pay_CardYear][EDT_HappyPath_Pay_CardSec][EDT_HappyPath_Pay_DOBDate][LST_HappyPath_Pay_DOBMonth][EDT_HappyPath_Pay_DOBYear][LBL_HappyPath_UseResAdd][LST_HappyPath_Pay{IDType}][LST_HappyPath_Pay{COI}][EDT_HappyPath_Pay_IDNum][EDT_HappyPath_Pay_ConIDNum][EDT_HappyPath_Pay_CardExpDate][LST_HappyPath_Pay_CardExpMon][EDT_HappyPath_Pay_CardExpYear][EDT_HappyPath_Pay_MMN</t>
  </si>
  <si>
    <t>LST_HappyPath_Pay_Title][EDT_HappyPath_Pay_Fname][EDT_HappyPath_Pay_Lname][EDT_HappyPath_Pay_PhoneNo][EDT_HappyPath_Pay_Email][EDT_HappyPath_Pay_AddressFinder][EDT_HappyPath_Pay_AddPostCode][LST_HappyPath_Pay_CardMonth][LST_HappyPath_Pay_CardYear][ConfirmPageCheck][Collection_Date</t>
  </si>
  <si>
    <t>HappyPath_LastPage_Full</t>
  </si>
  <si>
    <t>OrderNumber][Collection_Date][Residence_Address][Exchange_Rate][Fee][Total][StoreName][Result</t>
  </si>
  <si>
    <t>Salt_login_fast][HappyPath_Page1][SelectPaymentType][HappyPath_Page2][HappyPath_PaymentPage_New][HappyPath_ConfirmPg][HappyPath_LastPage_Full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</si>
</sst>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164" formatCode="_(&quot;$&quot;* #,##0.00_);_(&quot;$&quot;* \(#,##0.00\);_(&quot;$&quot;* &quot;-&quot;??_);_(@_)"/>
  </numFmts>
  <fonts count="21" x14ac:knownFonts="1">
    <font>
      <sz val="11"/>
      <color theme="1"/>
      <name val="Calibri"/>
      <family val="2"/>
      <scheme val="minor"/>
    </font>
    <font>
      <sz val="11"/>
      <color theme="1"/>
      <name val="Calibri"/>
      <family val="2"/>
      <scheme val="minor"/>
    </font>
    <font>
      <sz val="10"/>
      <color theme="1"/>
      <name val="Arial"/>
      <family val="2"/>
    </font>
    <font>
      <b/>
      <sz val="10"/>
      <color theme="1"/>
      <name val="Calibri"/>
      <family val="2"/>
      <scheme val="minor"/>
    </font>
    <font>
      <sz val="10"/>
      <name val="Mic Shell Dlg"/>
      <charset val="1"/>
    </font>
    <font>
      <sz val="10"/>
      <name val="Arial"/>
      <family val="2"/>
    </font>
    <font>
      <b/>
      <sz val="10"/>
      <color theme="3"/>
      <name val="Calibri"/>
      <family val="2"/>
      <scheme val="minor"/>
    </font>
    <font>
      <b/>
      <sz val="10"/>
      <name val="Calibri"/>
      <family val="2"/>
      <scheme val="minor"/>
    </font>
    <font>
      <sz val="10"/>
      <color theme="1"/>
      <name val="Calibri"/>
      <family val="2"/>
      <scheme val="minor"/>
    </font>
    <font>
      <b/>
      <sz val="11"/>
      <color theme="1"/>
      <name val="Calibri"/>
      <family val="2"/>
      <scheme val="minor"/>
    </font>
    <font>
      <u/>
      <sz val="11"/>
      <color theme="10"/>
      <name val="Calibri"/>
      <family val="2"/>
      <scheme val="minor"/>
    </font>
    <font>
      <b/>
      <sz val="1"/>
      <color rgb="FFD9D9D9"/>
      <name val="Calibri"/>
      <family val="2"/>
      <scheme val="minor"/>
    </font>
    <font>
      <sz val="9"/>
      <color indexed="81"/>
      <name val="Tahoma"/>
      <family val="2"/>
    </font>
    <font>
      <b/>
      <sz val="9"/>
      <color indexed="81"/>
      <name val="Tahoma"/>
      <family val="2"/>
    </font>
    <font>
      <sz val="10"/>
      <color rgb="FFFF0000"/>
      <name val="Calibri"/>
      <family val="2"/>
      <scheme val="minor"/>
    </font>
    <font>
      <b/>
      <sz val="16"/>
      <color theme="0"/>
      <name val="Calibri"/>
      <family val="2"/>
      <scheme val="minor"/>
    </font>
    <font>
      <sz val="9"/>
      <color theme="1"/>
      <name val="Bookman Old Style"/>
      <family val="1"/>
    </font>
    <font>
      <sz val="10"/>
      <color theme="1"/>
      <name val="Verdana"/>
      <family val="2"/>
    </font>
    <font>
      <b/>
      <sz val="18"/>
      <color theme="1"/>
      <name val="Calibri"/>
      <family val="2"/>
      <scheme val="minor"/>
    </font>
    <font>
      <sz val="11"/>
      <name val="Calibri"/>
      <family val="2"/>
      <scheme val="minor"/>
    </font>
    <font>
      <sz val="9"/>
      <name val="Bookman Old Style"/>
      <family val="1"/>
    </font>
  </fonts>
  <fills count="20">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theme="0" tint="-0.14996795556505021"/>
        <bgColor indexed="64"/>
      </patternFill>
    </fill>
    <fill>
      <patternFill patternType="solid">
        <fgColor rgb="FFFFFFFF"/>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2" tint="-0.74999237037263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s>
  <cellStyleXfs count="17">
    <xf numFmtId="0" fontId="0" fillId="0" borderId="0"/>
    <xf numFmtId="0" fontId="1" fillId="0" borderId="0"/>
    <xf numFmtId="0" fontId="2" fillId="0" borderId="0"/>
    <xf numFmtId="0" fontId="2" fillId="0" borderId="0"/>
    <xf numFmtId="0" fontId="4" fillId="0" borderId="0"/>
    <xf numFmtId="0" fontId="5" fillId="0" borderId="0"/>
    <xf numFmtId="0" fontId="1" fillId="0" borderId="0"/>
    <xf numFmtId="0" fontId="2" fillId="0" borderId="0"/>
    <xf numFmtId="0" fontId="2" fillId="0" borderId="0"/>
    <xf numFmtId="0" fontId="1" fillId="0" borderId="0"/>
    <xf numFmtId="0" fontId="2" fillId="0" borderId="0"/>
    <xf numFmtId="0" fontId="2" fillId="0" borderId="0"/>
    <xf numFmtId="0" fontId="2" fillId="0" borderId="0"/>
    <xf numFmtId="0" fontId="4" fillId="0" borderId="0"/>
    <xf numFmtId="0" fontId="5" fillId="0" borderId="0"/>
    <xf numFmtId="164" fontId="2" fillId="0" borderId="0" applyFont="0" applyFill="0" applyBorder="0" applyAlignment="0" applyProtection="0"/>
    <xf numFmtId="0" fontId="10" fillId="0" borderId="0" applyNumberFormat="0" applyFill="0" applyBorder="0" applyAlignment="0" applyProtection="0"/>
  </cellStyleXfs>
  <cellXfs count="270">
    <xf numFmtId="0" fontId="0" fillId="0" borderId="0" xfId="0"/>
    <xf numFmtId="0" fontId="0" fillId="0" borderId="1" xfId="0" applyBorder="1"/>
    <xf numFmtId="0" fontId="0" fillId="0" borderId="2" xfId="0" applyBorder="1"/>
    <xf numFmtId="0" fontId="0" fillId="0" borderId="0" xfId="0" applyBorder="1"/>
    <xf numFmtId="0" fontId="1" fillId="3" borderId="0" xfId="1" applyFill="1"/>
    <xf numFmtId="0" fontId="3" fillId="4" borderId="1" xfId="0" applyFont="1" applyFill="1" applyBorder="1" applyAlignment="1">
      <alignment horizontal="right"/>
    </xf>
    <xf numFmtId="0" fontId="8" fillId="0" borderId="1" xfId="0" quotePrefix="1" applyFont="1" applyFill="1" applyBorder="1"/>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49" fontId="3" fillId="6" borderId="5" xfId="0" applyNumberFormat="1" applyFont="1" applyFill="1" applyBorder="1" applyAlignment="1">
      <alignment horizontal="center" vertical="center"/>
    </xf>
    <xf numFmtId="0" fontId="3" fillId="6" borderId="5" xfId="0" applyFont="1" applyFill="1" applyBorder="1" applyAlignment="1">
      <alignment horizontal="center" vertical="center" wrapText="1"/>
    </xf>
    <xf numFmtId="0" fontId="3" fillId="6" borderId="6" xfId="0" applyFont="1" applyFill="1" applyBorder="1" applyAlignment="1">
      <alignment horizontal="center" vertical="center"/>
    </xf>
    <xf numFmtId="0" fontId="3" fillId="6" borderId="0" xfId="0" applyFont="1" applyFill="1" applyBorder="1" applyAlignment="1">
      <alignment horizontal="center" vertical="center"/>
    </xf>
    <xf numFmtId="0" fontId="0" fillId="0" borderId="1" xfId="0" quotePrefix="1" applyBorder="1"/>
    <xf numFmtId="14" fontId="0" fillId="0" borderId="1" xfId="0" applyNumberFormat="1" applyBorder="1"/>
    <xf numFmtId="0" fontId="9" fillId="0" borderId="1" xfId="0" applyFont="1" applyBorder="1"/>
    <xf numFmtId="0" fontId="0" fillId="0" borderId="1" xfId="0" applyBorder="1" applyAlignment="1">
      <alignment wrapText="1"/>
    </xf>
    <xf numFmtId="0" fontId="0" fillId="0" borderId="2" xfId="0" applyBorder="1" applyAlignment="1">
      <alignment wrapText="1"/>
    </xf>
    <xf numFmtId="0" fontId="0" fillId="7" borderId="0" xfId="0" applyFill="1"/>
    <xf numFmtId="0" fontId="10" fillId="7" borderId="0" xfId="16" applyFill="1"/>
    <xf numFmtId="0" fontId="0" fillId="0" borderId="0" xfId="0" quotePrefix="1" applyAlignment="1">
      <alignment wrapText="1"/>
    </xf>
    <xf numFmtId="0" fontId="0" fillId="8" borderId="0" xfId="0" applyFill="1"/>
    <xf numFmtId="0" fontId="0" fillId="0" borderId="2" xfId="0" quotePrefix="1" applyBorder="1" applyAlignment="1">
      <alignment wrapText="1"/>
    </xf>
    <xf numFmtId="0" fontId="0" fillId="0" borderId="0" xfId="0"/>
    <xf numFmtId="0" fontId="0" fillId="0" borderId="0" xfId="0" quotePrefix="1" applyFill="1"/>
    <xf numFmtId="0" fontId="0" fillId="0" borderId="0" xfId="0" applyFill="1"/>
    <xf numFmtId="0" fontId="10" fillId="7" borderId="0" xfId="16" quotePrefix="1" applyFill="1"/>
    <xf numFmtId="0" fontId="3" fillId="4" borderId="7" xfId="0" applyFont="1" applyFill="1" applyBorder="1" applyAlignment="1">
      <alignment horizontal="right"/>
    </xf>
    <xf numFmtId="0" fontId="0" fillId="0" borderId="0" xfId="0" applyFill="1" applyAlignment="1">
      <alignment wrapText="1"/>
    </xf>
    <xf numFmtId="0" fontId="0" fillId="0" borderId="0" xfId="0" applyAlignment="1">
      <alignment horizontal="left" vertical="top" wrapText="1"/>
    </xf>
    <xf numFmtId="0" fontId="0" fillId="0" borderId="0" xfId="0" quotePrefix="1" applyAlignment="1">
      <alignment horizontal="left" vertical="top" wrapText="1"/>
    </xf>
    <xf numFmtId="0" fontId="10" fillId="0" borderId="0" xfId="16" applyAlignment="1">
      <alignment horizontal="left" vertical="top" wrapText="1" shrinkToFit="1"/>
    </xf>
    <xf numFmtId="0" fontId="0" fillId="0" borderId="1" xfId="0" applyFill="1" applyBorder="1"/>
    <xf numFmtId="0" fontId="0" fillId="0" borderId="8" xfId="0" applyFill="1" applyBorder="1"/>
    <xf numFmtId="0" fontId="0" fillId="0" borderId="0" xfId="0" applyBorder="1" applyAlignment="1">
      <alignment wrapText="1"/>
    </xf>
    <xf numFmtId="0" fontId="0" fillId="0" borderId="0" xfId="0" quotePrefix="1" applyBorder="1" applyAlignment="1">
      <alignment wrapText="1"/>
    </xf>
    <xf numFmtId="22" fontId="0" fillId="0" borderId="0" xfId="0" applyNumberFormat="1" applyAlignment="1">
      <alignment horizontal="left" vertical="top" wrapText="1"/>
    </xf>
    <xf numFmtId="0" fontId="0" fillId="0" borderId="0" xfId="0" quotePrefix="1" applyFill="1" applyAlignment="1">
      <alignment wrapText="1"/>
    </xf>
    <xf numFmtId="49" fontId="0" fillId="0" borderId="0" xfId="0" quotePrefix="1" applyNumberFormat="1" applyAlignment="1">
      <alignment horizontal="left" vertical="top" wrapText="1"/>
    </xf>
    <xf numFmtId="0" fontId="0" fillId="0" borderId="1" xfId="0" quotePrefix="1" applyFill="1" applyBorder="1"/>
    <xf numFmtId="0" fontId="0" fillId="0" borderId="0" xfId="0" quotePrefix="1" applyFill="1" applyBorder="1"/>
    <xf numFmtId="0" fontId="0" fillId="0" borderId="0" xfId="0" quotePrefix="1"/>
    <xf numFmtId="0" fontId="0" fillId="0" borderId="0" xfId="0" applyAlignment="1">
      <alignment vertical="top"/>
    </xf>
    <xf numFmtId="0" fontId="0" fillId="2" borderId="0" xfId="0" applyFill="1" applyAlignment="1">
      <alignment horizontal="left" vertical="top"/>
    </xf>
    <xf numFmtId="0" fontId="0" fillId="0" borderId="0" xfId="0" applyAlignment="1">
      <alignment horizontal="right" vertical="top" wrapText="1"/>
    </xf>
    <xf numFmtId="0" fontId="0" fillId="0" borderId="0" xfId="0" applyAlignment="1">
      <alignment vertical="top" wrapText="1"/>
    </xf>
    <xf numFmtId="0" fontId="0" fillId="0" borderId="0" xfId="0" applyAlignment="1">
      <alignment horizontal="left" vertical="top" wrapText="1" shrinkToFit="1"/>
    </xf>
    <xf numFmtId="0" fontId="0" fillId="0" borderId="0" xfId="0" quotePrefix="1" applyAlignment="1">
      <alignment vertical="top" wrapText="1"/>
    </xf>
    <xf numFmtId="14" fontId="0" fillId="0" borderId="0" xfId="0" quotePrefix="1" applyNumberFormat="1" applyAlignment="1">
      <alignment horizontal="left" vertical="top" wrapText="1"/>
    </xf>
    <xf numFmtId="0" fontId="10" fillId="0" borderId="0" xfId="16" quotePrefix="1" applyAlignment="1">
      <alignment horizontal="left" vertical="top" wrapText="1"/>
    </xf>
    <xf numFmtId="0" fontId="0" fillId="0" borderId="0" xfId="0" applyBorder="1" applyAlignment="1">
      <alignment vertical="top" wrapText="1" shrinkToFit="1"/>
    </xf>
    <xf numFmtId="0" fontId="0" fillId="0" borderId="0" xfId="0" applyFill="1" applyAlignment="1">
      <alignment vertical="top"/>
    </xf>
    <xf numFmtId="0" fontId="8" fillId="0" borderId="0" xfId="0" quotePrefix="1" applyFont="1" applyAlignment="1">
      <alignment vertical="top" wrapText="1"/>
    </xf>
    <xf numFmtId="0" fontId="0" fillId="0" borderId="0" xfId="0" quotePrefix="1" applyNumberFormat="1" applyAlignment="1">
      <alignment horizontal="left" vertical="top" wrapText="1"/>
    </xf>
    <xf numFmtId="4" fontId="0" fillId="0" borderId="0" xfId="0" applyNumberFormat="1" applyAlignment="1">
      <alignment horizontal="left" vertical="top" wrapText="1"/>
    </xf>
    <xf numFmtId="8" fontId="0" fillId="0" borderId="0" xfId="0" applyNumberFormat="1" applyAlignment="1">
      <alignment horizontal="left" vertical="top" wrapText="1"/>
    </xf>
    <xf numFmtId="0" fontId="0" fillId="0" borderId="0" xfId="0" applyBorder="1" applyAlignment="1">
      <alignment horizontal="left" vertical="top" wrapText="1" shrinkToFit="1"/>
    </xf>
    <xf numFmtId="0" fontId="10" fillId="0" borderId="0" xfId="16" quotePrefix="1" applyAlignment="1">
      <alignment horizontal="left" vertical="top" wrapText="1" shrinkToFit="1"/>
    </xf>
    <xf numFmtId="0" fontId="10" fillId="0" borderId="0" xfId="16" applyAlignment="1">
      <alignment horizontal="left" vertical="top" wrapText="1"/>
    </xf>
    <xf numFmtId="0" fontId="0" fillId="0" borderId="0" xfId="0" applyBorder="1" applyAlignment="1">
      <alignment horizontal="left" vertical="top" wrapText="1"/>
    </xf>
    <xf numFmtId="0" fontId="0" fillId="0" borderId="0" xfId="0" quotePrefix="1" applyBorder="1" applyAlignment="1">
      <alignment horizontal="left" vertical="top" wrapText="1"/>
    </xf>
    <xf numFmtId="0" fontId="0" fillId="0" borderId="0" xfId="0" applyBorder="1" applyAlignment="1">
      <alignment horizontal="right" vertical="top" wrapText="1" shrinkToFit="1"/>
    </xf>
    <xf numFmtId="0" fontId="8" fillId="0" borderId="1" xfId="0" quotePrefix="1" applyFont="1" applyFill="1" applyBorder="1" applyAlignment="1">
      <alignment vertical="top"/>
    </xf>
    <xf numFmtId="0" fontId="0" fillId="9" borderId="0" xfId="0" applyFill="1" applyAlignment="1">
      <alignment horizontal="left" vertical="top"/>
    </xf>
    <xf numFmtId="0" fontId="15" fillId="10" borderId="0" xfId="0" applyFont="1" applyFill="1" applyAlignment="1">
      <alignment horizontal="right" vertical="top" wrapText="1"/>
    </xf>
    <xf numFmtId="0" fontId="15" fillId="10" borderId="0" xfId="0" applyFont="1" applyFill="1" applyBorder="1" applyAlignment="1">
      <alignment horizontal="left" vertical="top" wrapText="1" shrinkToFit="1"/>
    </xf>
    <xf numFmtId="0" fontId="0" fillId="0" borderId="0" xfId="0" quotePrefix="1" applyFill="1" applyBorder="1" applyAlignment="1">
      <alignment vertical="top" wrapText="1"/>
    </xf>
    <xf numFmtId="0" fontId="0" fillId="0" borderId="0" xfId="0" applyAlignment="1">
      <alignment horizontal="left" vertical="top"/>
    </xf>
    <xf numFmtId="0" fontId="0" fillId="0" borderId="0" xfId="0" applyAlignment="1">
      <alignment horizontal="left" vertical="top" shrinkToFit="1"/>
    </xf>
    <xf numFmtId="0" fontId="0" fillId="0" borderId="0" xfId="0" applyAlignment="1">
      <alignment horizontal="right" vertical="top"/>
    </xf>
    <xf numFmtId="0" fontId="6" fillId="5" borderId="1" xfId="0" applyFont="1" applyFill="1" applyBorder="1" applyAlignment="1">
      <alignment horizontal="right" vertical="top"/>
    </xf>
    <xf numFmtId="0" fontId="6" fillId="5" borderId="1" xfId="0" applyFont="1" applyFill="1" applyBorder="1" applyAlignment="1">
      <alignment horizontal="right" vertical="top" shrinkToFit="1"/>
    </xf>
    <xf numFmtId="0" fontId="3" fillId="4" borderId="3" xfId="0" applyFont="1" applyFill="1" applyBorder="1" applyAlignment="1">
      <alignment horizontal="right" vertical="top"/>
    </xf>
    <xf numFmtId="0" fontId="3" fillId="4" borderId="2" xfId="0" applyFont="1" applyFill="1" applyBorder="1" applyAlignment="1">
      <alignment horizontal="right" vertical="top"/>
    </xf>
    <xf numFmtId="0" fontId="11" fillId="4" borderId="2" xfId="0" applyFont="1" applyFill="1" applyBorder="1" applyAlignment="1">
      <alignment horizontal="right" vertical="top"/>
    </xf>
    <xf numFmtId="0" fontId="11" fillId="4" borderId="1" xfId="0" applyFont="1" applyFill="1" applyBorder="1" applyAlignment="1">
      <alignment horizontal="right" vertical="top"/>
    </xf>
    <xf numFmtId="0" fontId="11" fillId="4" borderId="3" xfId="0" applyFont="1" applyFill="1" applyBorder="1" applyAlignment="1">
      <alignment horizontal="right" vertical="top"/>
    </xf>
    <xf numFmtId="0" fontId="3" fillId="4" borderId="1" xfId="0" applyFont="1" applyFill="1" applyBorder="1" applyAlignment="1">
      <alignment horizontal="right" vertical="top"/>
    </xf>
    <xf numFmtId="0" fontId="3" fillId="4" borderId="7" xfId="0" applyFont="1" applyFill="1" applyBorder="1" applyAlignment="1">
      <alignment horizontal="right" vertical="top"/>
    </xf>
    <xf numFmtId="0" fontId="0" fillId="0" borderId="0" xfId="0" applyFill="1" applyBorder="1" applyAlignment="1">
      <alignment vertical="top" wrapText="1" shrinkToFit="1"/>
    </xf>
    <xf numFmtId="0" fontId="0" fillId="0" borderId="0" xfId="0" applyFill="1" applyAlignment="1">
      <alignment horizontal="left" vertical="top" wrapText="1"/>
    </xf>
    <xf numFmtId="0" fontId="0" fillId="0" borderId="0" xfId="0" quotePrefix="1" applyFill="1" applyAlignment="1">
      <alignment horizontal="left" vertical="top" wrapText="1"/>
    </xf>
    <xf numFmtId="0" fontId="10" fillId="0" borderId="0" xfId="16" quotePrefix="1" applyFill="1" applyAlignment="1">
      <alignment horizontal="left" vertical="top" wrapText="1" shrinkToFit="1"/>
    </xf>
    <xf numFmtId="0" fontId="10" fillId="0" borderId="0" xfId="16" applyFill="1" applyAlignment="1">
      <alignment horizontal="left" vertical="top" wrapText="1" shrinkToFit="1"/>
    </xf>
    <xf numFmtId="0" fontId="2" fillId="0" borderId="0" xfId="0" applyFont="1" applyFill="1" applyAlignment="1">
      <alignment vertical="top"/>
    </xf>
    <xf numFmtId="22" fontId="0" fillId="0" borderId="0" xfId="0" applyNumberFormat="1" applyFill="1" applyAlignment="1">
      <alignment horizontal="left" vertical="top" wrapText="1"/>
    </xf>
    <xf numFmtId="0" fontId="0" fillId="0" borderId="0" xfId="0" quotePrefix="1" applyFill="1" applyAlignment="1">
      <alignment horizontal="left" vertical="top"/>
    </xf>
    <xf numFmtId="0" fontId="0" fillId="0" borderId="0" xfId="0" quotePrefix="1" applyAlignment="1">
      <alignment horizontal="left" vertical="top"/>
    </xf>
    <xf numFmtId="0" fontId="0" fillId="0" borderId="0" xfId="0" quotePrefix="1" applyBorder="1" applyAlignment="1">
      <alignment horizontal="left" vertical="top" wrapText="1" shrinkToFit="1"/>
    </xf>
    <xf numFmtId="15" fontId="0" fillId="0" borderId="0" xfId="0" quotePrefix="1" applyNumberFormat="1" applyAlignment="1">
      <alignment horizontal="left" vertical="top" wrapText="1"/>
    </xf>
    <xf numFmtId="0" fontId="0" fillId="7" borderId="0" xfId="0" applyFill="1" applyAlignment="1">
      <alignment vertical="top"/>
    </xf>
    <xf numFmtId="14" fontId="0" fillId="0" borderId="0" xfId="0" applyNumberFormat="1" applyAlignment="1">
      <alignment horizontal="left" vertical="top" wrapText="1"/>
    </xf>
    <xf numFmtId="0" fontId="0" fillId="0" borderId="0" xfId="0" applyFill="1" applyAlignment="1">
      <alignment horizontal="center"/>
    </xf>
    <xf numFmtId="0" fontId="14" fillId="0" borderId="1" xfId="0" quotePrefix="1" applyFont="1" applyFill="1" applyBorder="1" applyAlignment="1">
      <alignment vertical="top" wrapText="1"/>
    </xf>
    <xf numFmtId="0" fontId="0" fillId="0" borderId="0" xfId="0" applyAlignment="1">
      <alignment horizontal="left" wrapText="1"/>
    </xf>
    <xf numFmtId="0" fontId="0" fillId="0" borderId="0" xfId="0" quotePrefix="1" applyAlignment="1">
      <alignment horizontal="left" wrapText="1"/>
    </xf>
    <xf numFmtId="14" fontId="0" fillId="0" borderId="0" xfId="0" quotePrefix="1" applyNumberFormat="1" applyAlignment="1">
      <alignment horizontal="left" wrapText="1"/>
    </xf>
    <xf numFmtId="0" fontId="0" fillId="12" borderId="0" xfId="0" quotePrefix="1" applyFill="1" applyAlignment="1">
      <alignment wrapText="1"/>
    </xf>
    <xf numFmtId="0" fontId="0" fillId="12" borderId="0" xfId="0" quotePrefix="1" applyFill="1"/>
    <xf numFmtId="0" fontId="0" fillId="12" borderId="0" xfId="0" applyFill="1" applyAlignment="1">
      <alignment wrapText="1"/>
    </xf>
    <xf numFmtId="0" fontId="0" fillId="12" borderId="1" xfId="0" quotePrefix="1" applyFill="1" applyBorder="1"/>
    <xf numFmtId="0" fontId="0" fillId="12" borderId="0" xfId="0" applyFill="1"/>
    <xf numFmtId="0" fontId="3" fillId="4" borderId="2" xfId="0" applyFont="1" applyFill="1" applyBorder="1" applyAlignment="1">
      <alignment horizontal="right" vertical="top" wrapText="1"/>
    </xf>
    <xf numFmtId="0" fontId="8" fillId="3" borderId="1" xfId="0" quotePrefix="1" applyFont="1" applyFill="1" applyBorder="1"/>
    <xf numFmtId="0" fontId="0" fillId="0" borderId="0" xfId="0" applyFill="1" applyBorder="1"/>
    <xf numFmtId="0" fontId="0" fillId="0" borderId="0" xfId="0" applyFill="1" applyBorder="1" applyAlignment="1">
      <alignment vertical="top"/>
    </xf>
    <xf numFmtId="0" fontId="0" fillId="0" borderId="0" xfId="0" quotePrefix="1" applyFill="1" applyBorder="1" applyAlignment="1">
      <alignment vertical="top"/>
    </xf>
    <xf numFmtId="0" fontId="0" fillId="0" borderId="0" xfId="0" quotePrefix="1" applyFill="1" applyAlignment="1">
      <alignment vertical="top" wrapText="1"/>
    </xf>
    <xf numFmtId="0" fontId="0" fillId="0" borderId="0" xfId="0" quotePrefix="1" applyFill="1" applyAlignment="1">
      <alignment vertical="top"/>
    </xf>
    <xf numFmtId="0" fontId="0" fillId="0" borderId="0" xfId="0" applyFill="1" applyAlignment="1">
      <alignment vertical="top" wrapText="1"/>
    </xf>
    <xf numFmtId="4" fontId="0" fillId="0" borderId="0" xfId="0" applyNumberFormat="1" applyAlignment="1">
      <alignment horizontal="left" wrapText="1"/>
    </xf>
    <xf numFmtId="0" fontId="0" fillId="13" borderId="0" xfId="0" applyFill="1" applyAlignment="1">
      <alignment wrapText="1"/>
    </xf>
    <xf numFmtId="0" fontId="0" fillId="0" borderId="0" xfId="0" applyBorder="1" applyAlignment="1">
      <alignment vertical="top"/>
    </xf>
    <xf numFmtId="0" fontId="0" fillId="0" borderId="0" xfId="0" applyAlignment="1">
      <alignment horizontal="center" vertical="top" wrapText="1"/>
    </xf>
    <xf numFmtId="0" fontId="0" fillId="7" borderId="0" xfId="0" applyFill="1" applyAlignment="1">
      <alignment horizontal="center"/>
    </xf>
    <xf numFmtId="0" fontId="0" fillId="0" borderId="0" xfId="0" applyAlignment="1">
      <alignment horizontal="left" vertical="top" wrapText="1"/>
    </xf>
    <xf numFmtId="0" fontId="0" fillId="7" borderId="0" xfId="0" applyFill="1" applyAlignment="1">
      <alignment vertical="top"/>
    </xf>
    <xf numFmtId="0" fontId="0" fillId="0" borderId="0" xfId="0"/>
    <xf numFmtId="0" fontId="0" fillId="0" borderId="0" xfId="0" applyAlignment="1">
      <alignment horizontal="left" vertical="top" wrapText="1"/>
    </xf>
    <xf numFmtId="0" fontId="0" fillId="0" borderId="0" xfId="0" quotePrefix="1" applyAlignment="1">
      <alignment horizontal="left" vertical="top" wrapText="1"/>
    </xf>
    <xf numFmtId="0" fontId="0" fillId="0" borderId="0" xfId="0" applyAlignment="1">
      <alignment horizontal="left" vertical="top" wrapText="1"/>
    </xf>
    <xf numFmtId="0" fontId="0" fillId="0" borderId="0" xfId="0" quotePrefix="1" applyAlignment="1">
      <alignment horizontal="left" vertical="top" wrapText="1"/>
    </xf>
    <xf numFmtId="0" fontId="0" fillId="0" borderId="0" xfId="0" applyAlignment="1">
      <alignment horizontal="left" vertical="top" wrapText="1"/>
    </xf>
    <xf numFmtId="0" fontId="0" fillId="0" borderId="0" xfId="0" quotePrefix="1" applyAlignment="1">
      <alignment horizontal="left" vertical="top" wrapText="1"/>
    </xf>
    <xf numFmtId="0" fontId="0" fillId="0" borderId="0" xfId="0"/>
    <xf numFmtId="0" fontId="0" fillId="0" borderId="0" xfId="0" applyAlignment="1">
      <alignment horizontal="left" vertical="top" wrapText="1"/>
    </xf>
    <xf numFmtId="0" fontId="0" fillId="0" borderId="0" xfId="0" quotePrefix="1" applyAlignment="1">
      <alignment horizontal="left" vertical="top" wrapText="1"/>
    </xf>
    <xf numFmtId="0" fontId="0" fillId="0" borderId="0" xfId="0" applyAlignment="1">
      <alignment horizontal="left" wrapText="1"/>
    </xf>
    <xf numFmtId="0" fontId="0" fillId="0" borderId="0" xfId="0" quotePrefix="1" applyAlignment="1">
      <alignment horizontal="left" wrapText="1"/>
    </xf>
    <xf numFmtId="14" fontId="0" fillId="0" borderId="0" xfId="0" quotePrefix="1" applyNumberFormat="1" applyAlignment="1">
      <alignment horizontal="left" wrapText="1"/>
    </xf>
    <xf numFmtId="0" fontId="0" fillId="0" borderId="0" xfId="0" quotePrefix="1" applyNumberFormat="1" applyAlignment="1">
      <alignment horizontal="left" wrapText="1"/>
    </xf>
    <xf numFmtId="0" fontId="0" fillId="2" borderId="0" xfId="0" applyFill="1" applyAlignment="1">
      <alignment horizontal="left"/>
    </xf>
    <xf numFmtId="0" fontId="0" fillId="0" borderId="0" xfId="0" applyAlignment="1">
      <alignment horizontal="right" wrapText="1"/>
    </xf>
    <xf numFmtId="0" fontId="0" fillId="0" borderId="0" xfId="0" applyBorder="1" applyAlignment="1">
      <alignment wrapText="1" shrinkToFit="1"/>
    </xf>
    <xf numFmtId="0" fontId="10" fillId="0" borderId="0" xfId="16" applyAlignment="1">
      <alignment horizontal="left" wrapText="1" shrinkToFit="1"/>
    </xf>
    <xf numFmtId="0" fontId="8" fillId="0" borderId="0" xfId="0" quotePrefix="1" applyFont="1" applyAlignment="1">
      <alignment wrapText="1"/>
    </xf>
    <xf numFmtId="22" fontId="0" fillId="0" borderId="0" xfId="0" applyNumberFormat="1" applyAlignment="1">
      <alignment horizontal="left" wrapText="1"/>
    </xf>
    <xf numFmtId="0" fontId="0" fillId="13" borderId="0" xfId="0" applyFill="1" applyAlignment="1">
      <alignment horizontal="left" wrapText="1"/>
    </xf>
    <xf numFmtId="0" fontId="0" fillId="0" borderId="9" xfId="0" applyFill="1" applyBorder="1" applyAlignment="1">
      <alignment horizontal="center" vertical="center"/>
    </xf>
    <xf numFmtId="0" fontId="8" fillId="14" borderId="1" xfId="0" quotePrefix="1" applyFont="1" applyFill="1" applyBorder="1" applyAlignment="1">
      <alignment vertical="top"/>
    </xf>
    <xf numFmtId="0" fontId="0" fillId="14" borderId="9" xfId="0" applyFill="1" applyBorder="1" applyAlignment="1">
      <alignment horizontal="center" vertical="center"/>
    </xf>
    <xf numFmtId="0" fontId="8" fillId="0" borderId="1" xfId="0" quotePrefix="1" applyFont="1" applyFill="1" applyBorder="1" applyAlignment="1">
      <alignment vertical="top" wrapText="1"/>
    </xf>
    <xf numFmtId="0" fontId="0" fillId="0" borderId="0" xfId="0" applyFill="1" applyAlignment="1">
      <alignment horizontal="left" vertical="top" wrapText="1"/>
    </xf>
    <xf numFmtId="0" fontId="0" fillId="0" borderId="0" xfId="0" quotePrefix="1" applyFill="1" applyAlignment="1">
      <alignment horizontal="left" vertical="top"/>
    </xf>
    <xf numFmtId="0" fontId="0" fillId="12" borderId="0" xfId="0" applyFill="1" applyAlignment="1">
      <alignment horizontal="left"/>
    </xf>
    <xf numFmtId="0" fontId="0" fillId="12" borderId="0" xfId="0" applyFill="1" applyAlignment="1">
      <alignment horizontal="left" wrapText="1"/>
    </xf>
    <xf numFmtId="0" fontId="0" fillId="12" borderId="0" xfId="0" quotePrefix="1" applyFill="1" applyAlignment="1">
      <alignment horizontal="left" wrapText="1"/>
    </xf>
    <xf numFmtId="0" fontId="0" fillId="13" borderId="0" xfId="0" quotePrefix="1" applyFill="1" applyAlignment="1">
      <alignment wrapText="1"/>
    </xf>
    <xf numFmtId="0" fontId="8" fillId="3" borderId="1" xfId="0" quotePrefix="1" applyFont="1" applyFill="1" applyBorder="1" applyAlignment="1">
      <alignment vertical="top"/>
    </xf>
    <xf numFmtId="0" fontId="8" fillId="3" borderId="1" xfId="0" quotePrefix="1" applyFont="1" applyFill="1" applyBorder="1" applyAlignment="1">
      <alignment horizontal="center" vertical="top"/>
    </xf>
    <xf numFmtId="0" fontId="14" fillId="3" borderId="1" xfId="0" quotePrefix="1" applyFont="1" applyFill="1" applyBorder="1" applyAlignment="1">
      <alignment vertical="top" wrapText="1"/>
    </xf>
    <xf numFmtId="0" fontId="8" fillId="3" borderId="1" xfId="0" quotePrefix="1" applyFont="1" applyFill="1" applyBorder="1" applyAlignment="1">
      <alignment vertical="top" wrapText="1"/>
    </xf>
    <xf numFmtId="0" fontId="0" fillId="3" borderId="1" xfId="0" applyFill="1" applyBorder="1" applyAlignment="1">
      <alignment vertical="top"/>
    </xf>
    <xf numFmtId="0" fontId="8" fillId="15" borderId="1" xfId="0" quotePrefix="1" applyFont="1" applyFill="1" applyBorder="1" applyAlignment="1">
      <alignment vertical="top"/>
    </xf>
    <xf numFmtId="0" fontId="8" fillId="15" borderId="1" xfId="0" quotePrefix="1" applyFont="1" applyFill="1" applyBorder="1" applyAlignment="1">
      <alignment horizontal="center" vertical="top"/>
    </xf>
    <xf numFmtId="0" fontId="8" fillId="15" borderId="1" xfId="0" quotePrefix="1" applyFont="1" applyFill="1" applyBorder="1" applyAlignment="1">
      <alignment vertical="top" wrapText="1"/>
    </xf>
    <xf numFmtId="0" fontId="0" fillId="0" borderId="8" xfId="0" applyFill="1" applyBorder="1" applyAlignment="1">
      <alignment vertical="top"/>
    </xf>
    <xf numFmtId="0" fontId="0" fillId="3" borderId="1" xfId="0" applyFill="1" applyBorder="1" applyAlignment="1">
      <alignment horizontal="center" vertical="center"/>
    </xf>
    <xf numFmtId="0" fontId="6" fillId="5" borderId="1" xfId="0" quotePrefix="1" applyFont="1" applyFill="1" applyBorder="1" applyAlignment="1">
      <alignment horizontal="right" vertical="top" wrapText="1"/>
    </xf>
    <xf numFmtId="0" fontId="0" fillId="0" borderId="0" xfId="0" quotePrefix="1" applyAlignment="1">
      <alignment vertical="top"/>
    </xf>
    <xf numFmtId="0" fontId="0" fillId="0" borderId="0" xfId="0" applyFill="1" applyAlignment="1">
      <alignment horizontal="left" wrapText="1"/>
    </xf>
    <xf numFmtId="0" fontId="0" fillId="0" borderId="0" xfId="0" applyFill="1" applyAlignment="1">
      <alignment horizontal="right" wrapText="1"/>
    </xf>
    <xf numFmtId="0" fontId="0" fillId="0" borderId="0" xfId="0" applyFill="1" applyBorder="1" applyAlignment="1">
      <alignment wrapText="1" shrinkToFit="1"/>
    </xf>
    <xf numFmtId="0" fontId="0" fillId="0" borderId="0" xfId="0" quotePrefix="1" applyFill="1" applyAlignment="1">
      <alignment horizontal="left" wrapText="1"/>
    </xf>
    <xf numFmtId="0" fontId="10" fillId="0" borderId="0" xfId="16" applyFill="1" applyAlignment="1">
      <alignment horizontal="left" wrapText="1" shrinkToFit="1"/>
    </xf>
    <xf numFmtId="14" fontId="0" fillId="0" borderId="0" xfId="0" quotePrefix="1" applyNumberFormat="1" applyFill="1" applyAlignment="1">
      <alignment horizontal="left" wrapText="1"/>
    </xf>
    <xf numFmtId="4" fontId="0" fillId="0" borderId="0" xfId="0" applyNumberFormat="1" applyFill="1" applyAlignment="1">
      <alignment horizontal="left" wrapText="1"/>
    </xf>
    <xf numFmtId="0" fontId="0" fillId="0" borderId="0" xfId="0" quotePrefix="1" applyNumberFormat="1" applyFill="1" applyAlignment="1">
      <alignment horizontal="left" wrapText="1"/>
    </xf>
    <xf numFmtId="0" fontId="0" fillId="14" borderId="0" xfId="0" applyFill="1" applyAlignment="1">
      <alignment horizontal="left" wrapText="1"/>
    </xf>
    <xf numFmtId="0" fontId="0" fillId="14" borderId="0" xfId="0" quotePrefix="1" applyFill="1" applyAlignment="1">
      <alignment horizontal="left" wrapText="1"/>
    </xf>
    <xf numFmtId="0" fontId="0" fillId="14" borderId="0" xfId="0" applyFill="1" applyAlignment="1">
      <alignment horizontal="left"/>
    </xf>
    <xf numFmtId="0" fontId="0" fillId="2" borderId="0" xfId="0" applyFill="1" applyAlignment="1">
      <alignment vertical="top"/>
    </xf>
    <xf numFmtId="0" fontId="10" fillId="0" borderId="0" xfId="16" applyFill="1" applyAlignment="1">
      <alignment vertical="top" wrapText="1" shrinkToFit="1"/>
    </xf>
    <xf numFmtId="14" fontId="0" fillId="0" borderId="0" xfId="0" quotePrefix="1" applyNumberFormat="1" applyFill="1" applyAlignment="1">
      <alignment horizontal="left" vertical="top" wrapText="1"/>
    </xf>
    <xf numFmtId="4" fontId="0" fillId="0" borderId="0" xfId="0" applyNumberFormat="1" applyFill="1" applyAlignment="1">
      <alignment horizontal="left" vertical="top" wrapText="1"/>
    </xf>
    <xf numFmtId="0" fontId="0" fillId="0" borderId="0" xfId="0" quotePrefix="1" applyNumberFormat="1" applyFill="1" applyAlignment="1">
      <alignment horizontal="left" vertical="top" wrapText="1"/>
    </xf>
    <xf numFmtId="0" fontId="0" fillId="0" borderId="1" xfId="0" applyFill="1" applyBorder="1" applyAlignment="1">
      <alignment vertical="top"/>
    </xf>
    <xf numFmtId="17" fontId="0" fillId="0" borderId="1" xfId="0" quotePrefix="1" applyNumberFormat="1" applyFill="1" applyBorder="1" applyAlignment="1">
      <alignment vertical="top"/>
    </xf>
    <xf numFmtId="0" fontId="0" fillId="0" borderId="1" xfId="0" applyFill="1" applyBorder="1" applyAlignment="1">
      <alignment horizontal="center" vertical="center"/>
    </xf>
    <xf numFmtId="14" fontId="0" fillId="0" borderId="0" xfId="0" quotePrefix="1" applyNumberFormat="1" applyFill="1" applyAlignment="1">
      <alignment vertical="top" wrapText="1"/>
    </xf>
    <xf numFmtId="0" fontId="0" fillId="0" borderId="0" xfId="0" quotePrefix="1" applyNumberFormat="1" applyFill="1" applyAlignment="1">
      <alignment vertical="top" wrapText="1"/>
    </xf>
    <xf numFmtId="4" fontId="0" fillId="0" borderId="0" xfId="0" applyNumberFormat="1" applyFill="1" applyAlignment="1">
      <alignment vertical="top" wrapText="1"/>
    </xf>
    <xf numFmtId="22" fontId="0" fillId="0" borderId="0" xfId="0" applyNumberFormat="1" applyFill="1" applyAlignment="1">
      <alignment horizontal="left" wrapText="1"/>
    </xf>
    <xf numFmtId="0" fontId="10" fillId="0" borderId="0" xfId="16" applyAlignment="1">
      <alignment vertical="top" wrapText="1" shrinkToFit="1"/>
    </xf>
    <xf numFmtId="0" fontId="8" fillId="13" borderId="1" xfId="0" quotePrefix="1" applyFont="1" applyFill="1" applyBorder="1"/>
    <xf numFmtId="0" fontId="8" fillId="13" borderId="1" xfId="0" quotePrefix="1" applyFont="1" applyFill="1" applyBorder="1" applyAlignment="1">
      <alignment horizontal="center" vertical="top"/>
    </xf>
    <xf numFmtId="0" fontId="8" fillId="13" borderId="1" xfId="0" quotePrefix="1" applyFont="1" applyFill="1" applyBorder="1" applyAlignment="1">
      <alignment vertical="top"/>
    </xf>
    <xf numFmtId="0" fontId="11" fillId="4" borderId="7" xfId="0" applyFont="1" applyFill="1" applyBorder="1" applyAlignment="1">
      <alignment horizontal="right" vertical="top"/>
    </xf>
    <xf numFmtId="0" fontId="7" fillId="11" borderId="10" xfId="0" applyFont="1" applyFill="1" applyBorder="1" applyAlignment="1">
      <alignment horizontal="center" vertical="center" wrapText="1"/>
    </xf>
    <xf numFmtId="0" fontId="7" fillId="11" borderId="11" xfId="0" applyFont="1" applyFill="1" applyBorder="1" applyAlignment="1">
      <alignment horizontal="center" vertical="center"/>
    </xf>
    <xf numFmtId="0" fontId="7" fillId="11" borderId="11" xfId="0" applyFont="1" applyFill="1" applyBorder="1" applyAlignment="1">
      <alignment horizontal="center" vertical="center" wrapText="1"/>
    </xf>
    <xf numFmtId="0" fontId="8" fillId="3" borderId="12" xfId="0" quotePrefix="1" applyFont="1" applyFill="1" applyBorder="1" applyAlignment="1">
      <alignment vertical="top"/>
    </xf>
    <xf numFmtId="0" fontId="0" fillId="0" borderId="2" xfId="0" quotePrefix="1" applyBorder="1" applyAlignment="1">
      <alignment vertical="top" wrapText="1"/>
    </xf>
    <xf numFmtId="0" fontId="0" fillId="0" borderId="1" xfId="0" applyBorder="1" applyAlignment="1">
      <alignment vertical="top" wrapText="1"/>
    </xf>
    <xf numFmtId="49" fontId="0" fillId="0" borderId="0" xfId="0" applyNumberFormat="1" applyAlignment="1">
      <alignment horizontal="left" vertical="top" wrapText="1"/>
    </xf>
    <xf numFmtId="0" fontId="0" fillId="7" borderId="0" xfId="0" applyFill="1" applyAlignment="1">
      <alignment horizontal="left" vertical="top" wrapText="1"/>
    </xf>
    <xf numFmtId="0" fontId="0" fillId="16" borderId="0" xfId="0" applyFill="1" applyAlignment="1">
      <alignment horizontal="left" vertical="top" wrapText="1"/>
    </xf>
    <xf numFmtId="0" fontId="9" fillId="0" borderId="0" xfId="0" applyFont="1" applyAlignment="1">
      <alignment horizontal="left" vertical="top" wrapText="1"/>
    </xf>
    <xf numFmtId="0" fontId="0" fillId="17" borderId="1" xfId="0" applyFill="1" applyBorder="1" applyAlignment="1">
      <alignment vertical="top"/>
    </xf>
    <xf numFmtId="0" fontId="0" fillId="17" borderId="1" xfId="0" applyFill="1" applyBorder="1" applyAlignment="1">
      <alignment horizontal="center" vertical="center"/>
    </xf>
    <xf numFmtId="0" fontId="0" fillId="0" borderId="0" xfId="0" applyFill="1" applyAlignment="1"/>
    <xf numFmtId="0" fontId="16" fillId="0" borderId="0" xfId="0" quotePrefix="1" applyFont="1" applyFill="1" applyBorder="1" applyAlignment="1"/>
    <xf numFmtId="0" fontId="2" fillId="0" borderId="0" xfId="0" applyFont="1"/>
    <xf numFmtId="0" fontId="17" fillId="0" borderId="0" xfId="0" applyFont="1"/>
    <xf numFmtId="0" fontId="10" fillId="0" borderId="0" xfId="16"/>
    <xf numFmtId="4" fontId="0" fillId="0" borderId="0" xfId="0" quotePrefix="1" applyNumberFormat="1"/>
    <xf numFmtId="0" fontId="0" fillId="7" borderId="0" xfId="0" applyFill="1" applyBorder="1" applyAlignment="1">
      <alignment vertical="top" wrapText="1" shrinkToFit="1"/>
    </xf>
    <xf numFmtId="0" fontId="3" fillId="4" borderId="2" xfId="0" quotePrefix="1" applyFont="1" applyFill="1" applyBorder="1" applyAlignment="1">
      <alignment horizontal="right" vertical="top"/>
    </xf>
    <xf numFmtId="0" fontId="0" fillId="18" borderId="0" xfId="0" applyFill="1" applyAlignment="1">
      <alignment horizontal="right" wrapText="1"/>
    </xf>
    <xf numFmtId="0" fontId="0" fillId="18" borderId="0" xfId="0" applyFill="1" applyBorder="1" applyAlignment="1">
      <alignment wrapText="1" shrinkToFit="1"/>
    </xf>
    <xf numFmtId="0" fontId="0" fillId="18" borderId="0" xfId="0" applyFill="1" applyAlignment="1">
      <alignment horizontal="left" wrapText="1"/>
    </xf>
    <xf numFmtId="0" fontId="0" fillId="18" borderId="0" xfId="0" quotePrefix="1" applyFill="1" applyAlignment="1">
      <alignment horizontal="left" wrapText="1"/>
    </xf>
    <xf numFmtId="0" fontId="10" fillId="18" borderId="0" xfId="16" applyFill="1" applyAlignment="1">
      <alignment horizontal="left" wrapText="1" shrinkToFit="1"/>
    </xf>
    <xf numFmtId="0" fontId="0" fillId="18" borderId="0" xfId="0" applyFill="1"/>
    <xf numFmtId="14" fontId="0" fillId="18" borderId="0" xfId="0" quotePrefix="1" applyNumberFormat="1" applyFill="1" applyAlignment="1">
      <alignment horizontal="left" wrapText="1"/>
    </xf>
    <xf numFmtId="8" fontId="0" fillId="18" borderId="0" xfId="0" applyNumberFormat="1" applyFill="1" applyAlignment="1">
      <alignment horizontal="left" wrapText="1"/>
    </xf>
    <xf numFmtId="4" fontId="0" fillId="18" borderId="0" xfId="0" applyNumberFormat="1" applyFill="1" applyAlignment="1">
      <alignment horizontal="left" wrapText="1"/>
    </xf>
    <xf numFmtId="0" fontId="0" fillId="18" borderId="0" xfId="0" quotePrefix="1" applyNumberFormat="1" applyFill="1" applyAlignment="1">
      <alignment horizontal="left" wrapText="1"/>
    </xf>
    <xf numFmtId="4" fontId="0" fillId="18" borderId="0" xfId="0" quotePrefix="1" applyNumberFormat="1" applyFill="1" applyAlignment="1">
      <alignment horizontal="left" wrapText="1"/>
    </xf>
    <xf numFmtId="0" fontId="9" fillId="18" borderId="0" xfId="0" quotePrefix="1" applyFont="1" applyFill="1"/>
    <xf numFmtId="0" fontId="0" fillId="19" borderId="0" xfId="0" applyFill="1" applyAlignment="1">
      <alignment horizontal="right" wrapText="1"/>
    </xf>
    <xf numFmtId="0" fontId="0" fillId="19" borderId="0" xfId="0" applyFill="1" applyBorder="1" applyAlignment="1">
      <alignment wrapText="1" shrinkToFit="1"/>
    </xf>
    <xf numFmtId="0" fontId="0" fillId="19" borderId="0" xfId="0" applyFill="1" applyAlignment="1">
      <alignment horizontal="left" wrapText="1"/>
    </xf>
    <xf numFmtId="0" fontId="10" fillId="19" borderId="0" xfId="16" applyFill="1" applyAlignment="1">
      <alignment horizontal="left" wrapText="1" shrinkToFit="1"/>
    </xf>
    <xf numFmtId="0" fontId="0" fillId="19" borderId="0" xfId="0" applyFill="1"/>
    <xf numFmtId="0" fontId="0" fillId="19" borderId="0" xfId="0" quotePrefix="1" applyFill="1" applyAlignment="1">
      <alignment horizontal="left" wrapText="1"/>
    </xf>
    <xf numFmtId="14" fontId="0" fillId="19" borderId="0" xfId="0" quotePrefix="1" applyNumberFormat="1" applyFill="1" applyAlignment="1">
      <alignment horizontal="left" wrapText="1"/>
    </xf>
    <xf numFmtId="8" fontId="0" fillId="19" borderId="0" xfId="0" applyNumberFormat="1" applyFill="1" applyAlignment="1">
      <alignment horizontal="left" wrapText="1"/>
    </xf>
    <xf numFmtId="4" fontId="0" fillId="19" borderId="0" xfId="0" applyNumberFormat="1" applyFill="1" applyAlignment="1">
      <alignment horizontal="left" wrapText="1"/>
    </xf>
    <xf numFmtId="0" fontId="0" fillId="19" borderId="0" xfId="0" quotePrefix="1" applyNumberFormat="1" applyFill="1" applyAlignment="1">
      <alignment horizontal="left" wrapText="1"/>
    </xf>
    <xf numFmtId="4" fontId="0" fillId="19" borderId="0" xfId="0" quotePrefix="1" applyNumberFormat="1" applyFill="1" applyAlignment="1">
      <alignment horizontal="left" wrapText="1"/>
    </xf>
    <xf numFmtId="0" fontId="9" fillId="19" borderId="0" xfId="0" applyFont="1" applyFill="1"/>
    <xf numFmtId="0" fontId="9" fillId="0" borderId="0" xfId="0" applyFont="1"/>
    <xf numFmtId="0" fontId="8" fillId="7" borderId="12" xfId="0" quotePrefix="1" applyFont="1" applyFill="1" applyBorder="1" applyAlignment="1">
      <alignment vertical="top"/>
    </xf>
    <xf numFmtId="0" fontId="8" fillId="7" borderId="1" xfId="0" quotePrefix="1" applyFont="1" applyFill="1" applyBorder="1" applyAlignment="1">
      <alignment vertical="top"/>
    </xf>
    <xf numFmtId="0" fontId="8" fillId="7" borderId="1" xfId="0" quotePrefix="1" applyFont="1" applyFill="1" applyBorder="1" applyAlignment="1">
      <alignment horizontal="center" vertical="top"/>
    </xf>
    <xf numFmtId="0" fontId="0" fillId="7" borderId="1" xfId="0" applyFill="1" applyBorder="1" applyAlignment="1">
      <alignment vertical="top"/>
    </xf>
    <xf numFmtId="17" fontId="0" fillId="7" borderId="1" xfId="0" quotePrefix="1" applyNumberFormat="1" applyFill="1" applyBorder="1" applyAlignment="1">
      <alignment vertical="top"/>
    </xf>
    <xf numFmtId="0" fontId="0" fillId="7" borderId="0" xfId="0" applyFill="1" applyBorder="1" applyAlignment="1">
      <alignment wrapText="1" shrinkToFit="1"/>
    </xf>
    <xf numFmtId="0" fontId="0" fillId="7" borderId="0" xfId="0" applyFill="1" applyAlignment="1">
      <alignment vertical="top" wrapText="1"/>
    </xf>
    <xf numFmtId="0" fontId="0" fillId="7" borderId="0" xfId="0" applyFill="1" applyAlignment="1">
      <alignment horizontal="right" wrapText="1"/>
    </xf>
    <xf numFmtId="0" fontId="0" fillId="7" borderId="0" xfId="0" applyFill="1" applyAlignment="1">
      <alignment horizontal="left" wrapText="1"/>
    </xf>
    <xf numFmtId="0" fontId="0" fillId="7" borderId="0" xfId="0" quotePrefix="1" applyFill="1" applyAlignment="1">
      <alignment horizontal="left" wrapText="1"/>
    </xf>
    <xf numFmtId="0" fontId="0" fillId="7" borderId="0" xfId="0" applyFill="1" applyAlignment="1">
      <alignment horizontal="right" vertical="top" wrapText="1"/>
    </xf>
    <xf numFmtId="0" fontId="0" fillId="7" borderId="0" xfId="0" quotePrefix="1" applyFill="1" applyAlignment="1">
      <alignment horizontal="left" vertical="top" wrapText="1"/>
    </xf>
    <xf numFmtId="0" fontId="0" fillId="7" borderId="0" xfId="0" applyFill="1" applyBorder="1" applyAlignment="1">
      <alignment horizontal="right" vertical="top" wrapText="1" shrinkToFit="1"/>
    </xf>
    <xf numFmtId="49" fontId="7" fillId="11" borderId="11" xfId="0" applyNumberFormat="1" applyFont="1" applyFill="1" applyBorder="1" applyAlignment="1">
      <alignment horizontal="center" vertical="center" wrapText="1"/>
    </xf>
    <xf numFmtId="49" fontId="8" fillId="3" borderId="1" xfId="0" quotePrefix="1" applyNumberFormat="1" applyFont="1" applyFill="1" applyBorder="1" applyAlignment="1">
      <alignment vertical="top"/>
    </xf>
    <xf numFmtId="49" fontId="0" fillId="7" borderId="1" xfId="0" quotePrefix="1" applyNumberFormat="1" applyFill="1" applyBorder="1" applyAlignment="1">
      <alignment vertical="top"/>
    </xf>
    <xf numFmtId="49" fontId="0" fillId="0" borderId="1" xfId="0" quotePrefix="1" applyNumberFormat="1" applyFill="1" applyBorder="1" applyAlignment="1">
      <alignment vertical="top"/>
    </xf>
    <xf numFmtId="49" fontId="0" fillId="0" borderId="1" xfId="0" applyNumberFormat="1" applyFill="1" applyBorder="1" applyAlignment="1">
      <alignment vertical="top"/>
    </xf>
    <xf numFmtId="49" fontId="0" fillId="3" borderId="1" xfId="0" applyNumberFormat="1" applyFill="1" applyBorder="1" applyAlignment="1">
      <alignment horizontal="center" vertical="center"/>
    </xf>
    <xf numFmtId="49" fontId="0" fillId="15" borderId="1" xfId="0" applyNumberFormat="1" applyFill="1" applyBorder="1" applyAlignment="1">
      <alignment horizontal="center" vertical="center"/>
    </xf>
    <xf numFmtId="49" fontId="8" fillId="3" borderId="1" xfId="0" quotePrefix="1" applyNumberFormat="1" applyFont="1" applyFill="1" applyBorder="1" applyAlignment="1">
      <alignment horizontal="center" vertical="top"/>
    </xf>
    <xf numFmtId="49" fontId="14" fillId="3" borderId="1" xfId="0" quotePrefix="1" applyNumberFormat="1" applyFont="1" applyFill="1" applyBorder="1" applyAlignment="1">
      <alignment vertical="top" wrapText="1"/>
    </xf>
    <xf numFmtId="49" fontId="0" fillId="13" borderId="1" xfId="0" applyNumberFormat="1" applyFill="1" applyBorder="1" applyAlignment="1">
      <alignment horizontal="center" vertical="center"/>
    </xf>
    <xf numFmtId="49" fontId="8" fillId="15" borderId="1" xfId="0" quotePrefix="1" applyNumberFormat="1" applyFont="1" applyFill="1" applyBorder="1" applyAlignment="1">
      <alignment vertical="top"/>
    </xf>
    <xf numFmtId="49" fontId="0" fillId="0" borderId="1" xfId="0" applyNumberFormat="1" applyFill="1" applyBorder="1" applyAlignment="1">
      <alignment horizontal="center" vertical="center"/>
    </xf>
    <xf numFmtId="49" fontId="0" fillId="3" borderId="1" xfId="0" applyNumberFormat="1" applyFill="1" applyBorder="1" applyAlignment="1">
      <alignment vertical="top"/>
    </xf>
    <xf numFmtId="49" fontId="0" fillId="17" borderId="1" xfId="0" applyNumberFormat="1" applyFill="1" applyBorder="1" applyAlignment="1">
      <alignment vertical="top"/>
    </xf>
    <xf numFmtId="49" fontId="0" fillId="0" borderId="0" xfId="0" applyNumberFormat="1" applyFill="1" applyAlignment="1">
      <alignment vertical="top"/>
    </xf>
    <xf numFmtId="49" fontId="0" fillId="0" borderId="0" xfId="0" applyNumberFormat="1" applyFill="1"/>
    <xf numFmtId="0" fontId="19" fillId="0" borderId="0" xfId="0" applyFont="1" applyFill="1" applyAlignment="1">
      <alignment horizontal="center"/>
    </xf>
    <xf numFmtId="0" fontId="19" fillId="0" borderId="0" xfId="0" quotePrefix="1" applyFont="1" applyFill="1" applyAlignment="1">
      <alignment horizontal="center"/>
    </xf>
    <xf numFmtId="0" fontId="20" fillId="0" borderId="0" xfId="0" quotePrefix="1" applyFont="1" applyFill="1" applyBorder="1" applyAlignment="1">
      <alignment horizontal="center"/>
    </xf>
    <xf numFmtId="0" fontId="19" fillId="7" borderId="0" xfId="0" quotePrefix="1" applyFont="1" applyFill="1" applyBorder="1" applyAlignment="1">
      <alignment horizontal="center"/>
    </xf>
    <xf numFmtId="0" fontId="19" fillId="7" borderId="0" xfId="0" quotePrefix="1" applyFont="1" applyFill="1" applyAlignment="1">
      <alignment horizontal="center"/>
    </xf>
    <xf numFmtId="0" fontId="16" fillId="0" borderId="0" xfId="0" quotePrefix="1" applyFont="1" applyFill="1" applyBorder="1" applyAlignment="1">
      <alignment wrapText="1"/>
    </xf>
    <xf numFmtId="0" fontId="0" fillId="7" borderId="0" xfId="0" applyFill="1" applyAlignment="1">
      <alignment wrapText="1"/>
    </xf>
    <xf numFmtId="0" fontId="18" fillId="0" borderId="0" xfId="0" applyFont="1"/>
  </cellXfs>
  <cellStyles count="17">
    <cellStyle name="Currency 2" xfId="15"/>
    <cellStyle name="Hyperlink" xfId="16" builtinId="8"/>
    <cellStyle name="Normal" xfId="0" builtinId="0"/>
    <cellStyle name="Normal 2" xfId="3"/>
    <cellStyle name="Normal 2 2" xfId="8"/>
    <cellStyle name="Normal 2 3" xfId="12"/>
    <cellStyle name="Normal 3" xfId="4"/>
    <cellStyle name="Normal 3 2" xfId="13"/>
    <cellStyle name="Normal 3 3" xfId="6"/>
    <cellStyle name="Normal 4" xfId="1"/>
    <cellStyle name="Normal 5" xfId="9"/>
    <cellStyle name="Normal 6" xfId="5"/>
    <cellStyle name="Normal 6 2" xfId="14"/>
    <cellStyle name="Normal 6 3" xfId="7"/>
    <cellStyle name="Normal 7" xfId="10"/>
    <cellStyle name="Normal 8" xfId="11"/>
    <cellStyle name="Normal 9" xfId="2"/>
  </cellStyles>
  <dxfs count="0"/>
  <tableStyles count="1" defaultTableStyle="TableStyleMedium2" defaultPivotStyle="PivotStyleLight16">
    <tableStyle name="Table Style 1" pivot="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10"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114300</xdr:rowOff>
        </xdr:from>
        <xdr:to>
          <xdr:col>1</xdr:col>
          <xdr:colOff>0</xdr:colOff>
          <xdr:row>1</xdr:row>
          <xdr:rowOff>171450</xdr:rowOff>
        </xdr:to>
        <xdr:sp macro="" textlink="">
          <xdr:nvSpPr>
            <xdr:cNvPr id="3083" name="CmbBCName" hidden="1">
              <a:extLst>
                <a:ext uri="{63B3BB69-23CF-44E3-9099-C40C66FF867C}">
                  <a14:compatExt spid="_x0000_s308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17</xdr:row>
          <xdr:rowOff>76200</xdr:rowOff>
        </xdr:from>
        <xdr:to>
          <xdr:col>0</xdr:col>
          <xdr:colOff>2990850</xdr:colOff>
          <xdr:row>20</xdr:row>
          <xdr:rowOff>38100</xdr:rowOff>
        </xdr:to>
        <xdr:sp macro="" textlink="">
          <xdr:nvSpPr>
            <xdr:cNvPr id="3084" name="cmdFindTest" hidden="1">
              <a:extLst>
                <a:ext uri="{63B3BB69-23CF-44E3-9099-C40C66FF867C}">
                  <a14:compatExt spid="_x0000_s308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15</xdr:row>
          <xdr:rowOff>47625</xdr:rowOff>
        </xdr:from>
        <xdr:to>
          <xdr:col>0</xdr:col>
          <xdr:colOff>3028950</xdr:colOff>
          <xdr:row>16</xdr:row>
          <xdr:rowOff>171450</xdr:rowOff>
        </xdr:to>
        <xdr:sp macro="" textlink="">
          <xdr:nvSpPr>
            <xdr:cNvPr id="3085" name="cmdFindBC" hidden="1">
              <a:extLst>
                <a:ext uri="{63B3BB69-23CF-44E3-9099-C40C66FF867C}">
                  <a14:compatExt spid="_x0000_s308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1562100</xdr:colOff>
          <xdr:row>5</xdr:row>
          <xdr:rowOff>142875</xdr:rowOff>
        </xdr:from>
        <xdr:to>
          <xdr:col>0</xdr:col>
          <xdr:colOff>2876550</xdr:colOff>
          <xdr:row>8</xdr:row>
          <xdr:rowOff>66675</xdr:rowOff>
        </xdr:to>
        <xdr:sp macro="" textlink="">
          <xdr:nvSpPr>
            <xdr:cNvPr id="3086" name="cmdNext"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1514475</xdr:colOff>
          <xdr:row>8</xdr:row>
          <xdr:rowOff>180975</xdr:rowOff>
        </xdr:from>
        <xdr:to>
          <xdr:col>0</xdr:col>
          <xdr:colOff>3000375</xdr:colOff>
          <xdr:row>11</xdr:row>
          <xdr:rowOff>171450</xdr:rowOff>
        </xdr:to>
        <xdr:sp macro="" textlink="">
          <xdr:nvSpPr>
            <xdr:cNvPr id="3089" name="cmdImportHeaders" hidden="1">
              <a:extLst>
                <a:ext uri="{63B3BB69-23CF-44E3-9099-C40C66FF867C}">
                  <a14:compatExt spid="_x0000_s308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8</xdr:row>
          <xdr:rowOff>180975</xdr:rowOff>
        </xdr:from>
        <xdr:to>
          <xdr:col>0</xdr:col>
          <xdr:colOff>1447800</xdr:colOff>
          <xdr:row>11</xdr:row>
          <xdr:rowOff>152400</xdr:rowOff>
        </xdr:to>
        <xdr:sp macro="" textlink="">
          <xdr:nvSpPr>
            <xdr:cNvPr id="3088" name="cmdShowAllCol" hidden="1">
              <a:extLst>
                <a:ext uri="{63B3BB69-23CF-44E3-9099-C40C66FF867C}">
                  <a14:compatExt spid="_x0000_s308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5</xdr:row>
          <xdr:rowOff>133350</xdr:rowOff>
        </xdr:from>
        <xdr:to>
          <xdr:col>0</xdr:col>
          <xdr:colOff>1381125</xdr:colOff>
          <xdr:row>8</xdr:row>
          <xdr:rowOff>114300</xdr:rowOff>
        </xdr:to>
        <xdr:sp macro="" textlink="">
          <xdr:nvSpPr>
            <xdr:cNvPr id="3087" name="cmdPrevious" hidden="1">
              <a:extLst>
                <a:ext uri="{63B3BB69-23CF-44E3-9099-C40C66FF867C}">
                  <a14:compatExt spid="_x0000_s308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171450</xdr:rowOff>
        </xdr:from>
        <xdr:to>
          <xdr:col>0</xdr:col>
          <xdr:colOff>3076575</xdr:colOff>
          <xdr:row>5</xdr:row>
          <xdr:rowOff>47625</xdr:rowOff>
        </xdr:to>
        <xdr:sp macro="" textlink="">
          <xdr:nvSpPr>
            <xdr:cNvPr id="3082" name="cmbTestCase" hidden="1">
              <a:extLst>
                <a:ext uri="{63B3BB69-23CF-44E3-9099-C40C66FF867C}">
                  <a14:compatExt spid="_x0000_s308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1514475</xdr:colOff>
          <xdr:row>12</xdr:row>
          <xdr:rowOff>19050</xdr:rowOff>
        </xdr:from>
        <xdr:to>
          <xdr:col>0</xdr:col>
          <xdr:colOff>3028950</xdr:colOff>
          <xdr:row>14</xdr:row>
          <xdr:rowOff>123825</xdr:rowOff>
        </xdr:to>
        <xdr:sp macro="" textlink="">
          <xdr:nvSpPr>
            <xdr:cNvPr id="3090" name="cmdDeletedCol" hidden="1">
              <a:extLst>
                <a:ext uri="{63B3BB69-23CF-44E3-9099-C40C66FF867C}">
                  <a14:compatExt spid="_x0000_s309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12</xdr:row>
          <xdr:rowOff>0</xdr:rowOff>
        </xdr:from>
        <xdr:to>
          <xdr:col>0</xdr:col>
          <xdr:colOff>1409700</xdr:colOff>
          <xdr:row>14</xdr:row>
          <xdr:rowOff>152400</xdr:rowOff>
        </xdr:to>
        <xdr:sp macro="" textlink="">
          <xdr:nvSpPr>
            <xdr:cNvPr id="3094" name="cmdTCExecutionTime" hidden="1">
              <a:extLst>
                <a:ext uri="{63B3BB69-23CF-44E3-9099-C40C66FF867C}">
                  <a14:compatExt spid="_x0000_s3094"/>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866775</xdr:colOff>
          <xdr:row>0</xdr:row>
          <xdr:rowOff>76200</xdr:rowOff>
        </xdr:from>
        <xdr:to>
          <xdr:col>2</xdr:col>
          <xdr:colOff>1209675</xdr:colOff>
          <xdr:row>12</xdr:row>
          <xdr:rowOff>47625</xdr:rowOff>
        </xdr:to>
        <xdr:sp macro="" textlink="">
          <xdr:nvSpPr>
            <xdr:cNvPr id="7171" name="cmdDone" hidden="1">
              <a:extLst>
                <a:ext uri="{63B3BB69-23CF-44E3-9099-C40C66FF867C}">
                  <a14:compatExt spid="_x0000_s717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hajekarr/AppData/Local/Microsoft/Windows/Temporary%20Internet%20Files/Content.Outlook/NV9AT0DG/Datasheet_Salt_Two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Application_Environment"/>
      <sheetName val="DataSheet"/>
      <sheetName val="Mapping"/>
      <sheetName val="TabData"/>
      <sheetName val="Version Control"/>
      <sheetName val="Sheet1"/>
    </sheetNames>
    <sheetDataSet>
      <sheetData sheetId="0"/>
      <sheetData sheetId="1"/>
      <sheetData sheetId="2"/>
      <sheetData sheetId="3"/>
      <sheetData sheetId="4"/>
      <sheetData sheetId="5"/>
      <sheetData sheetId="6">
        <row r="2">
          <cell r="H2" t="str">
            <v>Settle</v>
          </cell>
        </row>
        <row r="3">
          <cell r="H3" t="str">
            <v>Reject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buy.rgt.salt.travelex.com.au/au/Home" TargetMode="External"/><Relationship Id="rId2" Type="http://schemas.openxmlformats.org/officeDocument/2006/relationships/hyperlink" Target="http://admin.rgt.salt.travelex.com/Login.aspx" TargetMode="External"/><Relationship Id="rId1" Type="http://schemas.openxmlformats.org/officeDocument/2006/relationships/printerSettings" Target="../printerSettings/printerSettings3.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3" Type="http://schemas.openxmlformats.org/officeDocument/2006/relationships/hyperlink" Target="http://admin.rgt.salt.travelex.com/Login.aspx" TargetMode="External"/><Relationship Id="rId18" Type="http://schemas.openxmlformats.org/officeDocument/2006/relationships/hyperlink" Target="file:///\\gb-pb-gec-vt5\Batch\Swift\AU\Import" TargetMode="External"/><Relationship Id="rId26" Type="http://schemas.openxmlformats.org/officeDocument/2006/relationships/hyperlink" Target="mailto:nilesh.sabale@travelex.com" TargetMode="External"/><Relationship Id="rId39" Type="http://schemas.openxmlformats.org/officeDocument/2006/relationships/control" Target="../activeX/activeX3.xml"/><Relationship Id="rId21" Type="http://schemas.openxmlformats.org/officeDocument/2006/relationships/hyperlink" Target="file:///\\gb-pb-gec-vt5\Batch\BPay\AU\Import" TargetMode="External"/><Relationship Id="rId34" Type="http://schemas.openxmlformats.org/officeDocument/2006/relationships/vmlDrawing" Target="../drawings/vmlDrawing1.vml"/><Relationship Id="rId42" Type="http://schemas.openxmlformats.org/officeDocument/2006/relationships/image" Target="../media/image4.emf"/><Relationship Id="rId47" Type="http://schemas.openxmlformats.org/officeDocument/2006/relationships/control" Target="../activeX/activeX7.xml"/><Relationship Id="rId50" Type="http://schemas.openxmlformats.org/officeDocument/2006/relationships/image" Target="../media/image8.emf"/><Relationship Id="rId55" Type="http://schemas.openxmlformats.org/officeDocument/2006/relationships/comments" Target="../comments1.xml"/><Relationship Id="rId7" Type="http://schemas.openxmlformats.org/officeDocument/2006/relationships/hyperlink" Target="file:///\\gb-pb-gec-vt5\Batch\BPay\AU\Import" TargetMode="External"/><Relationship Id="rId12" Type="http://schemas.openxmlformats.org/officeDocument/2006/relationships/hyperlink" Target="mailto:durvesh.naik@travelex.com" TargetMode="External"/><Relationship Id="rId17" Type="http://schemas.openxmlformats.org/officeDocument/2006/relationships/hyperlink" Target="file:///\\gb-pb-gec-vt5\Batch\Swift\AU\Import" TargetMode="External"/><Relationship Id="rId25" Type="http://schemas.openxmlformats.org/officeDocument/2006/relationships/hyperlink" Target="mailto:nilesh.sabale@travelex.com" TargetMode="External"/><Relationship Id="rId33" Type="http://schemas.openxmlformats.org/officeDocument/2006/relationships/drawing" Target="../drawings/drawing1.xml"/><Relationship Id="rId38" Type="http://schemas.openxmlformats.org/officeDocument/2006/relationships/image" Target="../media/image2.emf"/><Relationship Id="rId46" Type="http://schemas.openxmlformats.org/officeDocument/2006/relationships/image" Target="../media/image6.emf"/><Relationship Id="rId2" Type="http://schemas.openxmlformats.org/officeDocument/2006/relationships/hyperlink" Target="mailto:krishnamraju.k@travelex.com" TargetMode="External"/><Relationship Id="rId16" Type="http://schemas.openxmlformats.org/officeDocument/2006/relationships/hyperlink" Target="file:///\\gb-pb-gec-vt5\Batch\Swift\AU\Import" TargetMode="External"/><Relationship Id="rId20" Type="http://schemas.openxmlformats.org/officeDocument/2006/relationships/hyperlink" Target="file:///\\gb-pb-gec-vt5\Batch\BPay\AU\Import" TargetMode="External"/><Relationship Id="rId29" Type="http://schemas.openxmlformats.org/officeDocument/2006/relationships/hyperlink" Target="http://admin.rgt.salt.travelex.com/Pages/Dashboard/OrderToPackView.aspx?id=102896&amp;ReturnURL=http%3a%2f%2fadmin.rgt.salt.travelex.com%2fPages%2fDashboard%2fOrdersToPackUnpack.aspx%3fType%3dPack" TargetMode="External"/><Relationship Id="rId41" Type="http://schemas.openxmlformats.org/officeDocument/2006/relationships/control" Target="../activeX/activeX4.xml"/><Relationship Id="rId54" Type="http://schemas.openxmlformats.org/officeDocument/2006/relationships/image" Target="../media/image10.emf"/><Relationship Id="rId1" Type="http://schemas.openxmlformats.org/officeDocument/2006/relationships/printerSettings" Target="../printerSettings/printerSettings5.bin"/><Relationship Id="rId6" Type="http://schemas.openxmlformats.org/officeDocument/2006/relationships/hyperlink" Target="file:///\\gb-pb-gec-vt5\Batch\BPay\AU\Import" TargetMode="External"/><Relationship Id="rId11" Type="http://schemas.openxmlformats.org/officeDocument/2006/relationships/hyperlink" Target="mailto:durvesh.naik@travelex.com" TargetMode="External"/><Relationship Id="rId24" Type="http://schemas.openxmlformats.org/officeDocument/2006/relationships/hyperlink" Target="file:///\\gb-pb-gec-vt5\Batch\BPay\AU\Import" TargetMode="External"/><Relationship Id="rId32" Type="http://schemas.openxmlformats.org/officeDocument/2006/relationships/printerSettings" Target="../printerSettings/printerSettings6.bin"/><Relationship Id="rId37" Type="http://schemas.openxmlformats.org/officeDocument/2006/relationships/control" Target="../activeX/activeX2.xml"/><Relationship Id="rId40" Type="http://schemas.openxmlformats.org/officeDocument/2006/relationships/image" Target="../media/image3.emf"/><Relationship Id="rId45" Type="http://schemas.openxmlformats.org/officeDocument/2006/relationships/control" Target="../activeX/activeX6.xml"/><Relationship Id="rId53" Type="http://schemas.openxmlformats.org/officeDocument/2006/relationships/control" Target="../activeX/activeX10.xml"/><Relationship Id="rId5" Type="http://schemas.openxmlformats.org/officeDocument/2006/relationships/hyperlink" Target="mailto:krishnamraju.k@travelex.com" TargetMode="External"/><Relationship Id="rId15" Type="http://schemas.openxmlformats.org/officeDocument/2006/relationships/hyperlink" Target="file:///\\gb-pb-gec-vt5\Batch\Swift\AU\Unprocessed" TargetMode="External"/><Relationship Id="rId23" Type="http://schemas.openxmlformats.org/officeDocument/2006/relationships/hyperlink" Target="file:///\\gb-pb-gec-vt5\Batch\BPay\AU\Import" TargetMode="External"/><Relationship Id="rId28" Type="http://schemas.openxmlformats.org/officeDocument/2006/relationships/hyperlink" Target="http://admin.rgt.salt.travelex.com/Pages/OrderManagement/View.aspx?id=4100912&amp;ReturnURL=/Pages/OrderManagement/default.aspx?ostate=Packed|srtDir=False" TargetMode="External"/><Relationship Id="rId36" Type="http://schemas.openxmlformats.org/officeDocument/2006/relationships/image" Target="../media/image1.emf"/><Relationship Id="rId49" Type="http://schemas.openxmlformats.org/officeDocument/2006/relationships/control" Target="../activeX/activeX8.xml"/><Relationship Id="rId10" Type="http://schemas.openxmlformats.org/officeDocument/2006/relationships/hyperlink" Target="mailto:durvesh.naik@travelex.com" TargetMode="External"/><Relationship Id="rId19" Type="http://schemas.openxmlformats.org/officeDocument/2006/relationships/hyperlink" Target="file:///\\gb-pb-gec-vt5\Batch\Swift\AU\Import" TargetMode="External"/><Relationship Id="rId31" Type="http://schemas.openxmlformats.org/officeDocument/2006/relationships/hyperlink" Target="http://admin.rgt.salt.travelex.com/Pages/OrderManagement/View.aspx?id=4102308&amp;ReturnURL=/Pages/OrderManagement/default.aspx?ostate=PendingPackingStore|srtDir=False" TargetMode="External"/><Relationship Id="rId44" Type="http://schemas.openxmlformats.org/officeDocument/2006/relationships/image" Target="../media/image5.emf"/><Relationship Id="rId52" Type="http://schemas.openxmlformats.org/officeDocument/2006/relationships/image" Target="../media/image9.emf"/><Relationship Id="rId4" Type="http://schemas.openxmlformats.org/officeDocument/2006/relationships/hyperlink" Target="mailto:krishnamraju.k@travelex.com" TargetMode="External"/><Relationship Id="rId9" Type="http://schemas.openxmlformats.org/officeDocument/2006/relationships/hyperlink" Target="mailto:durvesh.naik@travelex.com" TargetMode="External"/><Relationship Id="rId14" Type="http://schemas.openxmlformats.org/officeDocument/2006/relationships/hyperlink" Target="file:///\\gb-pb-gec-vt5\Batch\BPay\AU\Import" TargetMode="External"/><Relationship Id="rId22" Type="http://schemas.openxmlformats.org/officeDocument/2006/relationships/hyperlink" Target="file:///\\gb-pb-gec-vt5\Batch\BPay\AU\Import" TargetMode="External"/><Relationship Id="rId27" Type="http://schemas.openxmlformats.org/officeDocument/2006/relationships/hyperlink" Target="http://admin.rgt.salt.travelex.com/Pages/OrderManagement/View.aspx?id=4100912&amp;ReturnURL=/Pages/OrderManagement/default.aspx?ostate=Packed|srtDir=False" TargetMode="External"/><Relationship Id="rId30" Type="http://schemas.openxmlformats.org/officeDocument/2006/relationships/hyperlink" Target="http://admin.rgt.salt.travelex.com/Pages/OrderManagement/View.aspx?id=4102308&amp;ReturnURL=/Pages/OrderManagement/default.aspx?ostate=PendingPackingStore|srtDir=False" TargetMode="External"/><Relationship Id="rId35" Type="http://schemas.openxmlformats.org/officeDocument/2006/relationships/control" Target="../activeX/activeX1.xml"/><Relationship Id="rId43" Type="http://schemas.openxmlformats.org/officeDocument/2006/relationships/control" Target="../activeX/activeX5.xml"/><Relationship Id="rId48" Type="http://schemas.openxmlformats.org/officeDocument/2006/relationships/image" Target="../media/image7.emf"/><Relationship Id="rId8" Type="http://schemas.openxmlformats.org/officeDocument/2006/relationships/hyperlink" Target="file:///\\gb-pb-gec-vt5\Batch\BPay\AU\Import" TargetMode="External"/><Relationship Id="rId51" Type="http://schemas.openxmlformats.org/officeDocument/2006/relationships/control" Target="../activeX/activeX9.xml"/><Relationship Id="rId3" Type="http://schemas.openxmlformats.org/officeDocument/2006/relationships/hyperlink" Target="mailto:krishnamraju.k@travelex.com"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image" Target="../media/image11.emf"/><Relationship Id="rId5" Type="http://schemas.openxmlformats.org/officeDocument/2006/relationships/control" Target="../activeX/activeX1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99"/>
  <sheetViews>
    <sheetView workbookViewId="0">
      <selection activeCell="D14" sqref="D14:F16"/>
    </sheetView>
  </sheetViews>
  <sheetFormatPr defaultRowHeight="15" x14ac:dyDescent="0.25"/>
  <cols>
    <col min="1" max="1" width="7.5703125" style="25" customWidth="1"/>
    <col min="2" max="2" width="38.140625" style="25" customWidth="1"/>
    <col min="3" max="3" width="7.5703125" style="92" bestFit="1" customWidth="1"/>
    <col min="4" max="4" width="50.7109375" style="25" bestFit="1" customWidth="1"/>
    <col min="5" max="5" width="6.5703125" style="261" customWidth="1"/>
    <col min="6" max="6" width="44.28515625" style="177" customWidth="1"/>
    <col min="7" max="7" width="11" style="25" customWidth="1"/>
    <col min="8" max="16384" width="9.140625" style="25"/>
  </cols>
  <sheetData>
    <row r="1" spans="1:6" x14ac:dyDescent="0.25">
      <c r="A1" s="188" t="s">
        <v>14</v>
      </c>
      <c r="B1" s="189" t="s">
        <v>15</v>
      </c>
      <c r="C1" s="189" t="s">
        <v>795</v>
      </c>
      <c r="D1" s="190" t="s">
        <v>204</v>
      </c>
      <c r="E1" s="246"/>
    </row>
    <row r="2" spans="1:6" s="51" customFormat="1" x14ac:dyDescent="0.25">
      <c r="A2" s="191">
        <v>1</v>
      </c>
      <c r="B2" s="148" t="s">
        <v>310</v>
      </c>
      <c r="C2" s="149" t="s">
        <v>1191</v>
      </c>
      <c r="D2" s="148"/>
      <c r="E2" s="247"/>
      <c r="F2" s="177"/>
    </row>
    <row r="3" spans="1:6" s="51" customFormat="1" x14ac:dyDescent="0.25">
      <c r="A3" s="191">
        <v>2</v>
      </c>
      <c r="B3" s="148" t="s">
        <v>311</v>
      </c>
      <c r="C3" s="149"/>
      <c r="D3" s="148"/>
      <c r="E3" s="247"/>
      <c r="F3" s="177"/>
    </row>
    <row r="4" spans="1:6" s="51" customFormat="1" x14ac:dyDescent="0.25">
      <c r="A4" s="233">
        <v>3</v>
      </c>
      <c r="B4" s="234" t="s">
        <v>513</v>
      </c>
      <c r="C4" s="235"/>
      <c r="D4" s="236" t="s">
        <v>1469</v>
      </c>
      <c r="E4" s="248">
        <v>4</v>
      </c>
      <c r="F4" s="237" t="s">
        <v>1468</v>
      </c>
    </row>
    <row r="5" spans="1:6" s="51" customFormat="1" x14ac:dyDescent="0.25">
      <c r="A5" s="191">
        <v>4</v>
      </c>
      <c r="B5" s="148" t="s">
        <v>514</v>
      </c>
      <c r="C5" s="149"/>
      <c r="D5" s="236" t="s">
        <v>1469</v>
      </c>
      <c r="E5" s="249">
        <v>3</v>
      </c>
      <c r="F5" s="237" t="s">
        <v>1470</v>
      </c>
    </row>
    <row r="6" spans="1:6" s="51" customFormat="1" x14ac:dyDescent="0.25">
      <c r="A6" s="191">
        <v>5</v>
      </c>
      <c r="B6" s="148" t="s">
        <v>515</v>
      </c>
      <c r="C6" s="149"/>
      <c r="D6" s="236" t="s">
        <v>1469</v>
      </c>
      <c r="E6" s="249" t="s">
        <v>1478</v>
      </c>
      <c r="F6" s="237" t="s">
        <v>1471</v>
      </c>
    </row>
    <row r="7" spans="1:6" s="51" customFormat="1" x14ac:dyDescent="0.25">
      <c r="A7" s="191">
        <v>6</v>
      </c>
      <c r="B7" s="148" t="s">
        <v>1018</v>
      </c>
      <c r="C7" s="149"/>
      <c r="D7" s="236" t="s">
        <v>1469</v>
      </c>
      <c r="E7" s="249" t="s">
        <v>1478</v>
      </c>
      <c r="F7" s="237" t="s">
        <v>1472</v>
      </c>
    </row>
    <row r="8" spans="1:6" s="51" customFormat="1" x14ac:dyDescent="0.25">
      <c r="A8" s="191">
        <v>7</v>
      </c>
      <c r="B8" s="148" t="s">
        <v>1020</v>
      </c>
      <c r="C8" s="149"/>
      <c r="D8" s="236" t="s">
        <v>1469</v>
      </c>
      <c r="E8" s="250" t="s">
        <v>1479</v>
      </c>
      <c r="F8" s="237" t="s">
        <v>1473</v>
      </c>
    </row>
    <row r="9" spans="1:6" s="51" customFormat="1" x14ac:dyDescent="0.25">
      <c r="A9" s="191">
        <v>8</v>
      </c>
      <c r="B9" s="148" t="s">
        <v>1021</v>
      </c>
      <c r="C9" s="149"/>
      <c r="D9" s="236" t="s">
        <v>1469</v>
      </c>
      <c r="E9" s="250" t="s">
        <v>1479</v>
      </c>
      <c r="F9" s="237" t="s">
        <v>1474</v>
      </c>
    </row>
    <row r="10" spans="1:6" s="51" customFormat="1" x14ac:dyDescent="0.25">
      <c r="A10" s="191">
        <v>9</v>
      </c>
      <c r="B10" s="148" t="s">
        <v>1022</v>
      </c>
      <c r="C10" s="149"/>
      <c r="D10" s="236" t="s">
        <v>1469</v>
      </c>
      <c r="E10" s="250" t="s">
        <v>1479</v>
      </c>
      <c r="F10" s="237" t="s">
        <v>1475</v>
      </c>
    </row>
    <row r="11" spans="1:6" s="51" customFormat="1" x14ac:dyDescent="0.25">
      <c r="A11" s="191">
        <v>10</v>
      </c>
      <c r="B11" s="148" t="s">
        <v>1023</v>
      </c>
      <c r="C11" s="149"/>
      <c r="D11" s="236" t="s">
        <v>1469</v>
      </c>
      <c r="E11" s="250" t="s">
        <v>1479</v>
      </c>
      <c r="F11" s="237" t="s">
        <v>1476</v>
      </c>
    </row>
    <row r="12" spans="1:6" s="51" customFormat="1" x14ac:dyDescent="0.25">
      <c r="A12" s="191">
        <v>11</v>
      </c>
      <c r="B12" s="148" t="s">
        <v>205</v>
      </c>
      <c r="C12" s="149"/>
      <c r="D12" s="148" t="s">
        <v>1477</v>
      </c>
      <c r="E12" s="251" t="s">
        <v>1479</v>
      </c>
      <c r="F12" s="237" t="s">
        <v>1480</v>
      </c>
    </row>
    <row r="13" spans="1:6" s="51" customFormat="1" x14ac:dyDescent="0.25">
      <c r="A13" s="191">
        <v>12</v>
      </c>
      <c r="B13" s="148" t="s">
        <v>206</v>
      </c>
      <c r="C13" s="149"/>
      <c r="D13" s="148" t="s">
        <v>1477</v>
      </c>
      <c r="E13" s="251" t="s">
        <v>1479</v>
      </c>
      <c r="F13" s="237" t="s">
        <v>1480</v>
      </c>
    </row>
    <row r="14" spans="1:6" s="51" customFormat="1" x14ac:dyDescent="0.25">
      <c r="A14" s="191">
        <v>13</v>
      </c>
      <c r="B14" s="148" t="s">
        <v>207</v>
      </c>
      <c r="C14" s="149"/>
      <c r="D14" s="148" t="s">
        <v>1477</v>
      </c>
      <c r="E14" s="251" t="s">
        <v>1479</v>
      </c>
      <c r="F14" s="237" t="s">
        <v>1481</v>
      </c>
    </row>
    <row r="15" spans="1:6" s="51" customFormat="1" x14ac:dyDescent="0.25">
      <c r="A15" s="191">
        <v>14</v>
      </c>
      <c r="B15" s="148" t="s">
        <v>208</v>
      </c>
      <c r="C15" s="149"/>
      <c r="D15" s="148" t="s">
        <v>1483</v>
      </c>
      <c r="E15" s="251" t="s">
        <v>1479</v>
      </c>
      <c r="F15" s="237" t="s">
        <v>1482</v>
      </c>
    </row>
    <row r="16" spans="1:6" s="51" customFormat="1" x14ac:dyDescent="0.25">
      <c r="A16" s="191">
        <v>15</v>
      </c>
      <c r="B16" s="148" t="s">
        <v>209</v>
      </c>
      <c r="C16" s="149"/>
      <c r="D16" s="148" t="s">
        <v>310</v>
      </c>
      <c r="E16" s="251" t="s">
        <v>1479</v>
      </c>
      <c r="F16" s="237" t="s">
        <v>1482</v>
      </c>
    </row>
    <row r="17" spans="1:7" s="51" customFormat="1" x14ac:dyDescent="0.25">
      <c r="A17" s="191">
        <v>16</v>
      </c>
      <c r="B17" s="153" t="s">
        <v>210</v>
      </c>
      <c r="C17" s="154"/>
      <c r="D17" s="153" t="s">
        <v>310</v>
      </c>
      <c r="E17" s="252"/>
      <c r="F17" s="177"/>
    </row>
    <row r="18" spans="1:7" s="51" customFormat="1" x14ac:dyDescent="0.25">
      <c r="A18" s="191">
        <v>17</v>
      </c>
      <c r="B18" s="155" t="s">
        <v>211</v>
      </c>
      <c r="C18" s="154"/>
      <c r="D18" s="153" t="s">
        <v>310</v>
      </c>
      <c r="E18" s="252"/>
      <c r="F18" s="177" t="s">
        <v>737</v>
      </c>
    </row>
    <row r="19" spans="1:7" s="51" customFormat="1" x14ac:dyDescent="0.25">
      <c r="A19" s="191">
        <v>18</v>
      </c>
      <c r="B19" s="148" t="s">
        <v>212</v>
      </c>
      <c r="C19" s="149"/>
      <c r="D19" s="148" t="s">
        <v>310</v>
      </c>
      <c r="E19" s="251">
        <v>4</v>
      </c>
      <c r="F19" s="177"/>
    </row>
    <row r="20" spans="1:7" s="51" customFormat="1" x14ac:dyDescent="0.25">
      <c r="A20" s="191">
        <v>19</v>
      </c>
      <c r="B20" s="148" t="s">
        <v>215</v>
      </c>
      <c r="C20" s="149" t="s">
        <v>1191</v>
      </c>
      <c r="D20" s="148" t="s">
        <v>310</v>
      </c>
      <c r="E20" s="251">
        <v>4</v>
      </c>
      <c r="F20" s="177"/>
    </row>
    <row r="21" spans="1:7" s="51" customFormat="1" x14ac:dyDescent="0.25">
      <c r="A21" s="191">
        <v>20</v>
      </c>
      <c r="B21" s="148" t="s">
        <v>213</v>
      </c>
      <c r="C21" s="149" t="s">
        <v>1191</v>
      </c>
      <c r="D21" s="148" t="s">
        <v>215</v>
      </c>
      <c r="E21" s="253">
        <v>1</v>
      </c>
      <c r="F21" s="177"/>
    </row>
    <row r="22" spans="1:7" s="51" customFormat="1" x14ac:dyDescent="0.25">
      <c r="A22" s="191">
        <v>21</v>
      </c>
      <c r="B22" s="148" t="s">
        <v>216</v>
      </c>
      <c r="C22" s="149"/>
      <c r="D22" s="148" t="s">
        <v>310</v>
      </c>
      <c r="E22" s="251">
        <v>5</v>
      </c>
      <c r="F22" s="177"/>
    </row>
    <row r="23" spans="1:7" s="51" customFormat="1" x14ac:dyDescent="0.25">
      <c r="A23" s="191">
        <v>22</v>
      </c>
      <c r="B23" s="148" t="s">
        <v>219</v>
      </c>
      <c r="C23" s="149"/>
      <c r="D23" s="148" t="s">
        <v>310</v>
      </c>
      <c r="E23" s="251">
        <v>6</v>
      </c>
      <c r="F23" s="177" t="s">
        <v>739</v>
      </c>
    </row>
    <row r="24" spans="1:7" s="51" customFormat="1" x14ac:dyDescent="0.25">
      <c r="A24" s="191">
        <v>23</v>
      </c>
      <c r="B24" s="148" t="s">
        <v>220</v>
      </c>
      <c r="C24" s="149"/>
      <c r="D24" s="148" t="s">
        <v>310</v>
      </c>
      <c r="E24" s="251">
        <v>7</v>
      </c>
      <c r="F24" s="177" t="s">
        <v>739</v>
      </c>
    </row>
    <row r="25" spans="1:7" s="51" customFormat="1" x14ac:dyDescent="0.25">
      <c r="A25" s="191">
        <v>24</v>
      </c>
      <c r="B25" s="151" t="s">
        <v>217</v>
      </c>
      <c r="C25" s="149"/>
      <c r="D25" s="150"/>
      <c r="E25" s="254"/>
      <c r="F25" s="177" t="s">
        <v>738</v>
      </c>
      <c r="G25" s="51" t="s">
        <v>1038</v>
      </c>
    </row>
    <row r="26" spans="1:7" s="51" customFormat="1" x14ac:dyDescent="0.25">
      <c r="A26" s="191">
        <v>25</v>
      </c>
      <c r="B26" s="151" t="s">
        <v>218</v>
      </c>
      <c r="C26" s="149"/>
      <c r="D26" s="150"/>
      <c r="E26" s="254"/>
      <c r="F26" s="177" t="s">
        <v>738</v>
      </c>
    </row>
    <row r="27" spans="1:7" s="51" customFormat="1" x14ac:dyDescent="0.25">
      <c r="A27" s="191">
        <v>26</v>
      </c>
      <c r="B27" s="148" t="s">
        <v>214</v>
      </c>
      <c r="C27" s="149"/>
      <c r="D27" s="148" t="s">
        <v>310</v>
      </c>
      <c r="E27" s="251">
        <v>23</v>
      </c>
      <c r="F27" s="177"/>
    </row>
    <row r="28" spans="1:7" s="51" customFormat="1" x14ac:dyDescent="0.25">
      <c r="A28" s="191">
        <v>27</v>
      </c>
      <c r="B28" s="148" t="s">
        <v>221</v>
      </c>
      <c r="C28" s="149"/>
      <c r="D28" s="148" t="s">
        <v>310</v>
      </c>
      <c r="E28" s="251">
        <v>8</v>
      </c>
      <c r="F28" s="177"/>
    </row>
    <row r="29" spans="1:7" s="51" customFormat="1" x14ac:dyDescent="0.25">
      <c r="A29" s="191">
        <v>28</v>
      </c>
      <c r="B29" s="148" t="s">
        <v>222</v>
      </c>
      <c r="C29" s="149"/>
      <c r="D29" s="148" t="s">
        <v>310</v>
      </c>
      <c r="E29" s="251">
        <v>9</v>
      </c>
      <c r="F29" s="177"/>
    </row>
    <row r="30" spans="1:7" s="51" customFormat="1" x14ac:dyDescent="0.25">
      <c r="A30" s="191">
        <v>29</v>
      </c>
      <c r="B30" s="186" t="s">
        <v>995</v>
      </c>
      <c r="C30" s="185"/>
      <c r="D30" s="186" t="s">
        <v>310</v>
      </c>
      <c r="E30" s="255">
        <v>10</v>
      </c>
      <c r="F30" s="177"/>
    </row>
    <row r="31" spans="1:7" s="51" customFormat="1" x14ac:dyDescent="0.25">
      <c r="A31" s="191">
        <v>30</v>
      </c>
      <c r="B31" s="153" t="s">
        <v>223</v>
      </c>
      <c r="C31" s="154"/>
      <c r="D31" s="153"/>
      <c r="E31" s="256"/>
      <c r="F31" s="177"/>
    </row>
    <row r="32" spans="1:7" s="51" customFormat="1" x14ac:dyDescent="0.25">
      <c r="A32" s="191">
        <v>31</v>
      </c>
      <c r="B32" s="62" t="s">
        <v>352</v>
      </c>
      <c r="C32" s="149" t="s">
        <v>1191</v>
      </c>
      <c r="D32" s="62" t="s">
        <v>310</v>
      </c>
      <c r="E32" s="257">
        <v>11</v>
      </c>
      <c r="F32" s="177"/>
    </row>
    <row r="33" spans="1:6" s="51" customFormat="1" x14ac:dyDescent="0.25">
      <c r="A33" s="191">
        <v>32</v>
      </c>
      <c r="B33" s="62" t="s">
        <v>353</v>
      </c>
      <c r="C33" s="149" t="s">
        <v>1191</v>
      </c>
      <c r="D33" s="62" t="s">
        <v>310</v>
      </c>
      <c r="E33" s="257">
        <v>12</v>
      </c>
      <c r="F33" s="177"/>
    </row>
    <row r="34" spans="1:6" s="51" customFormat="1" x14ac:dyDescent="0.25">
      <c r="A34" s="191">
        <v>33</v>
      </c>
      <c r="B34" s="62" t="s">
        <v>354</v>
      </c>
      <c r="C34" s="149" t="s">
        <v>1191</v>
      </c>
      <c r="D34" s="62" t="s">
        <v>310</v>
      </c>
      <c r="E34" s="257">
        <v>13</v>
      </c>
      <c r="F34" s="177"/>
    </row>
    <row r="35" spans="1:6" s="51" customFormat="1" x14ac:dyDescent="0.25">
      <c r="A35" s="191">
        <v>34</v>
      </c>
      <c r="B35" s="62" t="s">
        <v>355</v>
      </c>
      <c r="C35" s="149" t="s">
        <v>1191</v>
      </c>
      <c r="D35" s="62" t="s">
        <v>310</v>
      </c>
      <c r="E35" s="257">
        <v>14</v>
      </c>
      <c r="F35" s="177"/>
    </row>
    <row r="36" spans="1:6" s="51" customFormat="1" x14ac:dyDescent="0.25">
      <c r="A36" s="191">
        <v>35</v>
      </c>
      <c r="B36" s="62" t="s">
        <v>1099</v>
      </c>
      <c r="C36" s="149" t="s">
        <v>1191</v>
      </c>
      <c r="D36" s="62" t="s">
        <v>310</v>
      </c>
      <c r="E36" s="257">
        <v>15</v>
      </c>
      <c r="F36" s="177"/>
    </row>
    <row r="37" spans="1:6" s="51" customFormat="1" x14ac:dyDescent="0.25">
      <c r="A37" s="191">
        <v>36</v>
      </c>
      <c r="B37" s="62" t="s">
        <v>1100</v>
      </c>
      <c r="C37" s="149" t="s">
        <v>1191</v>
      </c>
      <c r="D37" s="62" t="s">
        <v>310</v>
      </c>
      <c r="E37" s="257">
        <v>16</v>
      </c>
      <c r="F37" s="177"/>
    </row>
    <row r="38" spans="1:6" s="51" customFormat="1" x14ac:dyDescent="0.25">
      <c r="A38" s="191">
        <v>37</v>
      </c>
      <c r="B38" s="62" t="s">
        <v>1101</v>
      </c>
      <c r="C38" s="149" t="s">
        <v>1191</v>
      </c>
      <c r="D38" s="62" t="s">
        <v>310</v>
      </c>
      <c r="E38" s="257">
        <v>17</v>
      </c>
      <c r="F38" s="177"/>
    </row>
    <row r="39" spans="1:6" s="51" customFormat="1" x14ac:dyDescent="0.25">
      <c r="A39" s="191">
        <v>38</v>
      </c>
      <c r="B39" s="62" t="s">
        <v>1102</v>
      </c>
      <c r="C39" s="149" t="s">
        <v>1191</v>
      </c>
      <c r="D39" s="62" t="s">
        <v>310</v>
      </c>
      <c r="E39" s="257">
        <v>18</v>
      </c>
      <c r="F39" s="177"/>
    </row>
    <row r="40" spans="1:6" s="51" customFormat="1" x14ac:dyDescent="0.25">
      <c r="A40" s="191">
        <v>39</v>
      </c>
      <c r="B40" s="148" t="s">
        <v>308</v>
      </c>
      <c r="C40" s="149" t="s">
        <v>1191</v>
      </c>
      <c r="D40" s="152"/>
      <c r="E40" s="258"/>
      <c r="F40" s="177"/>
    </row>
    <row r="41" spans="1:6" s="51" customFormat="1" x14ac:dyDescent="0.25">
      <c r="A41" s="191">
        <v>40</v>
      </c>
      <c r="B41" s="148" t="s">
        <v>309</v>
      </c>
      <c r="C41" s="149"/>
      <c r="D41" s="62" t="s">
        <v>310</v>
      </c>
      <c r="E41" s="257">
        <v>24</v>
      </c>
      <c r="F41" s="177"/>
    </row>
    <row r="42" spans="1:6" s="51" customFormat="1" x14ac:dyDescent="0.2">
      <c r="A42" s="191">
        <v>41</v>
      </c>
      <c r="B42" s="103" t="s">
        <v>937</v>
      </c>
      <c r="C42" s="149" t="s">
        <v>1191</v>
      </c>
      <c r="D42" s="152" t="s">
        <v>1009</v>
      </c>
      <c r="E42" s="258"/>
      <c r="F42" s="177"/>
    </row>
    <row r="43" spans="1:6" s="51" customFormat="1" x14ac:dyDescent="0.2">
      <c r="A43" s="191">
        <v>42</v>
      </c>
      <c r="B43" s="103" t="s">
        <v>938</v>
      </c>
      <c r="C43" s="149" t="s">
        <v>1191</v>
      </c>
      <c r="D43" s="152" t="s">
        <v>1010</v>
      </c>
      <c r="E43" s="258"/>
      <c r="F43" s="177"/>
    </row>
    <row r="44" spans="1:6" s="51" customFormat="1" x14ac:dyDescent="0.2">
      <c r="A44" s="191">
        <v>43</v>
      </c>
      <c r="B44" s="103" t="s">
        <v>980</v>
      </c>
      <c r="C44" s="149" t="s">
        <v>1191</v>
      </c>
      <c r="D44" s="157"/>
      <c r="E44" s="258"/>
      <c r="F44" s="177"/>
    </row>
    <row r="45" spans="1:6" s="51" customFormat="1" x14ac:dyDescent="0.2">
      <c r="A45" s="191">
        <v>44</v>
      </c>
      <c r="B45" s="103" t="s">
        <v>1011</v>
      </c>
      <c r="C45" s="149" t="s">
        <v>1191</v>
      </c>
      <c r="D45" s="152"/>
      <c r="E45" s="258"/>
      <c r="F45" s="177"/>
    </row>
    <row r="46" spans="1:6" s="51" customFormat="1" x14ac:dyDescent="0.2">
      <c r="A46" s="191">
        <v>45</v>
      </c>
      <c r="B46" s="103" t="s">
        <v>979</v>
      </c>
      <c r="C46" s="149" t="s">
        <v>1191</v>
      </c>
      <c r="D46" s="152" t="s">
        <v>1012</v>
      </c>
      <c r="E46" s="258"/>
      <c r="F46" s="177"/>
    </row>
    <row r="47" spans="1:6" s="51" customFormat="1" x14ac:dyDescent="0.2">
      <c r="A47" s="191">
        <v>46</v>
      </c>
      <c r="B47" s="103" t="s">
        <v>940</v>
      </c>
      <c r="C47" s="149" t="s">
        <v>1191</v>
      </c>
      <c r="D47" s="152"/>
      <c r="E47" s="258"/>
      <c r="F47" s="177"/>
    </row>
    <row r="48" spans="1:6" s="51" customFormat="1" x14ac:dyDescent="0.2">
      <c r="A48" s="191">
        <v>47</v>
      </c>
      <c r="B48" s="103" t="s">
        <v>1016</v>
      </c>
      <c r="C48" s="149" t="s">
        <v>1191</v>
      </c>
      <c r="D48" s="152"/>
      <c r="E48" s="258"/>
      <c r="F48" s="177"/>
    </row>
    <row r="49" spans="1:6" s="51" customFormat="1" x14ac:dyDescent="0.2">
      <c r="A49" s="191">
        <v>48</v>
      </c>
      <c r="B49" s="184" t="s">
        <v>1031</v>
      </c>
      <c r="C49" s="185" t="s">
        <v>1191</v>
      </c>
      <c r="D49" s="186" t="s">
        <v>310</v>
      </c>
      <c r="E49" s="255">
        <v>19</v>
      </c>
      <c r="F49" s="177"/>
    </row>
    <row r="50" spans="1:6" s="51" customFormat="1" x14ac:dyDescent="0.2">
      <c r="A50" s="191">
        <v>49</v>
      </c>
      <c r="B50" s="6" t="s">
        <v>1108</v>
      </c>
      <c r="C50" s="149" t="s">
        <v>1191</v>
      </c>
      <c r="D50" s="62" t="s">
        <v>310</v>
      </c>
      <c r="E50" s="257">
        <v>20</v>
      </c>
      <c r="F50" s="177"/>
    </row>
    <row r="51" spans="1:6" s="51" customFormat="1" x14ac:dyDescent="0.2">
      <c r="A51" s="191">
        <v>50</v>
      </c>
      <c r="B51" s="6" t="s">
        <v>1107</v>
      </c>
      <c r="C51" s="149" t="s">
        <v>1191</v>
      </c>
      <c r="D51" s="62" t="s">
        <v>310</v>
      </c>
      <c r="E51" s="257">
        <v>21</v>
      </c>
      <c r="F51" s="177"/>
    </row>
    <row r="52" spans="1:6" s="51" customFormat="1" x14ac:dyDescent="0.2">
      <c r="A52" s="148">
        <v>51</v>
      </c>
      <c r="B52" s="6" t="s">
        <v>1109</v>
      </c>
      <c r="C52" s="149" t="s">
        <v>1191</v>
      </c>
      <c r="D52" s="62" t="s">
        <v>310</v>
      </c>
      <c r="E52" s="257">
        <v>22</v>
      </c>
      <c r="F52" s="177"/>
    </row>
    <row r="53" spans="1:6" s="51" customFormat="1" x14ac:dyDescent="0.2">
      <c r="A53" s="148">
        <v>52</v>
      </c>
      <c r="B53" s="103" t="s">
        <v>1032</v>
      </c>
      <c r="C53" s="149" t="s">
        <v>1191</v>
      </c>
      <c r="D53" s="152"/>
      <c r="E53" s="258"/>
      <c r="F53" s="177"/>
    </row>
    <row r="54" spans="1:6" s="51" customFormat="1" x14ac:dyDescent="0.25">
      <c r="A54" s="148">
        <v>53</v>
      </c>
      <c r="B54" s="152" t="s">
        <v>1035</v>
      </c>
      <c r="C54" s="149"/>
      <c r="D54" s="152"/>
      <c r="E54" s="258"/>
      <c r="F54" s="177"/>
    </row>
    <row r="55" spans="1:6" s="51" customFormat="1" x14ac:dyDescent="0.25">
      <c r="A55" s="148">
        <v>54</v>
      </c>
      <c r="B55" s="152" t="s">
        <v>1043</v>
      </c>
      <c r="C55" s="149"/>
      <c r="D55" s="62" t="s">
        <v>310</v>
      </c>
      <c r="E55" s="257">
        <v>4</v>
      </c>
      <c r="F55" s="177"/>
    </row>
    <row r="56" spans="1:6" s="51" customFormat="1" x14ac:dyDescent="0.25">
      <c r="A56" s="148">
        <v>55</v>
      </c>
      <c r="B56" s="176" t="s">
        <v>1058</v>
      </c>
      <c r="C56" s="149"/>
      <c r="D56" s="62"/>
      <c r="E56" s="257"/>
      <c r="F56" s="177"/>
    </row>
    <row r="57" spans="1:6" s="51" customFormat="1" x14ac:dyDescent="0.25">
      <c r="A57" s="148">
        <v>56</v>
      </c>
      <c r="B57" s="176" t="s">
        <v>1180</v>
      </c>
      <c r="C57" s="178"/>
      <c r="D57" s="62" t="s">
        <v>310</v>
      </c>
      <c r="E57" s="257">
        <v>25</v>
      </c>
      <c r="F57" s="177"/>
    </row>
    <row r="58" spans="1:6" s="51" customFormat="1" x14ac:dyDescent="0.25">
      <c r="A58" s="148">
        <v>57</v>
      </c>
      <c r="B58" s="176" t="s">
        <v>1181</v>
      </c>
      <c r="C58" s="176"/>
      <c r="D58" s="62" t="s">
        <v>310</v>
      </c>
      <c r="E58" s="257">
        <v>26</v>
      </c>
      <c r="F58" s="177"/>
    </row>
    <row r="59" spans="1:6" s="51" customFormat="1" x14ac:dyDescent="0.25">
      <c r="A59" s="148">
        <v>58</v>
      </c>
      <c r="B59" s="176" t="s">
        <v>1182</v>
      </c>
      <c r="C59" s="176"/>
      <c r="D59" s="62" t="s">
        <v>311</v>
      </c>
      <c r="E59" s="257">
        <v>1</v>
      </c>
      <c r="F59" s="177"/>
    </row>
    <row r="60" spans="1:6" s="51" customFormat="1" x14ac:dyDescent="0.25">
      <c r="A60" s="176">
        <v>59</v>
      </c>
      <c r="B60" s="176" t="s">
        <v>1206</v>
      </c>
      <c r="C60" s="176"/>
      <c r="D60" s="62" t="s">
        <v>310</v>
      </c>
      <c r="E60" s="257">
        <v>27</v>
      </c>
      <c r="F60" s="177"/>
    </row>
    <row r="61" spans="1:6" s="51" customFormat="1" x14ac:dyDescent="0.25">
      <c r="A61" s="148">
        <v>60</v>
      </c>
      <c r="B61" s="28" t="s">
        <v>1332</v>
      </c>
      <c r="C61" s="176"/>
      <c r="D61" s="62"/>
      <c r="E61" s="257"/>
      <c r="F61" s="177"/>
    </row>
    <row r="62" spans="1:6" s="51" customFormat="1" x14ac:dyDescent="0.25">
      <c r="A62" s="148">
        <v>61</v>
      </c>
      <c r="B62" s="198" t="s">
        <v>1212</v>
      </c>
      <c r="C62" s="199"/>
      <c r="D62" s="198"/>
      <c r="E62" s="259"/>
      <c r="F62" s="177"/>
    </row>
    <row r="63" spans="1:6" s="51" customFormat="1" x14ac:dyDescent="0.25">
      <c r="A63" s="148">
        <v>62</v>
      </c>
      <c r="B63" s="198" t="s">
        <v>1318</v>
      </c>
      <c r="C63" s="199"/>
      <c r="D63" s="198"/>
      <c r="E63" s="259"/>
      <c r="F63" s="177"/>
    </row>
    <row r="64" spans="1:6" s="51" customFormat="1" x14ac:dyDescent="0.25">
      <c r="A64" s="148">
        <v>63</v>
      </c>
      <c r="B64" s="198" t="s">
        <v>1323</v>
      </c>
      <c r="C64" s="199"/>
      <c r="D64" s="198"/>
      <c r="E64" s="259"/>
      <c r="F64" s="177"/>
    </row>
    <row r="65" spans="1:6" s="51" customFormat="1" x14ac:dyDescent="0.25">
      <c r="A65" s="148">
        <v>64</v>
      </c>
      <c r="B65" s="198" t="s">
        <v>1396</v>
      </c>
      <c r="C65" s="199"/>
      <c r="D65" s="198"/>
      <c r="E65" s="259"/>
      <c r="F65" s="177"/>
    </row>
    <row r="66" spans="1:6" s="51" customFormat="1" x14ac:dyDescent="0.25">
      <c r="A66" s="176">
        <v>64</v>
      </c>
      <c r="B66" s="176" t="s">
        <v>1278</v>
      </c>
      <c r="C66" s="176"/>
      <c r="D66" s="176"/>
      <c r="E66" s="250"/>
      <c r="F66" s="177"/>
    </row>
    <row r="67" spans="1:6" s="51" customFormat="1" x14ac:dyDescent="0.25">
      <c r="A67" s="148">
        <v>65</v>
      </c>
      <c r="B67" s="176" t="s">
        <v>1296</v>
      </c>
      <c r="C67" s="176"/>
      <c r="D67" s="176"/>
      <c r="E67" s="250"/>
      <c r="F67" s="177"/>
    </row>
    <row r="68" spans="1:6" s="51" customFormat="1" x14ac:dyDescent="0.25">
      <c r="A68" s="148">
        <v>66</v>
      </c>
      <c r="B68" s="176" t="s">
        <v>1303</v>
      </c>
      <c r="C68" s="176"/>
      <c r="D68" s="176"/>
      <c r="E68" s="250"/>
      <c r="F68" s="177"/>
    </row>
    <row r="69" spans="1:6" s="51" customFormat="1" x14ac:dyDescent="0.25">
      <c r="E69" s="260"/>
      <c r="F69" s="177"/>
    </row>
    <row r="70" spans="1:6" s="51" customFormat="1" x14ac:dyDescent="0.25">
      <c r="E70" s="260"/>
      <c r="F70" s="177"/>
    </row>
    <row r="71" spans="1:6" s="51" customFormat="1" x14ac:dyDescent="0.25">
      <c r="E71" s="260"/>
      <c r="F71" s="177"/>
    </row>
    <row r="72" spans="1:6" s="51" customFormat="1" x14ac:dyDescent="0.25">
      <c r="E72" s="260"/>
      <c r="F72" s="177"/>
    </row>
    <row r="73" spans="1:6" s="51" customFormat="1" x14ac:dyDescent="0.25">
      <c r="E73" s="260"/>
      <c r="F73" s="177"/>
    </row>
    <row r="74" spans="1:6" s="51" customFormat="1" x14ac:dyDescent="0.25">
      <c r="E74" s="260"/>
      <c r="F74" s="177"/>
    </row>
    <row r="75" spans="1:6" s="51" customFormat="1" x14ac:dyDescent="0.25">
      <c r="E75" s="260"/>
      <c r="F75" s="177"/>
    </row>
    <row r="76" spans="1:6" s="51" customFormat="1" x14ac:dyDescent="0.25">
      <c r="E76" s="260"/>
      <c r="F76" s="177"/>
    </row>
    <row r="77" spans="1:6" s="51" customFormat="1" x14ac:dyDescent="0.25">
      <c r="E77" s="260"/>
      <c r="F77" s="177"/>
    </row>
    <row r="78" spans="1:6" s="51" customFormat="1" x14ac:dyDescent="0.25">
      <c r="E78" s="260"/>
      <c r="F78" s="177"/>
    </row>
    <row r="79" spans="1:6" s="51" customFormat="1" x14ac:dyDescent="0.25">
      <c r="E79" s="260"/>
      <c r="F79" s="177"/>
    </row>
    <row r="80" spans="1:6" s="51" customFormat="1" x14ac:dyDescent="0.25">
      <c r="E80" s="260"/>
      <c r="F80" s="177"/>
    </row>
    <row r="81" spans="5:6" s="51" customFormat="1" x14ac:dyDescent="0.25">
      <c r="E81" s="260"/>
      <c r="F81" s="177"/>
    </row>
    <row r="82" spans="5:6" s="51" customFormat="1" x14ac:dyDescent="0.25">
      <c r="E82" s="260"/>
      <c r="F82" s="177"/>
    </row>
    <row r="83" spans="5:6" s="51" customFormat="1" x14ac:dyDescent="0.25">
      <c r="E83" s="260"/>
      <c r="F83" s="177"/>
    </row>
    <row r="84" spans="5:6" s="51" customFormat="1" x14ac:dyDescent="0.25">
      <c r="E84" s="260"/>
      <c r="F84" s="177"/>
    </row>
    <row r="85" spans="5:6" s="51" customFormat="1" x14ac:dyDescent="0.25">
      <c r="E85" s="260"/>
      <c r="F85" s="177"/>
    </row>
    <row r="86" spans="5:6" s="51" customFormat="1" x14ac:dyDescent="0.25">
      <c r="E86" s="260"/>
      <c r="F86" s="177"/>
    </row>
    <row r="87" spans="5:6" s="51" customFormat="1" x14ac:dyDescent="0.25">
      <c r="E87" s="260"/>
      <c r="F87" s="177"/>
    </row>
    <row r="88" spans="5:6" s="51" customFormat="1" x14ac:dyDescent="0.25">
      <c r="E88" s="260"/>
      <c r="F88" s="177"/>
    </row>
    <row r="89" spans="5:6" s="51" customFormat="1" x14ac:dyDescent="0.25">
      <c r="E89" s="260"/>
      <c r="F89" s="177"/>
    </row>
    <row r="90" spans="5:6" s="51" customFormat="1" x14ac:dyDescent="0.25">
      <c r="E90" s="260"/>
      <c r="F90" s="177"/>
    </row>
    <row r="91" spans="5:6" s="51" customFormat="1" x14ac:dyDescent="0.25">
      <c r="E91" s="260"/>
      <c r="F91" s="177"/>
    </row>
    <row r="92" spans="5:6" s="51" customFormat="1" x14ac:dyDescent="0.25">
      <c r="E92" s="260"/>
      <c r="F92" s="177"/>
    </row>
    <row r="93" spans="5:6" s="51" customFormat="1" x14ac:dyDescent="0.25">
      <c r="E93" s="260"/>
      <c r="F93" s="177"/>
    </row>
    <row r="94" spans="5:6" s="51" customFormat="1" x14ac:dyDescent="0.25">
      <c r="E94" s="260"/>
      <c r="F94" s="177"/>
    </row>
    <row r="95" spans="5:6" s="51" customFormat="1" x14ac:dyDescent="0.25">
      <c r="E95" s="260"/>
      <c r="F95" s="177"/>
    </row>
    <row r="96" spans="5:6" s="51" customFormat="1" x14ac:dyDescent="0.25">
      <c r="E96" s="260"/>
      <c r="F96" s="177"/>
    </row>
    <row r="97" spans="3:6" s="51" customFormat="1" x14ac:dyDescent="0.25">
      <c r="E97" s="260"/>
      <c r="F97" s="177"/>
    </row>
    <row r="98" spans="3:6" s="51" customFormat="1" x14ac:dyDescent="0.25">
      <c r="E98" s="260"/>
      <c r="F98" s="177"/>
    </row>
    <row r="99" spans="3:6" s="51" customFormat="1" x14ac:dyDescent="0.25">
      <c r="E99" s="260"/>
      <c r="F99" s="177"/>
    </row>
    <row r="100" spans="3:6" s="51" customFormat="1" x14ac:dyDescent="0.25">
      <c r="E100" s="260"/>
      <c r="F100" s="177"/>
    </row>
    <row r="101" spans="3:6" x14ac:dyDescent="0.25">
      <c r="C101" s="25"/>
    </row>
    <row r="102" spans="3:6" x14ac:dyDescent="0.25">
      <c r="C102" s="25"/>
    </row>
    <row r="103" spans="3:6" x14ac:dyDescent="0.25">
      <c r="C103" s="25"/>
    </row>
    <row r="104" spans="3:6" x14ac:dyDescent="0.25">
      <c r="C104" s="25"/>
    </row>
    <row r="105" spans="3:6" x14ac:dyDescent="0.25">
      <c r="C105" s="25"/>
    </row>
    <row r="106" spans="3:6" x14ac:dyDescent="0.25">
      <c r="C106" s="25"/>
    </row>
    <row r="107" spans="3:6" x14ac:dyDescent="0.25">
      <c r="C107" s="25"/>
    </row>
    <row r="108" spans="3:6" x14ac:dyDescent="0.25">
      <c r="C108" s="25"/>
    </row>
    <row r="109" spans="3:6" x14ac:dyDescent="0.25">
      <c r="C109" s="25"/>
    </row>
    <row r="110" spans="3:6" x14ac:dyDescent="0.25">
      <c r="C110" s="25"/>
    </row>
    <row r="111" spans="3:6" x14ac:dyDescent="0.25">
      <c r="C111" s="25"/>
    </row>
    <row r="112" spans="3:6" x14ac:dyDescent="0.25">
      <c r="C112" s="25"/>
    </row>
    <row r="113" spans="3:3" x14ac:dyDescent="0.25">
      <c r="C113" s="25"/>
    </row>
    <row r="114" spans="3:3" x14ac:dyDescent="0.25">
      <c r="C114" s="25"/>
    </row>
    <row r="115" spans="3:3" x14ac:dyDescent="0.25">
      <c r="C115" s="25"/>
    </row>
    <row r="116" spans="3:3" x14ac:dyDescent="0.25">
      <c r="C116" s="25"/>
    </row>
    <row r="117" spans="3:3" x14ac:dyDescent="0.25">
      <c r="C117" s="25"/>
    </row>
    <row r="118" spans="3:3" x14ac:dyDescent="0.25">
      <c r="C118" s="25"/>
    </row>
    <row r="119" spans="3:3" x14ac:dyDescent="0.25">
      <c r="C119" s="25"/>
    </row>
    <row r="120" spans="3:3" x14ac:dyDescent="0.25">
      <c r="C120" s="25"/>
    </row>
    <row r="121" spans="3:3" x14ac:dyDescent="0.25">
      <c r="C121" s="25"/>
    </row>
    <row r="122" spans="3:3" x14ac:dyDescent="0.25">
      <c r="C122" s="25"/>
    </row>
    <row r="123" spans="3:3" x14ac:dyDescent="0.25">
      <c r="C123" s="25"/>
    </row>
    <row r="124" spans="3:3" x14ac:dyDescent="0.25">
      <c r="C124" s="25"/>
    </row>
    <row r="125" spans="3:3" x14ac:dyDescent="0.25">
      <c r="C125" s="25"/>
    </row>
    <row r="126" spans="3:3" x14ac:dyDescent="0.25">
      <c r="C126" s="25"/>
    </row>
    <row r="127" spans="3:3" x14ac:dyDescent="0.25">
      <c r="C127" s="25"/>
    </row>
    <row r="128" spans="3:3" x14ac:dyDescent="0.25">
      <c r="C128" s="25"/>
    </row>
    <row r="129" spans="3:3" x14ac:dyDescent="0.25">
      <c r="C129" s="25"/>
    </row>
    <row r="130" spans="3:3" x14ac:dyDescent="0.25">
      <c r="C130" s="25"/>
    </row>
    <row r="131" spans="3:3" x14ac:dyDescent="0.25">
      <c r="C131" s="25"/>
    </row>
    <row r="132" spans="3:3" x14ac:dyDescent="0.25">
      <c r="C132" s="25"/>
    </row>
    <row r="133" spans="3:3" x14ac:dyDescent="0.25">
      <c r="C133" s="25"/>
    </row>
    <row r="134" spans="3:3" x14ac:dyDescent="0.25">
      <c r="C134" s="25"/>
    </row>
    <row r="135" spans="3:3" x14ac:dyDescent="0.25">
      <c r="C135" s="25"/>
    </row>
    <row r="136" spans="3:3" x14ac:dyDescent="0.25">
      <c r="C136" s="25"/>
    </row>
    <row r="137" spans="3:3" x14ac:dyDescent="0.25">
      <c r="C137" s="25"/>
    </row>
    <row r="138" spans="3:3" x14ac:dyDescent="0.25">
      <c r="C138" s="25"/>
    </row>
    <row r="139" spans="3:3" x14ac:dyDescent="0.25">
      <c r="C139" s="25"/>
    </row>
    <row r="140" spans="3:3" x14ac:dyDescent="0.25">
      <c r="C140" s="25"/>
    </row>
    <row r="141" spans="3:3" x14ac:dyDescent="0.25">
      <c r="C141" s="25"/>
    </row>
    <row r="142" spans="3:3" x14ac:dyDescent="0.25">
      <c r="C142" s="25"/>
    </row>
    <row r="143" spans="3:3" x14ac:dyDescent="0.25">
      <c r="C143" s="25"/>
    </row>
    <row r="144" spans="3:3" x14ac:dyDescent="0.25">
      <c r="C144" s="25"/>
    </row>
    <row r="145" spans="3:3" x14ac:dyDescent="0.25">
      <c r="C145" s="25"/>
    </row>
    <row r="146" spans="3:3" x14ac:dyDescent="0.25">
      <c r="C146" s="25"/>
    </row>
    <row r="147" spans="3:3" x14ac:dyDescent="0.25">
      <c r="C147" s="25"/>
    </row>
    <row r="148" spans="3:3" x14ac:dyDescent="0.25">
      <c r="C148" s="25"/>
    </row>
    <row r="149" spans="3:3" x14ac:dyDescent="0.25">
      <c r="C149" s="25"/>
    </row>
    <row r="150" spans="3:3" x14ac:dyDescent="0.25">
      <c r="C150" s="25"/>
    </row>
    <row r="151" spans="3:3" x14ac:dyDescent="0.25">
      <c r="C151" s="25"/>
    </row>
    <row r="152" spans="3:3" x14ac:dyDescent="0.25">
      <c r="C152" s="25"/>
    </row>
    <row r="153" spans="3:3" x14ac:dyDescent="0.25">
      <c r="C153" s="25"/>
    </row>
    <row r="154" spans="3:3" x14ac:dyDescent="0.25">
      <c r="C154" s="25"/>
    </row>
    <row r="155" spans="3:3" x14ac:dyDescent="0.25">
      <c r="C155" s="25"/>
    </row>
    <row r="156" spans="3:3" x14ac:dyDescent="0.25">
      <c r="C156" s="25"/>
    </row>
    <row r="157" spans="3:3" x14ac:dyDescent="0.25">
      <c r="C157" s="25"/>
    </row>
    <row r="158" spans="3:3" x14ac:dyDescent="0.25">
      <c r="C158" s="25"/>
    </row>
    <row r="159" spans="3:3" x14ac:dyDescent="0.25">
      <c r="C159" s="25"/>
    </row>
    <row r="160" spans="3:3" x14ac:dyDescent="0.25">
      <c r="C160" s="25"/>
    </row>
    <row r="161" spans="3:3" x14ac:dyDescent="0.25">
      <c r="C161" s="25"/>
    </row>
    <row r="162" spans="3:3" x14ac:dyDescent="0.25">
      <c r="C162" s="25"/>
    </row>
    <row r="163" spans="3:3" x14ac:dyDescent="0.25">
      <c r="C163" s="25"/>
    </row>
    <row r="164" spans="3:3" x14ac:dyDescent="0.25">
      <c r="C164" s="25"/>
    </row>
    <row r="165" spans="3:3" x14ac:dyDescent="0.25">
      <c r="C165" s="25"/>
    </row>
    <row r="166" spans="3:3" x14ac:dyDescent="0.25">
      <c r="C166" s="25"/>
    </row>
    <row r="167" spans="3:3" x14ac:dyDescent="0.25">
      <c r="C167" s="25"/>
    </row>
    <row r="168" spans="3:3" x14ac:dyDescent="0.25">
      <c r="C168" s="25"/>
    </row>
    <row r="169" spans="3:3" x14ac:dyDescent="0.25">
      <c r="C169" s="25"/>
    </row>
    <row r="170" spans="3:3" x14ac:dyDescent="0.25">
      <c r="C170" s="25"/>
    </row>
    <row r="171" spans="3:3" x14ac:dyDescent="0.25">
      <c r="C171" s="25"/>
    </row>
    <row r="172" spans="3:3" x14ac:dyDescent="0.25">
      <c r="C172" s="25"/>
    </row>
    <row r="173" spans="3:3" x14ac:dyDescent="0.25">
      <c r="C173" s="25"/>
    </row>
    <row r="174" spans="3:3" x14ac:dyDescent="0.25">
      <c r="C174" s="25"/>
    </row>
    <row r="175" spans="3:3" x14ac:dyDescent="0.25">
      <c r="C175" s="25"/>
    </row>
    <row r="176" spans="3:3" x14ac:dyDescent="0.25">
      <c r="C176" s="25"/>
    </row>
    <row r="177" spans="3:3" x14ac:dyDescent="0.25">
      <c r="C177" s="25"/>
    </row>
    <row r="178" spans="3:3" x14ac:dyDescent="0.25">
      <c r="C178" s="25"/>
    </row>
    <row r="179" spans="3:3" x14ac:dyDescent="0.25">
      <c r="C179" s="25"/>
    </row>
    <row r="180" spans="3:3" x14ac:dyDescent="0.25">
      <c r="C180" s="25"/>
    </row>
    <row r="181" spans="3:3" x14ac:dyDescent="0.25">
      <c r="C181" s="25"/>
    </row>
    <row r="182" spans="3:3" x14ac:dyDescent="0.25">
      <c r="C182" s="25"/>
    </row>
    <row r="183" spans="3:3" x14ac:dyDescent="0.25">
      <c r="C183" s="25"/>
    </row>
    <row r="184" spans="3:3" x14ac:dyDescent="0.25">
      <c r="C184" s="25"/>
    </row>
    <row r="185" spans="3:3" x14ac:dyDescent="0.25">
      <c r="C185" s="25"/>
    </row>
    <row r="186" spans="3:3" x14ac:dyDescent="0.25">
      <c r="C186" s="25"/>
    </row>
    <row r="187" spans="3:3" x14ac:dyDescent="0.25">
      <c r="C187" s="25"/>
    </row>
    <row r="188" spans="3:3" x14ac:dyDescent="0.25">
      <c r="C188" s="25"/>
    </row>
    <row r="189" spans="3:3" x14ac:dyDescent="0.25">
      <c r="C189" s="25"/>
    </row>
    <row r="190" spans="3:3" x14ac:dyDescent="0.25">
      <c r="C190" s="25"/>
    </row>
    <row r="191" spans="3:3" x14ac:dyDescent="0.25">
      <c r="C191" s="25"/>
    </row>
    <row r="192" spans="3:3" x14ac:dyDescent="0.25">
      <c r="C192" s="25"/>
    </row>
    <row r="193" spans="3:3" x14ac:dyDescent="0.25">
      <c r="C193" s="25"/>
    </row>
    <row r="194" spans="3:3" x14ac:dyDescent="0.25">
      <c r="C194" s="25"/>
    </row>
    <row r="195" spans="3:3" x14ac:dyDescent="0.25">
      <c r="C195" s="25"/>
    </row>
    <row r="196" spans="3:3" x14ac:dyDescent="0.25">
      <c r="C196" s="25"/>
    </row>
    <row r="197" spans="3:3" x14ac:dyDescent="0.25">
      <c r="C197" s="25"/>
    </row>
    <row r="198" spans="3:3" x14ac:dyDescent="0.25">
      <c r="C198" s="25"/>
    </row>
    <row r="199" spans="3:3" x14ac:dyDescent="0.25">
      <c r="C199" s="25"/>
    </row>
    <row r="200" spans="3:3" x14ac:dyDescent="0.25">
      <c r="C200" s="25"/>
    </row>
    <row r="201" spans="3:3" x14ac:dyDescent="0.25">
      <c r="C201" s="25"/>
    </row>
    <row r="202" spans="3:3" x14ac:dyDescent="0.25">
      <c r="C202" s="25"/>
    </row>
    <row r="203" spans="3:3" x14ac:dyDescent="0.25">
      <c r="C203" s="25"/>
    </row>
    <row r="204" spans="3:3" x14ac:dyDescent="0.25">
      <c r="C204" s="25"/>
    </row>
    <row r="205" spans="3:3" x14ac:dyDescent="0.25">
      <c r="C205" s="25"/>
    </row>
    <row r="206" spans="3:3" x14ac:dyDescent="0.25">
      <c r="C206" s="25"/>
    </row>
    <row r="207" spans="3:3" x14ac:dyDescent="0.25">
      <c r="C207" s="25"/>
    </row>
    <row r="208" spans="3:3" x14ac:dyDescent="0.25">
      <c r="C208" s="25"/>
    </row>
    <row r="209" spans="3:3" x14ac:dyDescent="0.25">
      <c r="C209" s="25"/>
    </row>
    <row r="210" spans="3:3" x14ac:dyDescent="0.25">
      <c r="C210" s="25"/>
    </row>
    <row r="211" spans="3:3" x14ac:dyDescent="0.25">
      <c r="C211" s="25"/>
    </row>
    <row r="212" spans="3:3" x14ac:dyDescent="0.25">
      <c r="C212" s="25"/>
    </row>
    <row r="213" spans="3:3" x14ac:dyDescent="0.25">
      <c r="C213" s="25"/>
    </row>
    <row r="214" spans="3:3" x14ac:dyDescent="0.25">
      <c r="C214" s="25"/>
    </row>
    <row r="215" spans="3:3" x14ac:dyDescent="0.25">
      <c r="C215" s="25"/>
    </row>
    <row r="216" spans="3:3" x14ac:dyDescent="0.25">
      <c r="C216" s="25"/>
    </row>
    <row r="217" spans="3:3" x14ac:dyDescent="0.25">
      <c r="C217" s="25"/>
    </row>
    <row r="218" spans="3:3" x14ac:dyDescent="0.25">
      <c r="C218" s="25"/>
    </row>
    <row r="219" spans="3:3" x14ac:dyDescent="0.25">
      <c r="C219" s="25"/>
    </row>
    <row r="220" spans="3:3" x14ac:dyDescent="0.25">
      <c r="C220" s="25"/>
    </row>
    <row r="221" spans="3:3" x14ac:dyDescent="0.25">
      <c r="C221" s="25"/>
    </row>
    <row r="222" spans="3:3" x14ac:dyDescent="0.25">
      <c r="C222" s="25"/>
    </row>
    <row r="223" spans="3:3" x14ac:dyDescent="0.25">
      <c r="C223" s="25"/>
    </row>
    <row r="224" spans="3:3" x14ac:dyDescent="0.25">
      <c r="C224" s="25"/>
    </row>
    <row r="225" spans="3:3" x14ac:dyDescent="0.25">
      <c r="C225" s="25"/>
    </row>
    <row r="226" spans="3:3" x14ac:dyDescent="0.25">
      <c r="C226" s="25"/>
    </row>
    <row r="227" spans="3:3" x14ac:dyDescent="0.25">
      <c r="C227" s="25"/>
    </row>
    <row r="228" spans="3:3" x14ac:dyDescent="0.25">
      <c r="C228" s="25"/>
    </row>
    <row r="229" spans="3:3" x14ac:dyDescent="0.25">
      <c r="C229" s="25"/>
    </row>
    <row r="230" spans="3:3" x14ac:dyDescent="0.25">
      <c r="C230" s="25"/>
    </row>
    <row r="231" spans="3:3" x14ac:dyDescent="0.25">
      <c r="C231" s="25"/>
    </row>
    <row r="232" spans="3:3" x14ac:dyDescent="0.25">
      <c r="C232" s="25"/>
    </row>
    <row r="233" spans="3:3" x14ac:dyDescent="0.25">
      <c r="C233" s="25"/>
    </row>
    <row r="234" spans="3:3" x14ac:dyDescent="0.25">
      <c r="C234" s="25"/>
    </row>
    <row r="235" spans="3:3" x14ac:dyDescent="0.25">
      <c r="C235" s="25"/>
    </row>
    <row r="236" spans="3:3" x14ac:dyDescent="0.25">
      <c r="C236" s="25"/>
    </row>
    <row r="237" spans="3:3" x14ac:dyDescent="0.25">
      <c r="C237" s="25"/>
    </row>
    <row r="238" spans="3:3" x14ac:dyDescent="0.25">
      <c r="C238" s="25"/>
    </row>
    <row r="239" spans="3:3" x14ac:dyDescent="0.25">
      <c r="C239" s="25"/>
    </row>
    <row r="240" spans="3:3" x14ac:dyDescent="0.25">
      <c r="C240" s="25"/>
    </row>
    <row r="241" spans="3:3" x14ac:dyDescent="0.25">
      <c r="C241" s="25"/>
    </row>
    <row r="242" spans="3:3" x14ac:dyDescent="0.25">
      <c r="C242" s="25"/>
    </row>
    <row r="243" spans="3:3" x14ac:dyDescent="0.25">
      <c r="C243" s="25"/>
    </row>
    <row r="244" spans="3:3" x14ac:dyDescent="0.25">
      <c r="C244" s="25"/>
    </row>
    <row r="245" spans="3:3" x14ac:dyDescent="0.25">
      <c r="C245" s="25"/>
    </row>
    <row r="246" spans="3:3" x14ac:dyDescent="0.25">
      <c r="C246" s="25"/>
    </row>
    <row r="247" spans="3:3" x14ac:dyDescent="0.25">
      <c r="C247" s="25"/>
    </row>
    <row r="248" spans="3:3" x14ac:dyDescent="0.25">
      <c r="C248" s="25"/>
    </row>
    <row r="249" spans="3:3" x14ac:dyDescent="0.25">
      <c r="C249" s="25"/>
    </row>
    <row r="250" spans="3:3" x14ac:dyDescent="0.25">
      <c r="C250" s="25"/>
    </row>
    <row r="251" spans="3:3" x14ac:dyDescent="0.25">
      <c r="C251" s="25"/>
    </row>
    <row r="252" spans="3:3" x14ac:dyDescent="0.25">
      <c r="C252" s="25"/>
    </row>
    <row r="253" spans="3:3" x14ac:dyDescent="0.25">
      <c r="C253" s="25"/>
    </row>
    <row r="254" spans="3:3" x14ac:dyDescent="0.25">
      <c r="C254" s="25"/>
    </row>
    <row r="255" spans="3:3" x14ac:dyDescent="0.25">
      <c r="C255" s="25"/>
    </row>
    <row r="256" spans="3:3" x14ac:dyDescent="0.25">
      <c r="C256" s="25"/>
    </row>
    <row r="257" spans="3:3" x14ac:dyDescent="0.25">
      <c r="C257" s="25"/>
    </row>
    <row r="258" spans="3:3" x14ac:dyDescent="0.25">
      <c r="C258" s="25"/>
    </row>
    <row r="259" spans="3:3" x14ac:dyDescent="0.25">
      <c r="C259" s="25"/>
    </row>
    <row r="260" spans="3:3" x14ac:dyDescent="0.25">
      <c r="C260" s="25"/>
    </row>
    <row r="261" spans="3:3" x14ac:dyDescent="0.25">
      <c r="C261" s="25"/>
    </row>
    <row r="262" spans="3:3" x14ac:dyDescent="0.25">
      <c r="C262" s="25"/>
    </row>
    <row r="263" spans="3:3" x14ac:dyDescent="0.25">
      <c r="C263" s="25"/>
    </row>
    <row r="264" spans="3:3" x14ac:dyDescent="0.25">
      <c r="C264" s="25"/>
    </row>
    <row r="265" spans="3:3" x14ac:dyDescent="0.25">
      <c r="C265" s="25"/>
    </row>
    <row r="266" spans="3:3" x14ac:dyDescent="0.25">
      <c r="C266" s="25"/>
    </row>
    <row r="267" spans="3:3" x14ac:dyDescent="0.25">
      <c r="C267" s="25"/>
    </row>
    <row r="268" spans="3:3" x14ac:dyDescent="0.25">
      <c r="C268" s="25"/>
    </row>
    <row r="269" spans="3:3" x14ac:dyDescent="0.25">
      <c r="C269" s="25"/>
    </row>
    <row r="270" spans="3:3" x14ac:dyDescent="0.25">
      <c r="C270" s="25"/>
    </row>
    <row r="271" spans="3:3" x14ac:dyDescent="0.25">
      <c r="C271" s="25"/>
    </row>
    <row r="272" spans="3:3" x14ac:dyDescent="0.25">
      <c r="C272" s="25"/>
    </row>
    <row r="273" spans="3:3" x14ac:dyDescent="0.25">
      <c r="C273" s="25"/>
    </row>
    <row r="274" spans="3:3" x14ac:dyDescent="0.25">
      <c r="C274" s="25"/>
    </row>
    <row r="275" spans="3:3" x14ac:dyDescent="0.25">
      <c r="C275" s="25"/>
    </row>
    <row r="276" spans="3:3" x14ac:dyDescent="0.25">
      <c r="C276" s="25"/>
    </row>
    <row r="277" spans="3:3" x14ac:dyDescent="0.25">
      <c r="C277" s="25"/>
    </row>
    <row r="278" spans="3:3" x14ac:dyDescent="0.25">
      <c r="C278" s="25"/>
    </row>
    <row r="279" spans="3:3" x14ac:dyDescent="0.25">
      <c r="C279" s="25"/>
    </row>
    <row r="280" spans="3:3" x14ac:dyDescent="0.25">
      <c r="C280" s="25"/>
    </row>
    <row r="281" spans="3:3" x14ac:dyDescent="0.25">
      <c r="C281" s="25"/>
    </row>
    <row r="282" spans="3:3" x14ac:dyDescent="0.25">
      <c r="C282" s="25"/>
    </row>
    <row r="283" spans="3:3" x14ac:dyDescent="0.25">
      <c r="C283" s="25"/>
    </row>
    <row r="284" spans="3:3" x14ac:dyDescent="0.25">
      <c r="C284" s="25"/>
    </row>
    <row r="285" spans="3:3" x14ac:dyDescent="0.25">
      <c r="C285" s="25"/>
    </row>
    <row r="286" spans="3:3" x14ac:dyDescent="0.25">
      <c r="C286" s="25"/>
    </row>
    <row r="287" spans="3:3" x14ac:dyDescent="0.25">
      <c r="C287" s="25"/>
    </row>
    <row r="288" spans="3:3" x14ac:dyDescent="0.25">
      <c r="C288" s="25"/>
    </row>
    <row r="289" spans="3:3" x14ac:dyDescent="0.25">
      <c r="C289" s="25"/>
    </row>
    <row r="290" spans="3:3" x14ac:dyDescent="0.25">
      <c r="C290" s="25"/>
    </row>
    <row r="291" spans="3:3" x14ac:dyDescent="0.25">
      <c r="C291" s="25"/>
    </row>
    <row r="292" spans="3:3" x14ac:dyDescent="0.25">
      <c r="C292" s="25"/>
    </row>
    <row r="293" spans="3:3" x14ac:dyDescent="0.25">
      <c r="C293" s="25"/>
    </row>
    <row r="294" spans="3:3" x14ac:dyDescent="0.25">
      <c r="C294" s="25"/>
    </row>
    <row r="295" spans="3:3" x14ac:dyDescent="0.25">
      <c r="C295" s="25"/>
    </row>
    <row r="296" spans="3:3" x14ac:dyDescent="0.25">
      <c r="C296" s="25"/>
    </row>
    <row r="297" spans="3:3" x14ac:dyDescent="0.25">
      <c r="C297" s="25"/>
    </row>
    <row r="298" spans="3:3" x14ac:dyDescent="0.25">
      <c r="C298" s="25"/>
    </row>
    <row r="299" spans="3:3" x14ac:dyDescent="0.25">
      <c r="C299" s="25"/>
    </row>
  </sheetData>
  <protectedRanges>
    <protectedRange sqref="B15 A1:C1 A2:A59 A61:A65 A67:A68 C2:C56" name="Range1_1"/>
  </protectedRanges>
  <dataConsolidate/>
  <customSheetViews>
    <customSheetView guid="{A8F9189F-30EC-448E-8FA3-1F1B01D22A46}" topLeftCell="A33">
      <selection activeCell="C35" sqref="C35"/>
      <pageMargins left="0.7" right="0.7" top="0.75" bottom="0.75" header="0.3" footer="0.3"/>
      <pageSetup orientation="portrait" r:id="rId1"/>
    </customSheetView>
  </customSheetView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9"/>
  <sheetViews>
    <sheetView workbookViewId="0">
      <selection activeCell="G2" sqref="G2"/>
    </sheetView>
  </sheetViews>
  <sheetFormatPr defaultRowHeight="15" x14ac:dyDescent="0.25"/>
  <cols>
    <col min="1" max="1" width="31.7109375" style="23" customWidth="1"/>
    <col min="2" max="2" width="17" style="23" customWidth="1"/>
    <col min="3" max="3" width="44.5703125" style="23" customWidth="1"/>
    <col min="4" max="6" width="9.140625" style="23"/>
    <col min="7" max="7" width="16.28515625" style="23" customWidth="1"/>
    <col min="8" max="8" width="12.7109375" style="23" customWidth="1"/>
    <col min="9" max="9" width="13.7109375" style="23" bestFit="1" customWidth="1"/>
    <col min="10" max="16384" width="9.140625" style="23"/>
  </cols>
  <sheetData>
    <row r="1" spans="1:9" x14ac:dyDescent="0.25">
      <c r="A1" s="7" t="s">
        <v>12</v>
      </c>
      <c r="B1" s="8" t="s">
        <v>10</v>
      </c>
      <c r="C1" s="9" t="s">
        <v>16</v>
      </c>
      <c r="D1" s="10" t="s">
        <v>17</v>
      </c>
      <c r="E1" s="8" t="s">
        <v>13</v>
      </c>
      <c r="F1" s="8" t="s">
        <v>18</v>
      </c>
      <c r="G1" s="8" t="s">
        <v>19</v>
      </c>
      <c r="H1" s="11" t="s">
        <v>20</v>
      </c>
      <c r="I1" s="12" t="s">
        <v>21</v>
      </c>
    </row>
    <row r="2" spans="1:9" s="18" customFormat="1" ht="12.75" customHeight="1" x14ac:dyDescent="0.25">
      <c r="A2" s="18" t="s">
        <v>58</v>
      </c>
      <c r="B2" s="18" t="s">
        <v>96</v>
      </c>
      <c r="C2" s="19" t="s">
        <v>719</v>
      </c>
      <c r="D2" s="18">
        <v>3</v>
      </c>
      <c r="E2" s="18" t="s">
        <v>22</v>
      </c>
      <c r="F2" s="202" t="s">
        <v>1397</v>
      </c>
      <c r="G2" s="203" t="s">
        <v>1398</v>
      </c>
      <c r="H2" s="18" t="s">
        <v>23</v>
      </c>
      <c r="I2" s="18" t="s">
        <v>224</v>
      </c>
    </row>
    <row r="3" spans="1:9" x14ac:dyDescent="0.25">
      <c r="A3" s="18" t="s">
        <v>58</v>
      </c>
      <c r="B3" s="18" t="s">
        <v>351</v>
      </c>
      <c r="C3" s="26" t="s">
        <v>1060</v>
      </c>
      <c r="D3" s="18">
        <v>3</v>
      </c>
      <c r="E3" s="18" t="s">
        <v>22</v>
      </c>
      <c r="F3" s="18"/>
      <c r="G3" s="18"/>
      <c r="H3" s="18" t="s">
        <v>23</v>
      </c>
      <c r="I3" s="18" t="s">
        <v>224</v>
      </c>
    </row>
    <row r="10" spans="1:9" x14ac:dyDescent="0.25">
      <c r="A10" s="124"/>
      <c r="B10" s="124"/>
      <c r="C10" s="124"/>
      <c r="D10" s="124"/>
    </row>
    <row r="11" spans="1:9" x14ac:dyDescent="0.25">
      <c r="A11" s="124"/>
      <c r="B11" s="124"/>
      <c r="C11" s="124"/>
      <c r="D11" s="124"/>
    </row>
    <row r="12" spans="1:9" x14ac:dyDescent="0.25">
      <c r="A12" s="124"/>
      <c r="B12" s="124"/>
      <c r="C12" s="124"/>
      <c r="D12" s="124"/>
    </row>
    <row r="13" spans="1:9" x14ac:dyDescent="0.25">
      <c r="A13" s="124"/>
      <c r="B13" s="124"/>
      <c r="C13" s="124"/>
      <c r="D13" s="124"/>
    </row>
    <row r="14" spans="1:9" x14ac:dyDescent="0.25">
      <c r="A14" s="124"/>
      <c r="B14" s="124"/>
      <c r="C14" s="124"/>
      <c r="D14" s="124"/>
    </row>
    <row r="15" spans="1:9" x14ac:dyDescent="0.25">
      <c r="A15" s="124"/>
      <c r="B15" s="124"/>
      <c r="C15" s="124"/>
      <c r="D15" s="124"/>
    </row>
    <row r="16" spans="1:9" x14ac:dyDescent="0.25">
      <c r="A16" s="124"/>
      <c r="B16" s="124"/>
      <c r="C16" s="124"/>
      <c r="D16" s="124"/>
    </row>
    <row r="17" spans="1:4" x14ac:dyDescent="0.25">
      <c r="A17" s="124"/>
      <c r="B17" s="124"/>
      <c r="C17" s="124"/>
      <c r="D17" s="124"/>
    </row>
    <row r="18" spans="1:4" x14ac:dyDescent="0.25">
      <c r="A18" s="124"/>
      <c r="B18" s="124"/>
      <c r="C18" s="124"/>
      <c r="D18" s="124"/>
    </row>
    <row r="19" spans="1:4" x14ac:dyDescent="0.25">
      <c r="A19" s="124"/>
      <c r="B19" s="124"/>
      <c r="C19" s="124"/>
      <c r="D19" s="124"/>
    </row>
  </sheetData>
  <dataConsolidate/>
  <customSheetViews>
    <customSheetView guid="{A8F9189F-30EC-448E-8FA3-1F1B01D22A46}">
      <selection activeCell="C21" sqref="C21"/>
      <pageMargins left="0.7" right="0.7" top="0.75" bottom="0.75" header="0.3" footer="0.3"/>
      <pageSetup paperSize="157" orientation="portrait" horizontalDpi="203" verticalDpi="203" r:id="rId1"/>
    </customSheetView>
  </customSheetViews>
  <hyperlinks>
    <hyperlink ref="C2" r:id="rId2"/>
    <hyperlink ref="C3" r:id="rId3"/>
  </hyperlinks>
  <pageMargins left="0.7" right="0.7" top="0.75" bottom="0.75" header="0.3" footer="0.3"/>
  <pageSetup paperSize="157" orientation="portrait" horizontalDpi="203" verticalDpi="203"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WXI150"/>
  <sheetViews>
    <sheetView zoomScale="85" zoomScaleNormal="85" workbookViewId="0">
      <pane xSplit="3" ySplit="3" topLeftCell="D4" activePane="bottomRight" state="frozen"/>
      <selection pane="topRight" activeCell="D1" sqref="D1"/>
      <selection pane="bottomLeft" activeCell="A4" sqref="A4"/>
      <selection pane="bottomRight" activeCell="MA4" sqref="MA4"/>
    </sheetView>
  </sheetViews>
  <sheetFormatPr defaultRowHeight="15" x14ac:dyDescent="0.25"/>
  <cols>
    <col min="1" max="1" width="46.7109375" style="43" customWidth="1"/>
    <col min="2" max="2" width="13" style="44" customWidth="1"/>
    <col min="3" max="3" width="32.5703125" style="45" customWidth="1"/>
    <col min="4" max="4" width="13.5703125" style="29" customWidth="1"/>
    <col min="5" max="5" width="15" style="29" customWidth="1"/>
    <col min="6" max="6" width="13.42578125" style="46" customWidth="1"/>
    <col min="7" max="7" width="13.28515625" style="46" customWidth="1"/>
    <col min="8" max="8" width="29.5703125" style="29" hidden="1" customWidth="1"/>
    <col min="9" max="9" width="14.5703125" style="29" hidden="1" customWidth="1"/>
    <col min="10" max="10" width="50.5703125" style="29" hidden="1" customWidth="1"/>
    <col min="11" max="11" width="23" style="29" hidden="1" customWidth="1"/>
    <col min="12" max="12" width="29.5703125" style="29" hidden="1" customWidth="1"/>
    <col min="13" max="13" width="15.5703125" style="29" hidden="1" customWidth="1"/>
    <col min="14" max="14" width="14.5703125" style="29" hidden="1" customWidth="1"/>
    <col min="15" max="15" width="16.28515625" style="29" hidden="1" customWidth="1"/>
    <col min="16" max="16" width="17.85546875" style="29" hidden="1" customWidth="1"/>
    <col min="17" max="17" width="18.85546875" style="29" hidden="1" customWidth="1"/>
    <col min="18" max="18" width="17.85546875" style="29" hidden="1" customWidth="1"/>
    <col min="19" max="19" width="19.42578125" style="29" hidden="1" customWidth="1"/>
    <col min="20" max="20" width="4" style="29" hidden="1" customWidth="1"/>
    <col min="21" max="21" width="15" style="29" hidden="1" customWidth="1"/>
    <col min="22" max="22" width="20.7109375" style="29" hidden="1" customWidth="1"/>
    <col min="23" max="23" width="21.28515625" style="29" hidden="1" customWidth="1"/>
    <col min="24" max="24" width="27" style="29" hidden="1" customWidth="1"/>
    <col min="25" max="25" width="17.5703125" style="29" hidden="1" customWidth="1"/>
    <col min="26" max="26" width="16.28515625" style="29" hidden="1" customWidth="1"/>
    <col min="27" max="27" width="15.140625" style="29" hidden="1" customWidth="1"/>
    <col min="28" max="28" width="18.28515625" style="29" hidden="1" customWidth="1"/>
    <col min="29" max="29" width="17.5703125" style="29" hidden="1" customWidth="1"/>
    <col min="30" max="30" width="23.28515625" style="29" hidden="1" customWidth="1"/>
    <col min="31" max="31" width="15.5703125" style="29" hidden="1" customWidth="1"/>
    <col min="32" max="32" width="21.28515625" style="29" hidden="1" customWidth="1"/>
    <col min="33" max="33" width="22.85546875" style="29" hidden="1" customWidth="1"/>
    <col min="34" max="34" width="8.140625" style="29" hidden="1" customWidth="1"/>
    <col min="35" max="35" width="12.7109375" style="29" hidden="1" customWidth="1"/>
    <col min="36" max="36" width="37.140625" style="29" hidden="1" customWidth="1"/>
    <col min="37" max="37" width="34.28515625" style="29" hidden="1" customWidth="1"/>
    <col min="38" max="38" width="39.5703125" style="29" hidden="1" customWidth="1"/>
    <col min="39" max="39" width="41" style="29" hidden="1" customWidth="1"/>
    <col min="40" max="40" width="23.7109375" style="29" hidden="1" customWidth="1"/>
    <col min="41" max="41" width="35.42578125" style="29" hidden="1" customWidth="1"/>
    <col min="42" max="42" width="32.42578125" style="29" hidden="1" customWidth="1"/>
    <col min="43" max="43" width="37.85546875" style="29" hidden="1" customWidth="1"/>
    <col min="44" max="44" width="17.140625" style="29" hidden="1" customWidth="1"/>
    <col min="45" max="45" width="20.28515625" style="29" hidden="1" customWidth="1"/>
    <col min="46" max="46" width="11.7109375" style="29" hidden="1" customWidth="1"/>
    <col min="47" max="47" width="11.85546875" style="29" hidden="1" customWidth="1"/>
    <col min="48" max="48" width="9.85546875" style="29" hidden="1" customWidth="1"/>
    <col min="49" max="49" width="5.140625" style="29" hidden="1" customWidth="1"/>
    <col min="50" max="50" width="9.28515625" style="29" hidden="1" customWidth="1"/>
    <col min="51" max="51" width="8.7109375" style="29" hidden="1" customWidth="1"/>
    <col min="52" max="52" width="14.28515625" style="29" hidden="1" customWidth="1"/>
    <col min="53" max="53" width="13.5703125" style="29" hidden="1" customWidth="1"/>
    <col min="54" max="54" width="19.28515625" style="29" hidden="1" customWidth="1"/>
    <col min="55" max="55" width="11.5703125" style="29" hidden="1" customWidth="1"/>
    <col min="56" max="56" width="26.140625" style="29" hidden="1" customWidth="1"/>
    <col min="57" max="57" width="13.5703125" style="29" hidden="1" customWidth="1"/>
    <col min="58" max="58" width="39" style="29" hidden="1" customWidth="1"/>
    <col min="59" max="59" width="29.5703125" style="29" hidden="1" customWidth="1"/>
    <col min="60" max="61" width="30.28515625" style="29" hidden="1" customWidth="1"/>
    <col min="62" max="62" width="25.85546875" style="29" hidden="1" customWidth="1"/>
    <col min="63" max="63" width="28.42578125" style="29" hidden="1" customWidth="1"/>
    <col min="64" max="64" width="31.7109375" style="29" hidden="1" customWidth="1"/>
    <col min="65" max="65" width="15.140625" style="29" hidden="1" customWidth="1"/>
    <col min="66" max="66" width="19.5703125" style="29" hidden="1" customWidth="1"/>
    <col min="67" max="67" width="19.28515625" style="29" hidden="1" customWidth="1"/>
    <col min="68" max="68" width="13.85546875" style="29" hidden="1" customWidth="1"/>
    <col min="69" max="69" width="15.5703125" style="29" hidden="1" customWidth="1"/>
    <col min="70" max="70" width="14.5703125" style="29" hidden="1" customWidth="1"/>
    <col min="71" max="71" width="27.85546875" style="29" hidden="1" customWidth="1"/>
    <col min="72" max="72" width="23.85546875" style="29" hidden="1" customWidth="1"/>
    <col min="73" max="73" width="12.5703125" style="29" hidden="1" customWidth="1"/>
    <col min="74" max="74" width="33.28515625" style="29" hidden="1" customWidth="1"/>
    <col min="75" max="75" width="25.85546875" style="29" hidden="1" customWidth="1"/>
    <col min="76" max="76" width="24.140625" style="29" hidden="1" customWidth="1"/>
    <col min="77" max="77" width="27.7109375" style="29" hidden="1" customWidth="1"/>
    <col min="78" max="78" width="22.28515625" style="29" hidden="1" customWidth="1"/>
    <col min="79" max="79" width="31.28515625" style="29" hidden="1" customWidth="1"/>
    <col min="80" max="80" width="26.85546875" style="29" hidden="1" customWidth="1"/>
    <col min="81" max="81" width="9.42578125" style="29" hidden="1" customWidth="1"/>
    <col min="82" max="82" width="10.7109375" style="29" hidden="1" customWidth="1"/>
    <col min="83" max="83" width="8.85546875" style="29" hidden="1" customWidth="1"/>
    <col min="84" max="84" width="9.42578125" style="29" hidden="1" customWidth="1"/>
    <col min="85" max="85" width="43.5703125" style="29" hidden="1" customWidth="1"/>
    <col min="86" max="86" width="8.42578125" style="29" hidden="1" customWidth="1"/>
    <col min="87" max="87" width="12.7109375" style="29" hidden="1" customWidth="1"/>
    <col min="88" max="88" width="177.5703125" style="29" hidden="1" customWidth="1"/>
    <col min="89" max="89" width="13.5703125" style="29" hidden="1" customWidth="1"/>
    <col min="90" max="91" width="10.7109375" style="29" hidden="1" customWidth="1"/>
    <col min="92" max="92" width="12.42578125" style="29" hidden="1" customWidth="1"/>
    <col min="93" max="93" width="9" style="29" hidden="1" customWidth="1"/>
    <col min="94" max="94" width="18" style="29" hidden="1" customWidth="1"/>
    <col min="95" max="95" width="40.7109375" style="29" hidden="1" customWidth="1"/>
    <col min="96" max="96" width="26.7109375" style="29" hidden="1" customWidth="1"/>
    <col min="97" max="97" width="41.28515625" style="29" hidden="1" customWidth="1"/>
    <col min="98" max="98" width="37.28515625" style="29" hidden="1" customWidth="1"/>
    <col min="99" max="99" width="26.7109375" style="29" hidden="1" customWidth="1"/>
    <col min="100" max="100" width="27.7109375" style="29" hidden="1" customWidth="1"/>
    <col min="101" max="101" width="17.5703125" style="29" hidden="1" customWidth="1"/>
    <col min="102" max="102" width="12.28515625" style="29" hidden="1" customWidth="1"/>
    <col min="103" max="103" width="27.140625" style="29" hidden="1" customWidth="1"/>
    <col min="104" max="104" width="11.7109375" style="29" hidden="1" customWidth="1"/>
    <col min="105" max="105" width="26.140625" style="29" hidden="1" customWidth="1"/>
    <col min="106" max="106" width="13.85546875" style="29" hidden="1" customWidth="1"/>
    <col min="107" max="107" width="18.42578125" style="29" hidden="1" customWidth="1"/>
    <col min="108" max="108" width="20.85546875" style="29" hidden="1" customWidth="1"/>
    <col min="109" max="110" width="18.140625" style="29" hidden="1" customWidth="1"/>
    <col min="111" max="111" width="17" style="29" hidden="1" customWidth="1"/>
    <col min="112" max="112" width="18.85546875" style="29" hidden="1" customWidth="1"/>
    <col min="113" max="114" width="28.7109375" style="29" hidden="1" customWidth="1"/>
    <col min="115" max="115" width="18.28515625" style="29" hidden="1" customWidth="1"/>
    <col min="116" max="116" width="16.5703125" style="29" hidden="1" customWidth="1"/>
    <col min="117" max="117" width="22.42578125" style="29" hidden="1" customWidth="1"/>
    <col min="118" max="118" width="19.42578125" style="29" hidden="1" customWidth="1"/>
    <col min="119" max="119" width="26" style="29" hidden="1" customWidth="1"/>
    <col min="120" max="120" width="21.140625" style="29" hidden="1" customWidth="1"/>
    <col min="121" max="121" width="20.140625" style="29" hidden="1" customWidth="1"/>
    <col min="122" max="122" width="22" style="29" hidden="1" customWidth="1"/>
    <col min="123" max="123" width="28.140625" style="29" hidden="1" customWidth="1"/>
    <col min="124" max="124" width="22.7109375" style="29" hidden="1" customWidth="1"/>
    <col min="125" max="125" width="26.7109375" style="29" hidden="1" customWidth="1"/>
    <col min="126" max="126" width="13.42578125" style="29" hidden="1" customWidth="1"/>
    <col min="127" max="127" width="14.42578125" style="29" hidden="1" customWidth="1"/>
    <col min="128" max="128" width="12.5703125" style="29" hidden="1" customWidth="1"/>
    <col min="129" max="129" width="22.140625" style="29" hidden="1" customWidth="1"/>
    <col min="130" max="130" width="18.5703125" style="29" hidden="1" customWidth="1"/>
    <col min="131" max="131" width="21.28515625" style="29" hidden="1" customWidth="1"/>
    <col min="132" max="132" width="23" style="29" hidden="1" customWidth="1"/>
    <col min="133" max="133" width="22.7109375" style="29" hidden="1" customWidth="1"/>
    <col min="134" max="134" width="22" style="29" hidden="1" customWidth="1"/>
    <col min="135" max="135" width="23.140625" style="29" hidden="1" customWidth="1"/>
    <col min="136" max="136" width="23.85546875" style="29" hidden="1" customWidth="1"/>
    <col min="137" max="137" width="28.7109375" style="29" hidden="1" customWidth="1"/>
    <col min="138" max="138" width="19.140625" style="29" hidden="1" customWidth="1"/>
    <col min="139" max="139" width="14.28515625" style="29" hidden="1" customWidth="1"/>
    <col min="140" max="140" width="8.85546875" style="29" hidden="1" customWidth="1"/>
    <col min="141" max="141" width="7.42578125" style="29" hidden="1" customWidth="1"/>
    <col min="142" max="142" width="9.28515625" style="29" hidden="1" customWidth="1"/>
    <col min="143" max="143" width="11.85546875" style="29" hidden="1" customWidth="1"/>
    <col min="144" max="144" width="14.7109375" style="29" hidden="1" customWidth="1"/>
    <col min="145" max="145" width="17" style="29" hidden="1" customWidth="1"/>
    <col min="146" max="146" width="15.42578125" style="29" hidden="1" customWidth="1"/>
    <col min="147" max="147" width="26.5703125" style="29" hidden="1" customWidth="1"/>
    <col min="148" max="148" width="29.28515625" style="29" hidden="1" customWidth="1"/>
    <col min="149" max="149" width="15.5703125" style="29" hidden="1" customWidth="1"/>
    <col min="150" max="150" width="10.85546875" style="29" hidden="1" customWidth="1"/>
    <col min="151" max="151" width="13.7109375" style="29" hidden="1" customWidth="1"/>
    <col min="152" max="152" width="11.5703125" style="29" hidden="1" customWidth="1"/>
    <col min="153" max="153" width="20.85546875" style="29" hidden="1" customWidth="1"/>
    <col min="154" max="154" width="11.5703125" style="29" hidden="1" customWidth="1"/>
    <col min="155" max="155" width="12.140625" style="29" hidden="1" customWidth="1"/>
    <col min="156" max="156" width="11.42578125" style="29" hidden="1" customWidth="1"/>
    <col min="157" max="157" width="14.28515625" style="29" hidden="1" customWidth="1"/>
    <col min="158" max="158" width="26.85546875" style="29" hidden="1" customWidth="1"/>
    <col min="159" max="159" width="12.5703125" style="29" hidden="1" customWidth="1"/>
    <col min="160" max="160" width="16" style="29" hidden="1" customWidth="1"/>
    <col min="161" max="161" width="21.140625" style="29" hidden="1" customWidth="1"/>
    <col min="162" max="163" width="23.28515625" style="29" hidden="1" customWidth="1"/>
    <col min="164" max="164" width="25.28515625" style="29" hidden="1" customWidth="1"/>
    <col min="165" max="165" width="27.85546875" style="29" hidden="1" customWidth="1"/>
    <col min="166" max="166" width="28.7109375" style="29" hidden="1" customWidth="1"/>
    <col min="167" max="167" width="29.5703125" style="29" hidden="1" customWidth="1"/>
    <col min="168" max="168" width="28.85546875" style="29" hidden="1" customWidth="1"/>
    <col min="169" max="169" width="25" style="29" hidden="1" customWidth="1"/>
    <col min="170" max="170" width="23.85546875" style="29" hidden="1" customWidth="1"/>
    <col min="171" max="171" width="26.85546875" style="29" hidden="1" customWidth="1"/>
    <col min="172" max="172" width="24.85546875" style="29" hidden="1" customWidth="1"/>
    <col min="173" max="173" width="24.28515625" style="29" hidden="1" customWidth="1"/>
    <col min="174" max="174" width="25.140625" style="29" hidden="1" customWidth="1"/>
    <col min="175" max="175" width="26.7109375" style="29" hidden="1" customWidth="1"/>
    <col min="176" max="176" width="25" style="29" hidden="1" customWidth="1"/>
    <col min="177" max="177" width="26.140625" style="29" hidden="1" customWidth="1"/>
    <col min="178" max="178" width="24.140625" style="29" hidden="1" customWidth="1"/>
    <col min="179" max="179" width="23.85546875" style="29" hidden="1" customWidth="1"/>
    <col min="180" max="180" width="21.85546875" style="29" hidden="1" customWidth="1"/>
    <col min="181" max="181" width="19.42578125" style="29" hidden="1" customWidth="1"/>
    <col min="182" max="182" width="13.7109375" style="29" hidden="1" customWidth="1"/>
    <col min="183" max="183" width="12.42578125" style="29" hidden="1" customWidth="1"/>
    <col min="184" max="184" width="12.7109375" style="29" hidden="1" customWidth="1"/>
    <col min="185" max="185" width="16.140625" style="29" hidden="1" customWidth="1"/>
    <col min="186" max="186" width="18.42578125" style="29" hidden="1" customWidth="1"/>
    <col min="187" max="187" width="19.28515625" style="29" hidden="1" customWidth="1"/>
    <col min="188" max="188" width="16.140625" style="29" hidden="1" customWidth="1"/>
    <col min="189" max="190" width="16.5703125" style="29" hidden="1" customWidth="1"/>
    <col min="191" max="191" width="15.42578125" style="29" hidden="1" customWidth="1"/>
    <col min="192" max="192" width="17.5703125" style="29" hidden="1" customWidth="1"/>
    <col min="193" max="193" width="14.7109375" style="29" hidden="1" customWidth="1"/>
    <col min="194" max="194" width="19.42578125" style="29" hidden="1" customWidth="1"/>
    <col min="195" max="195" width="20.42578125" style="29" hidden="1" customWidth="1"/>
    <col min="196" max="196" width="21" style="29" hidden="1" customWidth="1"/>
    <col min="197" max="197" width="18.42578125" style="29" hidden="1" customWidth="1"/>
    <col min="198" max="199" width="16.140625" style="29" hidden="1" customWidth="1"/>
    <col min="200" max="200" width="23" style="29" hidden="1" customWidth="1"/>
    <col min="201" max="201" width="19.28515625" style="29" hidden="1" customWidth="1"/>
    <col min="202" max="202" width="15" style="29" hidden="1" customWidth="1"/>
    <col min="203" max="203" width="16.5703125" style="29" hidden="1" customWidth="1"/>
    <col min="204" max="204" width="23.7109375" style="29" hidden="1" customWidth="1"/>
    <col min="205" max="205" width="22.7109375" style="29" hidden="1" customWidth="1"/>
    <col min="206" max="206" width="23.85546875" style="29" hidden="1" customWidth="1"/>
    <col min="207" max="207" width="19.85546875" style="29" hidden="1" customWidth="1"/>
    <col min="208" max="208" width="20.7109375" style="29" hidden="1" customWidth="1"/>
    <col min="209" max="209" width="23" style="29" hidden="1" customWidth="1"/>
    <col min="210" max="210" width="13.5703125" style="29" hidden="1" customWidth="1"/>
    <col min="211" max="211" width="16.140625" style="29" hidden="1" customWidth="1"/>
    <col min="212" max="212" width="14.85546875" style="29" hidden="1" customWidth="1"/>
    <col min="213" max="213" width="12.42578125" style="29" hidden="1" customWidth="1"/>
    <col min="214" max="214" width="9.5703125" style="29" hidden="1" customWidth="1"/>
    <col min="215" max="215" width="11" style="29" hidden="1" customWidth="1"/>
    <col min="216" max="216" width="8.140625" style="29" hidden="1" customWidth="1"/>
    <col min="217" max="217" width="10.42578125" style="29" hidden="1" customWidth="1"/>
    <col min="218" max="218" width="11.85546875" style="29" hidden="1" customWidth="1"/>
    <col min="219" max="219" width="19.5703125" style="29" hidden="1" customWidth="1"/>
    <col min="220" max="220" width="39" style="29" hidden="1" customWidth="1"/>
    <col min="221" max="221" width="27.5703125" style="29" hidden="1" customWidth="1"/>
    <col min="222" max="222" width="201" style="29" hidden="1" customWidth="1"/>
    <col min="223" max="223" width="28.42578125" style="29" hidden="1" customWidth="1"/>
    <col min="224" max="224" width="62.28515625" style="29" hidden="1" customWidth="1"/>
    <col min="225" max="225" width="23.28515625" style="29" hidden="1" customWidth="1"/>
    <col min="226" max="226" width="24.85546875" style="29" hidden="1" customWidth="1"/>
    <col min="227" max="227" width="17.85546875" style="29" hidden="1" customWidth="1"/>
    <col min="228" max="228" width="169.28515625" style="29" hidden="1" customWidth="1"/>
    <col min="229" max="229" width="186.42578125" style="29" hidden="1" customWidth="1"/>
    <col min="230" max="230" width="158.28515625" style="29" hidden="1" customWidth="1"/>
    <col min="231" max="232" width="255.7109375" style="29" hidden="1" customWidth="1"/>
    <col min="233" max="233" width="12.85546875" style="29" hidden="1" customWidth="1"/>
    <col min="234" max="234" width="15.5703125" style="29" hidden="1" customWidth="1"/>
    <col min="235" max="235" width="22.28515625" style="29" hidden="1" customWidth="1"/>
    <col min="236" max="236" width="16" style="29" hidden="1" customWidth="1"/>
    <col min="237" max="237" width="16.7109375" style="29" hidden="1" customWidth="1"/>
    <col min="238" max="238" width="14.5703125" style="29" hidden="1" customWidth="1"/>
    <col min="239" max="239" width="18.5703125" style="29" hidden="1" customWidth="1"/>
    <col min="240" max="240" width="20.85546875" style="29" hidden="1" customWidth="1"/>
    <col min="241" max="241" width="18.28515625" style="29" hidden="1" customWidth="1"/>
    <col min="242" max="242" width="172.28515625" style="29" hidden="1" customWidth="1"/>
    <col min="243" max="243" width="19.42578125" style="29" hidden="1" customWidth="1"/>
    <col min="244" max="244" width="16.7109375" style="29" hidden="1" customWidth="1"/>
    <col min="245" max="245" width="17.5703125" style="29" hidden="1" customWidth="1"/>
    <col min="246" max="246" width="19.42578125" style="29" hidden="1" customWidth="1"/>
    <col min="247" max="247" width="24.28515625" style="29" hidden="1" customWidth="1"/>
    <col min="248" max="248" width="8.5703125" style="29" hidden="1" customWidth="1"/>
    <col min="249" max="249" width="11" style="29" hidden="1" customWidth="1"/>
    <col min="250" max="250" width="10.7109375" style="29" hidden="1" customWidth="1"/>
    <col min="251" max="251" width="14.28515625" style="29" hidden="1" customWidth="1"/>
    <col min="252" max="252" width="9.28515625" style="29" hidden="1" customWidth="1"/>
    <col min="253" max="253" width="11.85546875" style="29" hidden="1" customWidth="1"/>
    <col min="254" max="254" width="29.42578125" style="29" hidden="1" customWidth="1"/>
    <col min="255" max="255" width="29.5703125" style="29" hidden="1" customWidth="1"/>
    <col min="256" max="256" width="19.42578125" style="29" hidden="1" customWidth="1"/>
    <col min="257" max="258" width="16.140625" style="29" hidden="1" customWidth="1"/>
    <col min="259" max="259" width="18.5703125" style="29" hidden="1" customWidth="1"/>
    <col min="260" max="260" width="16.140625" style="29" hidden="1" customWidth="1"/>
    <col min="261" max="261" width="15.7109375" style="29" hidden="1" customWidth="1"/>
    <col min="262" max="262" width="13.85546875" style="29" hidden="1" customWidth="1"/>
    <col min="263" max="263" width="15.5703125" style="29" hidden="1" customWidth="1"/>
    <col min="264" max="264" width="31.28515625" style="29" hidden="1" customWidth="1"/>
    <col min="265" max="265" width="43.7109375" style="29" hidden="1" customWidth="1"/>
    <col min="266" max="266" width="9.140625" style="29" hidden="1" customWidth="1"/>
    <col min="267" max="267" width="15.5703125" style="29" hidden="1" customWidth="1"/>
    <col min="268" max="268" width="7.5703125" style="29" hidden="1" customWidth="1"/>
    <col min="269" max="269" width="15.140625" style="29" hidden="1" customWidth="1"/>
    <col min="270" max="270" width="49" style="29" hidden="1" customWidth="1"/>
    <col min="271" max="271" width="10.85546875" style="29" hidden="1" customWidth="1"/>
    <col min="272" max="272" width="50.5703125" style="29" hidden="1" customWidth="1"/>
    <col min="273" max="273" width="39" style="29" hidden="1" customWidth="1"/>
    <col min="274" max="274" width="5.28515625" style="29" hidden="1" customWidth="1"/>
    <col min="275" max="275" width="12.28515625" style="29" hidden="1" customWidth="1"/>
    <col min="276" max="276" width="39" style="29" hidden="1" customWidth="1"/>
    <col min="277" max="277" width="31.42578125" style="29" hidden="1" customWidth="1"/>
    <col min="278" max="278" width="255.7109375" style="29" hidden="1" customWidth="1"/>
    <col min="279" max="279" width="22.140625" style="29" hidden="1" customWidth="1"/>
    <col min="280" max="281" width="255.7109375" style="29" hidden="1" customWidth="1"/>
    <col min="282" max="282" width="19.42578125" style="29" hidden="1" customWidth="1"/>
    <col min="283" max="283" width="14.140625" style="29" hidden="1" customWidth="1"/>
    <col min="284" max="284" width="14.42578125" style="29" hidden="1" customWidth="1"/>
    <col min="285" max="285" width="14.7109375" style="29" hidden="1" customWidth="1"/>
    <col min="286" max="286" width="23.28515625" style="29" hidden="1" customWidth="1"/>
    <col min="287" max="287" width="19.42578125" style="29" hidden="1" customWidth="1"/>
    <col min="288" max="289" width="22.85546875" style="29" hidden="1" customWidth="1"/>
    <col min="290" max="290" width="19.140625" style="29" hidden="1" customWidth="1"/>
    <col min="291" max="291" width="23.5703125" style="29" hidden="1" customWidth="1"/>
    <col min="292" max="292" width="11.42578125" style="29" hidden="1" customWidth="1"/>
    <col min="293" max="293" width="16" style="29" hidden="1" customWidth="1"/>
    <col min="294" max="294" width="18.42578125" style="29" hidden="1" customWidth="1"/>
    <col min="295" max="295" width="15.5703125" style="29" hidden="1" customWidth="1"/>
    <col min="296" max="296" width="16.28515625" style="29" hidden="1" customWidth="1"/>
    <col min="297" max="297" width="19" style="29" hidden="1" customWidth="1"/>
    <col min="298" max="298" width="17" style="29" hidden="1" customWidth="1"/>
    <col min="299" max="299" width="14.28515625" style="29" hidden="1" customWidth="1"/>
    <col min="300" max="300" width="20" style="29" hidden="1" customWidth="1"/>
    <col min="301" max="301" width="26.7109375" style="29" hidden="1" customWidth="1"/>
    <col min="302" max="302" width="17" style="29" hidden="1" customWidth="1"/>
    <col min="303" max="303" width="23.5703125" style="29" hidden="1" customWidth="1"/>
    <col min="304" max="304" width="19.42578125" style="29" hidden="1" customWidth="1"/>
    <col min="305" max="305" width="22.140625" style="29" hidden="1" customWidth="1"/>
    <col min="306" max="306" width="20.140625" style="29" hidden="1" customWidth="1"/>
    <col min="307" max="307" width="26" style="29" hidden="1" customWidth="1"/>
    <col min="308" max="308" width="17" style="29" hidden="1" customWidth="1"/>
    <col min="309" max="309" width="18.85546875" style="29" hidden="1" customWidth="1"/>
    <col min="310" max="311" width="26.85546875" style="29" hidden="1" customWidth="1"/>
    <col min="312" max="312" width="20.140625" style="29" hidden="1" customWidth="1"/>
    <col min="313" max="313" width="14.7109375" style="29" hidden="1" customWidth="1"/>
    <col min="314" max="314" width="10.85546875" style="29" hidden="1" customWidth="1"/>
    <col min="315" max="315" width="10.28515625" style="29" hidden="1" customWidth="1"/>
    <col min="316" max="316" width="14.42578125" style="29" hidden="1" customWidth="1"/>
    <col min="317" max="317" width="16.140625" style="29" hidden="1" customWidth="1"/>
    <col min="318" max="318" width="19" style="29" hidden="1" customWidth="1"/>
    <col min="319" max="319" width="20.42578125" style="29" hidden="1" customWidth="1"/>
    <col min="320" max="320" width="20.140625" style="29" hidden="1" customWidth="1"/>
    <col min="321" max="321" width="19.42578125" style="29" hidden="1" customWidth="1"/>
    <col min="322" max="322" width="24" style="29" hidden="1" customWidth="1"/>
    <col min="323" max="323" width="22.140625" style="29" hidden="1" customWidth="1"/>
    <col min="324" max="324" width="22" style="29" hidden="1" customWidth="1"/>
    <col min="325" max="325" width="22.85546875" style="29" hidden="1" customWidth="1"/>
    <col min="326" max="326" width="26.5703125" style="29" hidden="1" customWidth="1"/>
    <col min="327" max="327" width="20.7109375" style="29" hidden="1" customWidth="1"/>
    <col min="328" max="328" width="18.140625" style="29" hidden="1" customWidth="1"/>
    <col min="329" max="329" width="22.42578125" style="29" hidden="1" customWidth="1"/>
    <col min="330" max="330" width="19.140625" style="29" hidden="1" customWidth="1"/>
    <col min="331" max="331" width="24.7109375" style="29" hidden="1" customWidth="1"/>
    <col min="332" max="332" width="10.42578125" style="29" hidden="1" customWidth="1"/>
    <col min="333" max="333" width="9.5703125" style="29" hidden="1" customWidth="1"/>
    <col min="334" max="334" width="39" style="29" hidden="1" customWidth="1"/>
    <col min="335" max="335" width="24.140625" style="29" hidden="1" customWidth="1"/>
    <col min="336" max="336" width="11.7109375" style="29" customWidth="1"/>
    <col min="337" max="337" width="11.5703125" style="29" customWidth="1"/>
    <col min="338" max="338" width="8.42578125" style="29" customWidth="1"/>
    <col min="339" max="339" width="21.85546875" style="29" bestFit="1" customWidth="1"/>
    <col min="340" max="340" width="22.42578125" style="29" customWidth="1"/>
    <col min="341" max="341" width="23.7109375" style="29" customWidth="1"/>
    <col min="342" max="343" width="25.5703125" style="29" customWidth="1"/>
    <col min="344" max="344" width="28.85546875" style="29" customWidth="1"/>
    <col min="345" max="16384" width="9.140625" style="29"/>
  </cols>
  <sheetData>
    <row r="1" spans="1:344" s="67" customFormat="1" x14ac:dyDescent="0.25">
      <c r="A1" s="43"/>
      <c r="B1" s="67" t="s">
        <v>310</v>
      </c>
      <c r="C1" s="45"/>
      <c r="F1" s="68"/>
      <c r="G1" s="68"/>
      <c r="HN1" s="29"/>
    </row>
    <row r="2" spans="1:344" s="67" customFormat="1" x14ac:dyDescent="0.25">
      <c r="A2" s="43"/>
      <c r="B2" s="69"/>
      <c r="C2" s="45"/>
      <c r="F2" s="68"/>
      <c r="G2" s="68"/>
      <c r="HN2" s="29"/>
    </row>
    <row r="3" spans="1:344" s="67" customFormat="1" x14ac:dyDescent="0.25">
      <c r="A3" s="63" t="s">
        <v>9</v>
      </c>
      <c r="B3" s="70" t="s">
        <v>4</v>
      </c>
      <c r="C3" s="158" t="s">
        <v>51</v>
      </c>
      <c r="D3" s="70" t="s">
        <v>5</v>
      </c>
      <c r="E3" s="70" t="s">
        <v>6</v>
      </c>
      <c r="F3" s="71" t="s">
        <v>7</v>
      </c>
      <c r="G3" s="71" t="s">
        <v>8</v>
      </c>
      <c r="H3" s="72" t="s">
        <v>38</v>
      </c>
      <c r="I3" s="73" t="s">
        <v>39</v>
      </c>
      <c r="J3" s="73" t="s">
        <v>42</v>
      </c>
      <c r="K3" s="73" t="s">
        <v>43</v>
      </c>
      <c r="L3" s="73" t="s">
        <v>54</v>
      </c>
      <c r="M3" s="74" t="s">
        <v>166</v>
      </c>
      <c r="N3" s="74" t="s">
        <v>167</v>
      </c>
      <c r="O3" s="74" t="s">
        <v>168</v>
      </c>
      <c r="P3" s="74" t="s">
        <v>172</v>
      </c>
      <c r="Q3" s="74" t="s">
        <v>174</v>
      </c>
      <c r="R3" s="74" t="s">
        <v>175</v>
      </c>
      <c r="S3" s="74" t="s">
        <v>176</v>
      </c>
      <c r="T3" s="73" t="s">
        <v>359</v>
      </c>
      <c r="U3" s="73" t="s">
        <v>160</v>
      </c>
      <c r="V3" s="74" t="s">
        <v>407</v>
      </c>
      <c r="W3" s="74" t="s">
        <v>408</v>
      </c>
      <c r="X3" s="73" t="s">
        <v>729</v>
      </c>
      <c r="Y3" s="74" t="s">
        <v>424</v>
      </c>
      <c r="Z3" s="73" t="s">
        <v>381</v>
      </c>
      <c r="AA3" s="73" t="s">
        <v>382</v>
      </c>
      <c r="AB3" s="73" t="s">
        <v>383</v>
      </c>
      <c r="AC3" s="73" t="s">
        <v>384</v>
      </c>
      <c r="AD3" s="73" t="s">
        <v>385</v>
      </c>
      <c r="AE3" s="73" t="s">
        <v>386</v>
      </c>
      <c r="AF3" s="73" t="s">
        <v>387</v>
      </c>
      <c r="AG3" s="73" t="s">
        <v>388</v>
      </c>
      <c r="AH3" s="73" t="s">
        <v>272</v>
      </c>
      <c r="AI3" s="73" t="s">
        <v>273</v>
      </c>
      <c r="AJ3" s="74" t="s">
        <v>295</v>
      </c>
      <c r="AK3" s="74" t="s">
        <v>296</v>
      </c>
      <c r="AL3" s="74" t="s">
        <v>297</v>
      </c>
      <c r="AM3" s="74" t="s">
        <v>298</v>
      </c>
      <c r="AN3" s="73" t="s">
        <v>277</v>
      </c>
      <c r="AO3" s="74" t="s">
        <v>299</v>
      </c>
      <c r="AP3" s="74" t="s">
        <v>300</v>
      </c>
      <c r="AQ3" s="74" t="s">
        <v>301</v>
      </c>
      <c r="AR3" s="73" t="s">
        <v>281</v>
      </c>
      <c r="AS3" s="73" t="s">
        <v>282</v>
      </c>
      <c r="AT3" s="73" t="s">
        <v>283</v>
      </c>
      <c r="AU3" s="73" t="s">
        <v>284</v>
      </c>
      <c r="AV3" s="73" t="s">
        <v>285</v>
      </c>
      <c r="AW3" s="73" t="s">
        <v>290</v>
      </c>
      <c r="AX3" s="73" t="s">
        <v>291</v>
      </c>
      <c r="AY3" s="73" t="s">
        <v>390</v>
      </c>
      <c r="AZ3" s="73" t="s">
        <v>391</v>
      </c>
      <c r="BA3" s="73" t="s">
        <v>198</v>
      </c>
      <c r="BB3" s="73" t="s">
        <v>392</v>
      </c>
      <c r="BC3" s="73" t="s">
        <v>393</v>
      </c>
      <c r="BD3" s="73" t="s">
        <v>544</v>
      </c>
      <c r="BE3" s="73" t="s">
        <v>545</v>
      </c>
      <c r="BF3" s="73" t="s">
        <v>546</v>
      </c>
      <c r="BG3" s="73" t="s">
        <v>547</v>
      </c>
      <c r="BH3" s="74" t="s">
        <v>657</v>
      </c>
      <c r="BI3" s="74" t="s">
        <v>658</v>
      </c>
      <c r="BJ3" s="74" t="s">
        <v>659</v>
      </c>
      <c r="BK3" s="74" t="s">
        <v>660</v>
      </c>
      <c r="BL3" s="74" t="s">
        <v>661</v>
      </c>
      <c r="BM3" s="74" t="s">
        <v>698</v>
      </c>
      <c r="BN3" s="74" t="s">
        <v>662</v>
      </c>
      <c r="BO3" s="74" t="s">
        <v>663</v>
      </c>
      <c r="BP3" s="74" t="s">
        <v>664</v>
      </c>
      <c r="BQ3" s="74" t="s">
        <v>665</v>
      </c>
      <c r="BR3" s="74" t="s">
        <v>666</v>
      </c>
      <c r="BS3" s="74" t="s">
        <v>667</v>
      </c>
      <c r="BT3" s="74" t="s">
        <v>668</v>
      </c>
      <c r="BU3" s="73" t="s">
        <v>752</v>
      </c>
      <c r="BV3" s="73" t="s">
        <v>759</v>
      </c>
      <c r="BW3" s="74" t="s">
        <v>770</v>
      </c>
      <c r="BX3" s="74" t="s">
        <v>771</v>
      </c>
      <c r="BY3" s="74" t="s">
        <v>772</v>
      </c>
      <c r="BZ3" s="74" t="s">
        <v>773</v>
      </c>
      <c r="CA3" s="74" t="s">
        <v>774</v>
      </c>
      <c r="CB3" s="74" t="s">
        <v>775</v>
      </c>
      <c r="CC3" s="73" t="s">
        <v>1004</v>
      </c>
      <c r="CD3" s="73" t="s">
        <v>958</v>
      </c>
      <c r="CE3" s="73" t="s">
        <v>959</v>
      </c>
      <c r="CF3" s="73" t="s">
        <v>960</v>
      </c>
      <c r="CG3" s="73" t="s">
        <v>16</v>
      </c>
      <c r="CH3" s="73" t="s">
        <v>18</v>
      </c>
      <c r="CI3" s="77" t="s">
        <v>19</v>
      </c>
      <c r="CJ3" s="72" t="s">
        <v>956</v>
      </c>
      <c r="CK3" s="73" t="s">
        <v>957</v>
      </c>
      <c r="CL3" s="73" t="s">
        <v>1078</v>
      </c>
      <c r="CM3" s="77" t="s">
        <v>1079</v>
      </c>
      <c r="CN3" s="72" t="s">
        <v>955</v>
      </c>
      <c r="CO3" s="77" t="s">
        <v>1013</v>
      </c>
      <c r="CP3" s="72" t="s">
        <v>389</v>
      </c>
      <c r="CQ3" s="73" t="s">
        <v>683</v>
      </c>
      <c r="CR3" s="73" t="s">
        <v>684</v>
      </c>
      <c r="CS3" s="77" t="s">
        <v>686</v>
      </c>
      <c r="CT3" s="72" t="s">
        <v>560</v>
      </c>
      <c r="CU3" s="74" t="s">
        <v>563</v>
      </c>
      <c r="CV3" s="74" t="s">
        <v>564</v>
      </c>
      <c r="CW3" s="73" t="s">
        <v>712</v>
      </c>
      <c r="CX3" s="73" t="s">
        <v>558</v>
      </c>
      <c r="CY3" s="73" t="s">
        <v>692</v>
      </c>
      <c r="CZ3" s="73" t="s">
        <v>623</v>
      </c>
      <c r="DA3" s="75" t="s">
        <v>669</v>
      </c>
      <c r="DB3" s="76" t="s">
        <v>680</v>
      </c>
      <c r="DC3" s="74" t="s">
        <v>625</v>
      </c>
      <c r="DD3" s="74" t="s">
        <v>626</v>
      </c>
      <c r="DE3" s="74" t="s">
        <v>627</v>
      </c>
      <c r="DF3" s="74" t="s">
        <v>628</v>
      </c>
      <c r="DG3" s="74" t="s">
        <v>629</v>
      </c>
      <c r="DH3" s="74" t="s">
        <v>630</v>
      </c>
      <c r="DI3" s="74" t="s">
        <v>631</v>
      </c>
      <c r="DJ3" s="74" t="s">
        <v>632</v>
      </c>
      <c r="DK3" s="74" t="s">
        <v>633</v>
      </c>
      <c r="DL3" s="74" t="s">
        <v>634</v>
      </c>
      <c r="DM3" s="74" t="s">
        <v>635</v>
      </c>
      <c r="DN3" s="74" t="s">
        <v>636</v>
      </c>
      <c r="DO3" s="74" t="s">
        <v>637</v>
      </c>
      <c r="DP3" s="74" t="s">
        <v>638</v>
      </c>
      <c r="DQ3" s="74" t="s">
        <v>639</v>
      </c>
      <c r="DR3" s="74" t="s">
        <v>640</v>
      </c>
      <c r="DS3" s="75" t="s">
        <v>654</v>
      </c>
      <c r="DT3" s="76" t="s">
        <v>642</v>
      </c>
      <c r="DU3" s="74" t="s">
        <v>643</v>
      </c>
      <c r="DV3" s="74" t="s">
        <v>644</v>
      </c>
      <c r="DW3" s="74" t="s">
        <v>645</v>
      </c>
      <c r="DX3" s="74" t="s">
        <v>646</v>
      </c>
      <c r="DY3" s="75" t="s">
        <v>655</v>
      </c>
      <c r="DZ3" s="76" t="s">
        <v>647</v>
      </c>
      <c r="EA3" s="74" t="s">
        <v>648</v>
      </c>
      <c r="EB3" s="74" t="s">
        <v>649</v>
      </c>
      <c r="EC3" s="74" t="s">
        <v>650</v>
      </c>
      <c r="ED3" s="74" t="s">
        <v>651</v>
      </c>
      <c r="EE3" s="74" t="s">
        <v>652</v>
      </c>
      <c r="EF3" s="74" t="s">
        <v>653</v>
      </c>
      <c r="EG3" s="74" t="s">
        <v>656</v>
      </c>
      <c r="EH3" s="75" t="s">
        <v>701</v>
      </c>
      <c r="EI3" s="187" t="s">
        <v>641</v>
      </c>
      <c r="EJ3" s="72" t="s">
        <v>1066</v>
      </c>
      <c r="EK3" s="73" t="s">
        <v>1067</v>
      </c>
      <c r="EL3" s="77" t="s">
        <v>1200</v>
      </c>
      <c r="EM3" s="72" t="s">
        <v>1055</v>
      </c>
      <c r="EN3" s="77" t="s">
        <v>1056</v>
      </c>
      <c r="EO3" s="76" t="s">
        <v>1239</v>
      </c>
      <c r="EP3" s="72" t="s">
        <v>1281</v>
      </c>
      <c r="EQ3" s="73" t="s">
        <v>1279</v>
      </c>
      <c r="ER3" s="73" t="s">
        <v>1280</v>
      </c>
      <c r="ES3" s="73" t="s">
        <v>1282</v>
      </c>
      <c r="ET3" s="73" t="s">
        <v>1283</v>
      </c>
      <c r="EU3" s="77" t="s">
        <v>1284</v>
      </c>
      <c r="EV3" s="72" t="s">
        <v>954</v>
      </c>
      <c r="EW3" s="73" t="s">
        <v>1285</v>
      </c>
      <c r="EX3" s="73" t="s">
        <v>1286</v>
      </c>
      <c r="EY3" s="73" t="s">
        <v>1287</v>
      </c>
      <c r="EZ3" s="73" t="s">
        <v>1292</v>
      </c>
      <c r="FA3" s="77" t="s">
        <v>1299</v>
      </c>
      <c r="FB3" s="76" t="s">
        <v>1319</v>
      </c>
      <c r="FC3" s="77" t="s">
        <v>1372</v>
      </c>
      <c r="FD3" s="78" t="s">
        <v>1371</v>
      </c>
      <c r="FE3" s="72" t="s">
        <v>1355</v>
      </c>
      <c r="FF3" s="73" t="s">
        <v>1356</v>
      </c>
      <c r="FG3" s="73" t="s">
        <v>1357</v>
      </c>
      <c r="FH3" s="73" t="s">
        <v>1358</v>
      </c>
      <c r="FI3" s="73" t="s">
        <v>1359</v>
      </c>
      <c r="FJ3" s="73" t="s">
        <v>1360</v>
      </c>
      <c r="FK3" s="73" t="s">
        <v>1361</v>
      </c>
      <c r="FL3" s="73" t="s">
        <v>1362</v>
      </c>
      <c r="FM3" s="73" t="s">
        <v>1363</v>
      </c>
      <c r="FN3" s="73" t="s">
        <v>1364</v>
      </c>
      <c r="FO3" s="73" t="s">
        <v>1365</v>
      </c>
      <c r="FP3" s="73" t="s">
        <v>1366</v>
      </c>
      <c r="FQ3" s="73" t="s">
        <v>1367</v>
      </c>
      <c r="FR3" s="73" t="s">
        <v>1368</v>
      </c>
      <c r="FS3" s="73" t="s">
        <v>1369</v>
      </c>
      <c r="FT3" s="77" t="s">
        <v>1370</v>
      </c>
      <c r="FU3" s="72" t="s">
        <v>1350</v>
      </c>
      <c r="FV3" s="73" t="s">
        <v>1351</v>
      </c>
      <c r="FW3" s="73" t="s">
        <v>1352</v>
      </c>
      <c r="FX3" s="73" t="s">
        <v>1353</v>
      </c>
      <c r="FY3" s="77" t="s">
        <v>1354</v>
      </c>
      <c r="FZ3" s="72" t="s">
        <v>1306</v>
      </c>
      <c r="GA3" s="73" t="s">
        <v>1213</v>
      </c>
      <c r="GB3" s="74" t="s">
        <v>1238</v>
      </c>
      <c r="GC3" s="74" t="s">
        <v>1240</v>
      </c>
      <c r="GD3" s="74" t="s">
        <v>1241</v>
      </c>
      <c r="GE3" s="74" t="s">
        <v>1242</v>
      </c>
      <c r="GF3" s="74" t="s">
        <v>1243</v>
      </c>
      <c r="GG3" s="74" t="s">
        <v>1244</v>
      </c>
      <c r="GH3" s="74" t="s">
        <v>1245</v>
      </c>
      <c r="GI3" s="74" t="s">
        <v>1246</v>
      </c>
      <c r="GJ3" s="74" t="s">
        <v>1247</v>
      </c>
      <c r="GK3" s="74" t="s">
        <v>1248</v>
      </c>
      <c r="GL3" s="74" t="s">
        <v>1249</v>
      </c>
      <c r="GM3" s="74" t="s">
        <v>1250</v>
      </c>
      <c r="GN3" s="74" t="s">
        <v>1251</v>
      </c>
      <c r="GO3" s="74" t="s">
        <v>1252</v>
      </c>
      <c r="GP3" s="74" t="s">
        <v>1253</v>
      </c>
      <c r="GQ3" s="74" t="s">
        <v>1254</v>
      </c>
      <c r="GR3" s="74" t="s">
        <v>1255</v>
      </c>
      <c r="GS3" s="74" t="s">
        <v>1256</v>
      </c>
      <c r="GT3" s="74" t="s">
        <v>1257</v>
      </c>
      <c r="GU3" s="74" t="s">
        <v>1258</v>
      </c>
      <c r="GV3" s="74" t="s">
        <v>1259</v>
      </c>
      <c r="GW3" s="74" t="s">
        <v>1260</v>
      </c>
      <c r="GX3" s="74" t="s">
        <v>1261</v>
      </c>
      <c r="GY3" s="74" t="s">
        <v>1262</v>
      </c>
      <c r="GZ3" s="74" t="s">
        <v>1389</v>
      </c>
      <c r="HA3" s="75" t="s">
        <v>1390</v>
      </c>
      <c r="HB3" s="78" t="s">
        <v>286</v>
      </c>
      <c r="HC3" s="72" t="s">
        <v>287</v>
      </c>
      <c r="HD3" s="77" t="s">
        <v>288</v>
      </c>
      <c r="HE3" s="72" t="s">
        <v>289</v>
      </c>
      <c r="HF3" s="77" t="s">
        <v>196</v>
      </c>
      <c r="HG3" s="78" t="s">
        <v>197</v>
      </c>
      <c r="HH3" s="72" t="s">
        <v>271</v>
      </c>
      <c r="HI3" s="73" t="s">
        <v>933</v>
      </c>
      <c r="HJ3" s="77" t="s">
        <v>934</v>
      </c>
      <c r="HK3" s="72" t="s">
        <v>101</v>
      </c>
      <c r="HL3" s="73" t="s">
        <v>102</v>
      </c>
      <c r="HM3" s="73" t="s">
        <v>122</v>
      </c>
      <c r="HN3" s="102" t="s">
        <v>123</v>
      </c>
      <c r="HO3" s="74" t="s">
        <v>194</v>
      </c>
      <c r="HP3" s="73" t="s">
        <v>118</v>
      </c>
      <c r="HQ3" s="73" t="s">
        <v>112</v>
      </c>
      <c r="HR3" s="73" t="s">
        <v>113</v>
      </c>
      <c r="HS3" s="73" t="s">
        <v>114</v>
      </c>
      <c r="HT3" s="73" t="s">
        <v>115</v>
      </c>
      <c r="HU3" s="73" t="s">
        <v>116</v>
      </c>
      <c r="HV3" s="73" t="s">
        <v>117</v>
      </c>
      <c r="HW3" s="73" t="s">
        <v>358</v>
      </c>
      <c r="HX3" s="73" t="s">
        <v>813</v>
      </c>
      <c r="HY3" s="73" t="s">
        <v>405</v>
      </c>
      <c r="HZ3" s="77" t="s">
        <v>406</v>
      </c>
      <c r="IA3" s="76" t="s">
        <v>425</v>
      </c>
      <c r="IB3" s="74" t="s">
        <v>426</v>
      </c>
      <c r="IC3" s="74" t="s">
        <v>427</v>
      </c>
      <c r="ID3" s="74" t="s">
        <v>428</v>
      </c>
      <c r="IE3" s="74" t="s">
        <v>429</v>
      </c>
      <c r="IF3" s="74" t="s">
        <v>430</v>
      </c>
      <c r="IG3" s="74" t="s">
        <v>431</v>
      </c>
      <c r="IH3" s="74" t="s">
        <v>432</v>
      </c>
      <c r="II3" s="74" t="s">
        <v>433</v>
      </c>
      <c r="IJ3" s="74" t="s">
        <v>434</v>
      </c>
      <c r="IK3" s="74" t="s">
        <v>435</v>
      </c>
      <c r="IL3" s="74" t="s">
        <v>735</v>
      </c>
      <c r="IM3" s="75" t="s">
        <v>736</v>
      </c>
      <c r="IN3" s="72" t="s">
        <v>847</v>
      </c>
      <c r="IO3" s="73" t="s">
        <v>848</v>
      </c>
      <c r="IP3" s="73" t="s">
        <v>849</v>
      </c>
      <c r="IQ3" s="73" t="s">
        <v>850</v>
      </c>
      <c r="IR3" s="73" t="s">
        <v>1040</v>
      </c>
      <c r="IS3" s="77" t="s">
        <v>1041</v>
      </c>
      <c r="IT3" s="72" t="s">
        <v>200</v>
      </c>
      <c r="IU3" s="73" t="s">
        <v>203</v>
      </c>
      <c r="IV3" s="73" t="s">
        <v>303</v>
      </c>
      <c r="IW3" s="73" t="s">
        <v>55</v>
      </c>
      <c r="IX3" s="73" t="s">
        <v>56</v>
      </c>
      <c r="IY3" s="77" t="s">
        <v>57</v>
      </c>
      <c r="IZ3" s="72" t="s">
        <v>685</v>
      </c>
      <c r="JA3" s="73" t="s">
        <v>503</v>
      </c>
      <c r="JB3" s="73" t="s">
        <v>504</v>
      </c>
      <c r="JC3" s="73" t="s">
        <v>509</v>
      </c>
      <c r="JD3" s="73" t="s">
        <v>510</v>
      </c>
      <c r="JE3" s="73" t="s">
        <v>511</v>
      </c>
      <c r="JF3" s="73" t="s">
        <v>512</v>
      </c>
      <c r="JG3" s="77" t="s">
        <v>525</v>
      </c>
      <c r="JH3" s="78" t="s">
        <v>0</v>
      </c>
      <c r="JI3" s="187" t="s">
        <v>302</v>
      </c>
      <c r="JJ3" s="72" t="s">
        <v>46</v>
      </c>
      <c r="JK3" s="73" t="s">
        <v>47</v>
      </c>
      <c r="JL3" s="73" t="s">
        <v>48</v>
      </c>
      <c r="JM3" s="73" t="s">
        <v>49</v>
      </c>
      <c r="JN3" s="73" t="s">
        <v>63</v>
      </c>
      <c r="JO3" s="77" t="s">
        <v>199</v>
      </c>
      <c r="JP3" s="73" t="s">
        <v>97</v>
      </c>
      <c r="JQ3" s="74" t="s">
        <v>106</v>
      </c>
      <c r="JR3" s="207" t="s">
        <v>104</v>
      </c>
      <c r="JS3" s="74" t="s">
        <v>107</v>
      </c>
      <c r="JT3" s="74" t="s">
        <v>108</v>
      </c>
      <c r="JU3" s="74" t="s">
        <v>109</v>
      </c>
      <c r="JV3" s="74" t="s">
        <v>161</v>
      </c>
      <c r="JW3" s="73" t="s">
        <v>364</v>
      </c>
      <c r="JX3" s="77" t="s">
        <v>121</v>
      </c>
      <c r="JY3" s="72" t="s">
        <v>362</v>
      </c>
      <c r="JZ3" s="73" t="s">
        <v>363</v>
      </c>
      <c r="KA3" s="77" t="s">
        <v>721</v>
      </c>
      <c r="KB3" s="72" t="s">
        <v>723</v>
      </c>
      <c r="KC3" s="73" t="s">
        <v>127</v>
      </c>
      <c r="KD3" s="73" t="s">
        <v>126</v>
      </c>
      <c r="KE3" s="73" t="s">
        <v>125</v>
      </c>
      <c r="KF3" s="74" t="s">
        <v>162</v>
      </c>
      <c r="KG3" s="74" t="s">
        <v>163</v>
      </c>
      <c r="KH3" s="74" t="s">
        <v>164</v>
      </c>
      <c r="KI3" s="74" t="s">
        <v>165</v>
      </c>
      <c r="KJ3" s="74" t="s">
        <v>409</v>
      </c>
      <c r="KK3" s="74" t="s">
        <v>410</v>
      </c>
      <c r="KL3" s="75" t="s">
        <v>411</v>
      </c>
      <c r="KM3" s="76" t="s">
        <v>170</v>
      </c>
      <c r="KN3" s="74" t="s">
        <v>171</v>
      </c>
      <c r="KO3" s="75" t="s">
        <v>423</v>
      </c>
      <c r="KP3" s="76" t="s">
        <v>173</v>
      </c>
      <c r="KQ3" s="74" t="s">
        <v>877</v>
      </c>
      <c r="KR3" s="74" t="s">
        <v>412</v>
      </c>
      <c r="KS3" s="74" t="s">
        <v>413</v>
      </c>
      <c r="KT3" s="75" t="s">
        <v>414</v>
      </c>
      <c r="KU3" s="76" t="s">
        <v>169</v>
      </c>
      <c r="KV3" s="74" t="s">
        <v>177</v>
      </c>
      <c r="KW3" s="74" t="s">
        <v>178</v>
      </c>
      <c r="KX3" s="74" t="s">
        <v>179</v>
      </c>
      <c r="KY3" s="74" t="s">
        <v>180</v>
      </c>
      <c r="KZ3" s="74" t="s">
        <v>181</v>
      </c>
      <c r="LA3" s="75" t="s">
        <v>415</v>
      </c>
      <c r="LB3" s="76" t="s">
        <v>183</v>
      </c>
      <c r="LC3" s="74" t="s">
        <v>184</v>
      </c>
      <c r="LD3" s="77" t="s">
        <v>455</v>
      </c>
      <c r="LE3" s="76" t="s">
        <v>185</v>
      </c>
      <c r="LF3" s="74" t="s">
        <v>186</v>
      </c>
      <c r="LG3" s="74" t="s">
        <v>187</v>
      </c>
      <c r="LH3" s="74" t="s">
        <v>188</v>
      </c>
      <c r="LI3" s="74" t="s">
        <v>189</v>
      </c>
      <c r="LJ3" s="74" t="s">
        <v>416</v>
      </c>
      <c r="LK3" s="74" t="s">
        <v>417</v>
      </c>
      <c r="LL3" s="74" t="s">
        <v>418</v>
      </c>
      <c r="LM3" s="75" t="s">
        <v>726</v>
      </c>
      <c r="LN3" s="76" t="s">
        <v>419</v>
      </c>
      <c r="LO3" s="74" t="s">
        <v>420</v>
      </c>
      <c r="LP3" s="74" t="s">
        <v>421</v>
      </c>
      <c r="LQ3" s="75" t="s">
        <v>422</v>
      </c>
      <c r="LR3" s="76" t="s">
        <v>190</v>
      </c>
      <c r="LS3" s="74" t="s">
        <v>191</v>
      </c>
      <c r="LT3" s="77" t="s">
        <v>350</v>
      </c>
      <c r="LU3" s="72" t="s">
        <v>685</v>
      </c>
      <c r="LV3" s="75" t="s">
        <v>192</v>
      </c>
      <c r="LW3" s="187" t="s">
        <v>182</v>
      </c>
      <c r="LX3" s="72" t="s">
        <v>12</v>
      </c>
      <c r="LY3" s="73" t="s">
        <v>10</v>
      </c>
      <c r="LZ3" s="73" t="s">
        <v>13</v>
      </c>
      <c r="MA3" s="73" t="s">
        <v>1344</v>
      </c>
      <c r="MB3" s="73" t="s">
        <v>1345</v>
      </c>
      <c r="MC3" s="73" t="s">
        <v>1346</v>
      </c>
      <c r="MD3" s="73" t="s">
        <v>1347</v>
      </c>
      <c r="ME3" s="73" t="s">
        <v>1348</v>
      </c>
      <c r="MF3" s="73" t="s">
        <v>1349</v>
      </c>
    </row>
    <row r="4" spans="1:344" s="127" customFormat="1" ht="15" customHeight="1" x14ac:dyDescent="0.25">
      <c r="A4" s="131"/>
      <c r="B4" s="132">
        <v>1</v>
      </c>
      <c r="C4" s="133" t="s">
        <v>310</v>
      </c>
      <c r="D4" s="127" t="s">
        <v>1192</v>
      </c>
      <c r="E4" s="128" t="s">
        <v>1467</v>
      </c>
      <c r="F4" s="134" t="s">
        <v>1466</v>
      </c>
      <c r="G4" s="134"/>
      <c r="M4" s="127" t="s">
        <v>442</v>
      </c>
      <c r="N4" s="127">
        <v>14</v>
      </c>
      <c r="O4" s="127">
        <v>1988</v>
      </c>
      <c r="Q4" s="127" t="s">
        <v>442</v>
      </c>
      <c r="R4" s="127">
        <v>14</v>
      </c>
      <c r="S4" s="127">
        <v>2033</v>
      </c>
      <c r="U4" s="128" t="s">
        <v>522</v>
      </c>
      <c r="V4" s="127">
        <v>10</v>
      </c>
      <c r="W4" s="127">
        <v>2019</v>
      </c>
      <c r="BD4" s="128" t="s">
        <v>534</v>
      </c>
      <c r="CJ4" s="136">
        <v>41758.535173611112</v>
      </c>
      <c r="CK4" s="127" t="s">
        <v>985</v>
      </c>
      <c r="EV4" s="25" t="s">
        <v>351</v>
      </c>
      <c r="HW4" s="136">
        <v>41758.530763888892</v>
      </c>
      <c r="IE4" s="128">
        <v>600</v>
      </c>
      <c r="IF4" s="127">
        <v>691.09</v>
      </c>
      <c r="IG4" s="20"/>
      <c r="IH4" s="135" t="s">
        <v>720</v>
      </c>
      <c r="IK4" s="128" t="s">
        <v>522</v>
      </c>
      <c r="IM4" s="127" t="s">
        <v>807</v>
      </c>
      <c r="IW4" s="136">
        <v>41830.818472222221</v>
      </c>
      <c r="IX4" s="136">
        <v>41830.823078703703</v>
      </c>
      <c r="IY4" s="127" t="s">
        <v>1119</v>
      </c>
      <c r="IZ4" s="127" t="s">
        <v>1062</v>
      </c>
      <c r="JI4" s="127" t="s">
        <v>22</v>
      </c>
      <c r="JP4" s="128" t="s">
        <v>531</v>
      </c>
      <c r="JQ4" s="128" t="s">
        <v>69</v>
      </c>
      <c r="JR4" s="129"/>
      <c r="JS4" s="127">
        <v>1000</v>
      </c>
      <c r="JU4" s="110"/>
      <c r="JV4" s="127" t="s">
        <v>450</v>
      </c>
      <c r="JW4" s="127" t="s">
        <v>437</v>
      </c>
      <c r="JX4" s="128" t="s">
        <v>438</v>
      </c>
      <c r="JY4" s="128" t="s">
        <v>812</v>
      </c>
      <c r="KF4" s="127" t="s">
        <v>439</v>
      </c>
      <c r="KG4" s="127" t="s">
        <v>838</v>
      </c>
      <c r="KH4" s="127" t="s">
        <v>447</v>
      </c>
      <c r="KI4" s="127" t="s">
        <v>838</v>
      </c>
      <c r="KJ4" s="128" t="s">
        <v>444</v>
      </c>
      <c r="KK4" s="127" t="s">
        <v>445</v>
      </c>
      <c r="KL4" s="130" t="s">
        <v>491</v>
      </c>
      <c r="KM4" s="127" t="s">
        <v>78</v>
      </c>
      <c r="KN4" s="128" t="s">
        <v>443</v>
      </c>
      <c r="KP4" s="127">
        <v>123456</v>
      </c>
      <c r="KQ4" s="127">
        <v>123456</v>
      </c>
      <c r="KR4" s="127">
        <v>11</v>
      </c>
      <c r="KS4" s="127" t="s">
        <v>446</v>
      </c>
      <c r="KT4" s="127">
        <v>2037</v>
      </c>
      <c r="KU4" s="127" t="s">
        <v>448</v>
      </c>
      <c r="KV4" s="128" t="s">
        <v>532</v>
      </c>
      <c r="KW4" s="128" t="s">
        <v>532</v>
      </c>
      <c r="KX4" s="128" t="s">
        <v>1113</v>
      </c>
      <c r="KY4" s="128" t="s">
        <v>1113</v>
      </c>
      <c r="KZ4" s="127" t="s">
        <v>449</v>
      </c>
      <c r="LA4" s="127" t="s">
        <v>533</v>
      </c>
      <c r="LB4" s="127" t="s">
        <v>533</v>
      </c>
      <c r="LC4" s="128" t="s">
        <v>518</v>
      </c>
      <c r="LD4" s="128" t="s">
        <v>699</v>
      </c>
      <c r="LE4" s="128" t="s">
        <v>453</v>
      </c>
      <c r="LF4" s="128" t="s">
        <v>195</v>
      </c>
      <c r="LH4" s="127" t="s">
        <v>441</v>
      </c>
      <c r="LI4" s="127">
        <v>108</v>
      </c>
      <c r="LJ4" s="127">
        <v>10</v>
      </c>
      <c r="LK4" s="127">
        <v>2021</v>
      </c>
      <c r="LL4" s="128" t="b">
        <v>0</v>
      </c>
      <c r="LM4" s="128" t="s">
        <v>522</v>
      </c>
      <c r="LN4" s="128" t="s">
        <v>838</v>
      </c>
      <c r="LO4" s="128" t="s">
        <v>838</v>
      </c>
      <c r="LP4" s="128" t="s">
        <v>838</v>
      </c>
      <c r="LQ4" s="127">
        <v>1234</v>
      </c>
      <c r="LR4" s="128" t="s">
        <v>451</v>
      </c>
      <c r="LS4" s="128" t="s">
        <v>452</v>
      </c>
      <c r="LT4" s="110">
        <v>1135.99</v>
      </c>
      <c r="LV4" s="128" t="s">
        <v>1277</v>
      </c>
      <c r="LW4" s="128">
        <v>456</v>
      </c>
      <c r="LX4" s="127" t="s">
        <v>58</v>
      </c>
      <c r="LY4" s="25" t="s">
        <v>351</v>
      </c>
      <c r="LZ4" s="127" t="s">
        <v>22</v>
      </c>
    </row>
    <row r="5" spans="1:344" s="127" customFormat="1" ht="15" customHeight="1" x14ac:dyDescent="0.25">
      <c r="A5" s="131"/>
      <c r="B5" s="132">
        <v>2</v>
      </c>
      <c r="C5" s="133" t="s">
        <v>310</v>
      </c>
      <c r="E5" s="128"/>
      <c r="F5" s="134"/>
      <c r="G5" s="134"/>
      <c r="M5" s="127" t="s">
        <v>498</v>
      </c>
      <c r="N5" s="127">
        <v>9</v>
      </c>
      <c r="O5" s="127">
        <v>1987</v>
      </c>
      <c r="Q5" s="127" t="s">
        <v>498</v>
      </c>
      <c r="R5" s="127">
        <v>9</v>
      </c>
      <c r="S5" s="127">
        <v>2028</v>
      </c>
      <c r="U5" s="128" t="s">
        <v>522</v>
      </c>
      <c r="V5" s="127">
        <v>10</v>
      </c>
      <c r="W5" s="127">
        <v>2020</v>
      </c>
      <c r="BD5" s="128" t="s">
        <v>534</v>
      </c>
      <c r="CJ5" s="136">
        <v>41758.540138888886</v>
      </c>
      <c r="CK5" s="127" t="s">
        <v>986</v>
      </c>
      <c r="EV5" s="25" t="s">
        <v>351</v>
      </c>
      <c r="HW5" s="136">
        <v>41758.535266203704</v>
      </c>
      <c r="IE5" s="127">
        <v>410</v>
      </c>
      <c r="IF5" s="110">
        <v>655.48</v>
      </c>
      <c r="IG5" s="20"/>
      <c r="IH5" s="135" t="s">
        <v>720</v>
      </c>
      <c r="IK5" s="128" t="s">
        <v>522</v>
      </c>
      <c r="IM5" s="128" t="s">
        <v>493</v>
      </c>
      <c r="IW5" s="136">
        <v>41830.823206018518</v>
      </c>
      <c r="IX5" s="136">
        <v>41830.827719907407</v>
      </c>
      <c r="IY5" s="127" t="s">
        <v>1122</v>
      </c>
      <c r="IZ5" s="127" t="s">
        <v>1062</v>
      </c>
      <c r="JI5" s="127" t="s">
        <v>22</v>
      </c>
      <c r="JP5" s="128" t="s">
        <v>531</v>
      </c>
      <c r="JQ5" s="128" t="s">
        <v>69</v>
      </c>
      <c r="JR5" s="129"/>
      <c r="JS5" s="127">
        <v>800</v>
      </c>
      <c r="JU5" s="110"/>
      <c r="JV5" s="127" t="s">
        <v>450</v>
      </c>
      <c r="JW5" s="127" t="s">
        <v>437</v>
      </c>
      <c r="JX5" s="128" t="s">
        <v>438</v>
      </c>
      <c r="JY5" s="128" t="s">
        <v>812</v>
      </c>
      <c r="KD5" s="110"/>
      <c r="KF5" s="127" t="s">
        <v>439</v>
      </c>
      <c r="KG5" s="127" t="s">
        <v>838</v>
      </c>
      <c r="KH5" s="127" t="s">
        <v>447</v>
      </c>
      <c r="KI5" s="127" t="s">
        <v>838</v>
      </c>
      <c r="KJ5" s="128" t="s">
        <v>444</v>
      </c>
      <c r="KK5" s="127" t="s">
        <v>445</v>
      </c>
      <c r="KL5" s="130" t="s">
        <v>491</v>
      </c>
      <c r="KM5" s="127" t="s">
        <v>78</v>
      </c>
      <c r="KN5" s="128" t="s">
        <v>443</v>
      </c>
      <c r="KP5" s="127">
        <v>123456</v>
      </c>
      <c r="KQ5" s="127">
        <v>123456</v>
      </c>
      <c r="KR5" s="127">
        <v>11</v>
      </c>
      <c r="KS5" s="127" t="s">
        <v>446</v>
      </c>
      <c r="KT5" s="127">
        <v>2037</v>
      </c>
      <c r="KU5" s="127" t="s">
        <v>448</v>
      </c>
      <c r="KV5" s="128" t="s">
        <v>532</v>
      </c>
      <c r="KW5" s="128" t="s">
        <v>532</v>
      </c>
      <c r="KX5" s="128" t="s">
        <v>1113</v>
      </c>
      <c r="KY5" s="128" t="s">
        <v>1113</v>
      </c>
      <c r="KZ5" s="127" t="s">
        <v>449</v>
      </c>
      <c r="LA5" s="127" t="s">
        <v>533</v>
      </c>
      <c r="LB5" s="127" t="s">
        <v>533</v>
      </c>
      <c r="LC5" s="128" t="s">
        <v>518</v>
      </c>
      <c r="LD5" s="128" t="s">
        <v>699</v>
      </c>
      <c r="LE5" s="128" t="s">
        <v>453</v>
      </c>
      <c r="LF5" s="128" t="s">
        <v>195</v>
      </c>
      <c r="LH5" s="127" t="s">
        <v>479</v>
      </c>
      <c r="LI5" s="127">
        <v>108</v>
      </c>
      <c r="LJ5" s="127">
        <v>10</v>
      </c>
      <c r="LK5" s="127">
        <v>2021</v>
      </c>
      <c r="LL5" s="128" t="b">
        <v>0</v>
      </c>
      <c r="LM5" s="128" t="s">
        <v>522</v>
      </c>
      <c r="LN5" s="128" t="s">
        <v>838</v>
      </c>
      <c r="LO5" s="128" t="s">
        <v>838</v>
      </c>
      <c r="LP5" s="128" t="s">
        <v>838</v>
      </c>
      <c r="LQ5" s="127">
        <v>1234</v>
      </c>
      <c r="LR5" s="128" t="s">
        <v>451</v>
      </c>
      <c r="LS5" s="128" t="s">
        <v>452</v>
      </c>
      <c r="LT5" s="110">
        <v>910.99</v>
      </c>
      <c r="LV5" s="128" t="s">
        <v>1121</v>
      </c>
      <c r="LW5" s="128">
        <v>546</v>
      </c>
      <c r="LX5" s="127" t="s">
        <v>58</v>
      </c>
      <c r="LY5" s="25" t="s">
        <v>351</v>
      </c>
      <c r="LZ5" s="127" t="s">
        <v>22</v>
      </c>
    </row>
    <row r="6" spans="1:344" s="127" customFormat="1" ht="15" customHeight="1" x14ac:dyDescent="0.25">
      <c r="A6" s="131"/>
      <c r="B6" s="132">
        <v>3</v>
      </c>
      <c r="C6" s="133" t="s">
        <v>310</v>
      </c>
      <c r="E6" s="128"/>
      <c r="F6" s="134"/>
      <c r="G6" s="134"/>
      <c r="M6" s="127" t="s">
        <v>498</v>
      </c>
      <c r="N6" s="127">
        <v>9</v>
      </c>
      <c r="O6" s="127">
        <v>1987</v>
      </c>
      <c r="Q6" s="127" t="s">
        <v>498</v>
      </c>
      <c r="R6" s="127">
        <v>9</v>
      </c>
      <c r="S6" s="127">
        <v>2028</v>
      </c>
      <c r="U6" s="128" t="s">
        <v>522</v>
      </c>
      <c r="V6" s="127">
        <v>10</v>
      </c>
      <c r="W6" s="127">
        <v>2020</v>
      </c>
      <c r="BD6" s="128" t="s">
        <v>534</v>
      </c>
      <c r="CJ6" s="136">
        <v>41757.956608796296</v>
      </c>
      <c r="CK6" s="127" t="s">
        <v>987</v>
      </c>
      <c r="EV6" s="25" t="s">
        <v>351</v>
      </c>
      <c r="HW6" s="136">
        <v>41757.952361111114</v>
      </c>
      <c r="IE6" s="127">
        <v>600</v>
      </c>
      <c r="IF6" s="110">
        <v>674.99</v>
      </c>
      <c r="IG6" s="20"/>
      <c r="IH6" s="135" t="s">
        <v>720</v>
      </c>
      <c r="IK6" s="128" t="s">
        <v>522</v>
      </c>
      <c r="IM6" s="128" t="s">
        <v>493</v>
      </c>
      <c r="IW6" s="136">
        <v>41830.827800925923</v>
      </c>
      <c r="IX6" s="136">
        <v>41830.832060185188</v>
      </c>
      <c r="IY6" s="127" t="s">
        <v>1124</v>
      </c>
      <c r="IZ6" s="127" t="s">
        <v>1062</v>
      </c>
      <c r="JI6" s="127" t="s">
        <v>22</v>
      </c>
      <c r="JN6" s="128"/>
      <c r="JP6" s="128" t="s">
        <v>531</v>
      </c>
      <c r="JQ6" s="128" t="s">
        <v>74</v>
      </c>
      <c r="JR6" s="129"/>
      <c r="JS6" s="127">
        <v>900</v>
      </c>
      <c r="JU6" s="110"/>
      <c r="JV6" s="127" t="s">
        <v>450</v>
      </c>
      <c r="JW6" s="127" t="s">
        <v>437</v>
      </c>
      <c r="JX6" s="128" t="s">
        <v>438</v>
      </c>
      <c r="JY6" s="128" t="s">
        <v>812</v>
      </c>
      <c r="KD6" s="110"/>
      <c r="KF6" s="127" t="s">
        <v>439</v>
      </c>
      <c r="KG6" s="127" t="s">
        <v>478</v>
      </c>
      <c r="KH6" s="127" t="s">
        <v>447</v>
      </c>
      <c r="KI6" s="127" t="s">
        <v>479</v>
      </c>
      <c r="KJ6" s="128" t="s">
        <v>444</v>
      </c>
      <c r="KK6" s="127" t="s">
        <v>445</v>
      </c>
      <c r="KL6" s="130" t="s">
        <v>491</v>
      </c>
      <c r="KM6" s="127" t="s">
        <v>78</v>
      </c>
      <c r="KN6" s="128" t="s">
        <v>443</v>
      </c>
      <c r="KP6" s="127">
        <v>123456</v>
      </c>
      <c r="KQ6" s="127">
        <v>123456</v>
      </c>
      <c r="KR6" s="127">
        <v>11</v>
      </c>
      <c r="KS6" s="127" t="s">
        <v>446</v>
      </c>
      <c r="KT6" s="127">
        <v>2037</v>
      </c>
      <c r="KU6" s="127" t="s">
        <v>448</v>
      </c>
      <c r="KV6" s="128" t="s">
        <v>532</v>
      </c>
      <c r="KW6" s="128" t="s">
        <v>532</v>
      </c>
      <c r="KX6" s="128" t="s">
        <v>1113</v>
      </c>
      <c r="KY6" s="128" t="s">
        <v>1113</v>
      </c>
      <c r="KZ6" s="127" t="s">
        <v>449</v>
      </c>
      <c r="LA6" s="127" t="s">
        <v>533</v>
      </c>
      <c r="LB6" s="127" t="s">
        <v>533</v>
      </c>
      <c r="LC6" s="128" t="s">
        <v>518</v>
      </c>
      <c r="LD6" s="128" t="s">
        <v>699</v>
      </c>
      <c r="LE6" s="128" t="s">
        <v>453</v>
      </c>
      <c r="LF6" s="128" t="s">
        <v>195</v>
      </c>
      <c r="LH6" s="127" t="s">
        <v>479</v>
      </c>
      <c r="LI6" s="127">
        <v>108</v>
      </c>
      <c r="LJ6" s="127">
        <v>10</v>
      </c>
      <c r="LK6" s="127">
        <v>2021</v>
      </c>
      <c r="LL6" s="128" t="s">
        <v>452</v>
      </c>
      <c r="LM6" s="128" t="s">
        <v>522</v>
      </c>
      <c r="LN6" s="128"/>
      <c r="LO6" s="128"/>
      <c r="LP6" s="128"/>
      <c r="LR6" s="128" t="s">
        <v>451</v>
      </c>
      <c r="LS6" s="128" t="s">
        <v>452</v>
      </c>
      <c r="LT6" s="110">
        <v>1449.85</v>
      </c>
      <c r="LV6" s="128" t="s">
        <v>1123</v>
      </c>
      <c r="LW6" s="128">
        <v>546</v>
      </c>
      <c r="LX6" s="127" t="s">
        <v>58</v>
      </c>
      <c r="LY6" s="25" t="s">
        <v>351</v>
      </c>
      <c r="LZ6" s="127" t="s">
        <v>22</v>
      </c>
    </row>
    <row r="7" spans="1:344" s="127" customFormat="1" ht="15" customHeight="1" x14ac:dyDescent="0.25">
      <c r="A7" s="131"/>
      <c r="B7" s="132">
        <v>4</v>
      </c>
      <c r="C7" s="133" t="s">
        <v>310</v>
      </c>
      <c r="E7" s="128"/>
      <c r="F7" s="134"/>
      <c r="G7" s="134"/>
      <c r="M7" s="127" t="s">
        <v>446</v>
      </c>
      <c r="N7" s="127">
        <v>10</v>
      </c>
      <c r="O7" s="127">
        <v>1988</v>
      </c>
      <c r="Q7" s="127" t="s">
        <v>446</v>
      </c>
      <c r="R7" s="127">
        <v>10</v>
      </c>
      <c r="S7" s="127">
        <v>2029</v>
      </c>
      <c r="U7" s="128" t="s">
        <v>522</v>
      </c>
      <c r="V7" s="127">
        <v>10</v>
      </c>
      <c r="W7" s="127">
        <v>2021</v>
      </c>
      <c r="BD7" s="128" t="s">
        <v>534</v>
      </c>
      <c r="CJ7" s="136">
        <v>41757.960833333331</v>
      </c>
      <c r="CK7" s="127" t="s">
        <v>835</v>
      </c>
      <c r="EV7" s="25" t="s">
        <v>351</v>
      </c>
      <c r="HW7" s="136">
        <v>41757.956655092596</v>
      </c>
      <c r="IE7" s="127">
        <v>440</v>
      </c>
      <c r="IF7" s="110">
        <v>703.44</v>
      </c>
      <c r="IG7" s="20"/>
      <c r="IH7" s="135" t="s">
        <v>720</v>
      </c>
      <c r="IK7" s="128" t="s">
        <v>522</v>
      </c>
      <c r="IM7" s="128" t="s">
        <v>74</v>
      </c>
      <c r="IW7" s="136">
        <v>41830.832141203704</v>
      </c>
      <c r="IX7" s="136">
        <v>41830.836712962962</v>
      </c>
      <c r="IY7" s="127" t="s">
        <v>1126</v>
      </c>
      <c r="IZ7" s="127" t="s">
        <v>1062</v>
      </c>
      <c r="JI7" s="127" t="s">
        <v>22</v>
      </c>
      <c r="JN7" s="128"/>
      <c r="JP7" s="128" t="s">
        <v>531</v>
      </c>
      <c r="JQ7" s="128" t="s">
        <v>473</v>
      </c>
      <c r="JR7" s="129"/>
      <c r="JS7" s="127">
        <v>1200</v>
      </c>
      <c r="JU7" s="110"/>
      <c r="JV7" s="127" t="s">
        <v>450</v>
      </c>
      <c r="JW7" s="127" t="s">
        <v>437</v>
      </c>
      <c r="JX7" s="128" t="s">
        <v>438</v>
      </c>
      <c r="JY7" s="128" t="s">
        <v>812</v>
      </c>
      <c r="KD7" s="110"/>
      <c r="KF7" s="127" t="s">
        <v>439</v>
      </c>
      <c r="KG7" s="127" t="s">
        <v>479</v>
      </c>
      <c r="KH7" s="127" t="s">
        <v>447</v>
      </c>
      <c r="KI7" s="127" t="s">
        <v>480</v>
      </c>
      <c r="KJ7" s="128" t="s">
        <v>444</v>
      </c>
      <c r="KK7" s="127" t="s">
        <v>445</v>
      </c>
      <c r="KL7" s="130" t="s">
        <v>487</v>
      </c>
      <c r="KM7" s="127" t="s">
        <v>78</v>
      </c>
      <c r="KN7" s="128" t="s">
        <v>443</v>
      </c>
      <c r="KP7" s="127">
        <v>123456</v>
      </c>
      <c r="KQ7" s="127">
        <v>123456</v>
      </c>
      <c r="KR7" s="127">
        <v>11</v>
      </c>
      <c r="KS7" s="127" t="s">
        <v>446</v>
      </c>
      <c r="KT7" s="127">
        <v>2037</v>
      </c>
      <c r="KU7" s="127" t="s">
        <v>448</v>
      </c>
      <c r="KV7" s="128" t="s">
        <v>532</v>
      </c>
      <c r="KW7" s="128" t="s">
        <v>532</v>
      </c>
      <c r="KX7" s="128" t="s">
        <v>1113</v>
      </c>
      <c r="KY7" s="128" t="s">
        <v>1113</v>
      </c>
      <c r="KZ7" s="127" t="s">
        <v>449</v>
      </c>
      <c r="LA7" s="127" t="s">
        <v>533</v>
      </c>
      <c r="LB7" s="127" t="s">
        <v>533</v>
      </c>
      <c r="LC7" s="128" t="s">
        <v>518</v>
      </c>
      <c r="LD7" s="128" t="s">
        <v>699</v>
      </c>
      <c r="LE7" s="128" t="s">
        <v>453</v>
      </c>
      <c r="LF7" s="128" t="s">
        <v>195</v>
      </c>
      <c r="LH7" s="127" t="s">
        <v>441</v>
      </c>
      <c r="LI7" s="127">
        <v>108</v>
      </c>
      <c r="LJ7" s="127">
        <v>10</v>
      </c>
      <c r="LK7" s="127">
        <v>2021</v>
      </c>
      <c r="LL7" s="128" t="s">
        <v>452</v>
      </c>
      <c r="LM7" s="128" t="s">
        <v>522</v>
      </c>
      <c r="LN7" s="128"/>
      <c r="LO7" s="128"/>
      <c r="LP7" s="128"/>
      <c r="LR7" s="128" t="s">
        <v>451</v>
      </c>
      <c r="LS7" s="128" t="s">
        <v>452</v>
      </c>
      <c r="LT7" s="232">
        <v>522.63</v>
      </c>
      <c r="LV7" t="s">
        <v>1461</v>
      </c>
      <c r="LW7" s="128">
        <v>123</v>
      </c>
      <c r="LX7" s="127" t="s">
        <v>58</v>
      </c>
      <c r="LY7" s="25" t="s">
        <v>351</v>
      </c>
      <c r="LZ7" s="127" t="s">
        <v>22</v>
      </c>
    </row>
    <row r="8" spans="1:344" s="127" customFormat="1" ht="15" customHeight="1" x14ac:dyDescent="0.25">
      <c r="A8" s="131"/>
      <c r="B8" s="132">
        <v>5</v>
      </c>
      <c r="C8" s="133" t="s">
        <v>310</v>
      </c>
      <c r="E8" s="128"/>
      <c r="F8" s="134"/>
      <c r="G8" s="134"/>
      <c r="M8" s="127" t="s">
        <v>461</v>
      </c>
      <c r="N8" s="127">
        <v>11</v>
      </c>
      <c r="O8" s="127">
        <v>1989</v>
      </c>
      <c r="Q8" s="127" t="s">
        <v>461</v>
      </c>
      <c r="R8" s="127">
        <v>11</v>
      </c>
      <c r="S8" s="127">
        <v>2030</v>
      </c>
      <c r="U8" s="128" t="s">
        <v>522</v>
      </c>
      <c r="V8" s="127">
        <v>10</v>
      </c>
      <c r="W8" s="127">
        <v>2022</v>
      </c>
      <c r="BD8" s="128" t="s">
        <v>534</v>
      </c>
      <c r="CJ8" s="136">
        <v>41757.965162037035</v>
      </c>
      <c r="CK8" s="127" t="s">
        <v>988</v>
      </c>
      <c r="EV8" s="25" t="s">
        <v>351</v>
      </c>
      <c r="HW8" s="136">
        <v>41757.960868055554</v>
      </c>
      <c r="IE8" s="110">
        <v>500</v>
      </c>
      <c r="IF8" s="110">
        <v>575.9</v>
      </c>
      <c r="IG8" s="20"/>
      <c r="IH8" s="135" t="s">
        <v>720</v>
      </c>
      <c r="IK8" s="128" t="s">
        <v>522</v>
      </c>
      <c r="IM8" s="127" t="s">
        <v>807</v>
      </c>
      <c r="IW8" s="136">
        <v>41830.836805555555</v>
      </c>
      <c r="IX8" s="136">
        <v>41830.841238425928</v>
      </c>
      <c r="IY8" s="127" t="s">
        <v>1128</v>
      </c>
      <c r="IZ8" s="127" t="s">
        <v>1062</v>
      </c>
      <c r="JI8" s="127" t="s">
        <v>22</v>
      </c>
      <c r="JN8" s="128"/>
      <c r="JP8" s="128" t="s">
        <v>727</v>
      </c>
      <c r="JQ8" s="128" t="s">
        <v>473</v>
      </c>
      <c r="JR8" s="129"/>
      <c r="JS8" s="127">
        <v>1250</v>
      </c>
      <c r="JU8" s="110"/>
      <c r="JV8" s="127" t="s">
        <v>450</v>
      </c>
      <c r="JW8" s="127" t="s">
        <v>437</v>
      </c>
      <c r="JX8" s="128" t="s">
        <v>438</v>
      </c>
      <c r="JY8" s="128" t="s">
        <v>812</v>
      </c>
      <c r="KD8" s="110"/>
      <c r="KF8" s="127" t="s">
        <v>439</v>
      </c>
      <c r="KG8" s="127" t="s">
        <v>480</v>
      </c>
      <c r="KH8" s="127" t="s">
        <v>447</v>
      </c>
      <c r="KI8" s="127" t="s">
        <v>481</v>
      </c>
      <c r="KJ8" s="128" t="s">
        <v>444</v>
      </c>
      <c r="KK8" s="127" t="s">
        <v>445</v>
      </c>
      <c r="KL8" s="130" t="s">
        <v>488</v>
      </c>
      <c r="KM8" s="127" t="s">
        <v>78</v>
      </c>
      <c r="KN8" s="128" t="s">
        <v>443</v>
      </c>
      <c r="KP8" s="127">
        <v>123456</v>
      </c>
      <c r="KQ8" s="127">
        <v>123456</v>
      </c>
      <c r="KR8" s="127">
        <v>11</v>
      </c>
      <c r="KS8" s="127" t="s">
        <v>446</v>
      </c>
      <c r="KT8" s="127">
        <v>2037</v>
      </c>
      <c r="KU8" s="127" t="s">
        <v>448</v>
      </c>
      <c r="KV8" s="128" t="s">
        <v>532</v>
      </c>
      <c r="KW8" s="128" t="s">
        <v>532</v>
      </c>
      <c r="KX8" s="128" t="s">
        <v>1113</v>
      </c>
      <c r="KY8" s="128" t="s">
        <v>1113</v>
      </c>
      <c r="KZ8" s="127" t="s">
        <v>449</v>
      </c>
      <c r="LA8" s="127" t="s">
        <v>533</v>
      </c>
      <c r="LB8" s="127" t="s">
        <v>533</v>
      </c>
      <c r="LC8" s="128" t="s">
        <v>518</v>
      </c>
      <c r="LD8" s="128" t="s">
        <v>699</v>
      </c>
      <c r="LE8" s="128" t="s">
        <v>453</v>
      </c>
      <c r="LF8" s="128" t="s">
        <v>195</v>
      </c>
      <c r="LH8" s="127" t="s">
        <v>441</v>
      </c>
      <c r="LI8" s="127">
        <v>108</v>
      </c>
      <c r="LJ8" s="127">
        <v>10</v>
      </c>
      <c r="LK8" s="127">
        <v>2021</v>
      </c>
      <c r="LL8" s="128" t="s">
        <v>452</v>
      </c>
      <c r="LM8" s="128" t="s">
        <v>522</v>
      </c>
      <c r="LN8" s="128"/>
      <c r="LO8" s="128"/>
      <c r="LP8" s="128"/>
      <c r="LR8" s="128" t="s">
        <v>451</v>
      </c>
      <c r="LS8" s="128" t="s">
        <v>452</v>
      </c>
      <c r="LT8" s="110">
        <v>1800</v>
      </c>
      <c r="LV8" t="s">
        <v>1423</v>
      </c>
      <c r="LW8" s="128">
        <v>456</v>
      </c>
      <c r="LX8" s="127" t="s">
        <v>58</v>
      </c>
      <c r="LY8" s="25" t="s">
        <v>351</v>
      </c>
      <c r="LZ8" s="127" t="s">
        <v>22</v>
      </c>
    </row>
    <row r="9" spans="1:344" s="127" customFormat="1" ht="15" customHeight="1" x14ac:dyDescent="0.25">
      <c r="A9" s="131"/>
      <c r="B9" s="132">
        <v>6</v>
      </c>
      <c r="C9" s="133" t="s">
        <v>310</v>
      </c>
      <c r="F9" s="134"/>
      <c r="G9" s="134"/>
      <c r="M9" s="127" t="s">
        <v>499</v>
      </c>
      <c r="N9" s="127">
        <v>12</v>
      </c>
      <c r="O9" s="127">
        <v>1990</v>
      </c>
      <c r="Q9" s="127" t="s">
        <v>499</v>
      </c>
      <c r="R9" s="127">
        <v>12</v>
      </c>
      <c r="S9" s="127">
        <v>2031</v>
      </c>
      <c r="U9" s="128" t="s">
        <v>522</v>
      </c>
      <c r="V9" s="127">
        <v>10</v>
      </c>
      <c r="W9" s="127">
        <v>2023</v>
      </c>
      <c r="BD9" s="128" t="s">
        <v>534</v>
      </c>
      <c r="CJ9" s="136">
        <v>41757.969421296293</v>
      </c>
      <c r="CK9" s="127" t="s">
        <v>989</v>
      </c>
      <c r="EV9" s="25" t="s">
        <v>351</v>
      </c>
      <c r="HW9" s="136">
        <v>41757.965208333335</v>
      </c>
      <c r="IE9" s="110">
        <v>660</v>
      </c>
      <c r="IF9" s="110">
        <v>1055.1600000000001</v>
      </c>
      <c r="IG9" s="20"/>
      <c r="IH9" s="135" t="s">
        <v>720</v>
      </c>
      <c r="IK9" s="128" t="s">
        <v>522</v>
      </c>
      <c r="IM9" s="128" t="s">
        <v>74</v>
      </c>
      <c r="IW9" s="136">
        <v>41830.841331018521</v>
      </c>
      <c r="IX9" s="136">
        <v>41830.845706018517</v>
      </c>
      <c r="IY9" s="127" t="s">
        <v>1130</v>
      </c>
      <c r="IZ9" s="127" t="s">
        <v>1062</v>
      </c>
      <c r="JI9" s="127" t="s">
        <v>22</v>
      </c>
      <c r="JN9" s="128"/>
      <c r="JP9" s="128" t="s">
        <v>531</v>
      </c>
      <c r="JQ9" s="128" t="s">
        <v>69</v>
      </c>
      <c r="JR9" s="129"/>
      <c r="JS9" s="127">
        <v>1000</v>
      </c>
      <c r="JU9" s="110"/>
      <c r="JV9" s="127" t="s">
        <v>450</v>
      </c>
      <c r="JW9" s="127" t="s">
        <v>437</v>
      </c>
      <c r="JX9" s="128" t="s">
        <v>438</v>
      </c>
      <c r="JY9" s="128" t="s">
        <v>812</v>
      </c>
      <c r="KD9" s="110"/>
      <c r="KF9" s="127" t="s">
        <v>439</v>
      </c>
      <c r="KG9" s="127" t="s">
        <v>481</v>
      </c>
      <c r="KH9" s="127" t="s">
        <v>447</v>
      </c>
      <c r="KI9" s="127" t="s">
        <v>482</v>
      </c>
      <c r="KJ9" s="128" t="s">
        <v>444</v>
      </c>
      <c r="KK9" s="127" t="s">
        <v>445</v>
      </c>
      <c r="KL9" s="130" t="s">
        <v>489</v>
      </c>
      <c r="KM9" s="127" t="s">
        <v>78</v>
      </c>
      <c r="KN9" s="128" t="s">
        <v>443</v>
      </c>
      <c r="KP9" s="127">
        <v>123456</v>
      </c>
      <c r="KQ9" s="127">
        <v>123456</v>
      </c>
      <c r="KR9" s="127">
        <v>11</v>
      </c>
      <c r="KS9" s="127" t="s">
        <v>446</v>
      </c>
      <c r="KT9" s="127">
        <v>2037</v>
      </c>
      <c r="KU9" s="127" t="s">
        <v>448</v>
      </c>
      <c r="KV9" s="128" t="s">
        <v>532</v>
      </c>
      <c r="KW9" s="128" t="s">
        <v>532</v>
      </c>
      <c r="KX9" s="128" t="s">
        <v>1113</v>
      </c>
      <c r="KY9" s="128" t="s">
        <v>1113</v>
      </c>
      <c r="KZ9" s="127" t="s">
        <v>449</v>
      </c>
      <c r="LA9" s="127" t="s">
        <v>533</v>
      </c>
      <c r="LB9" s="127" t="s">
        <v>533</v>
      </c>
      <c r="LC9" s="128" t="s">
        <v>518</v>
      </c>
      <c r="LD9" s="128" t="s">
        <v>699</v>
      </c>
      <c r="LE9" s="128" t="s">
        <v>453</v>
      </c>
      <c r="LF9" s="128" t="s">
        <v>195</v>
      </c>
      <c r="LH9" s="127" t="s">
        <v>441</v>
      </c>
      <c r="LI9" s="127">
        <v>108</v>
      </c>
      <c r="LJ9" s="127">
        <v>10</v>
      </c>
      <c r="LK9" s="127">
        <v>2021</v>
      </c>
      <c r="LL9" s="128" t="s">
        <v>452</v>
      </c>
      <c r="LM9" s="128" t="s">
        <v>522</v>
      </c>
      <c r="LN9" s="128"/>
      <c r="LO9" s="128"/>
      <c r="LP9" s="128"/>
      <c r="LR9" s="128" t="s">
        <v>451</v>
      </c>
      <c r="LS9" s="128" t="s">
        <v>452</v>
      </c>
      <c r="LT9" s="110">
        <v>1135.99</v>
      </c>
      <c r="LV9" s="128" t="s">
        <v>1408</v>
      </c>
      <c r="LW9" s="128">
        <v>546</v>
      </c>
      <c r="LX9" s="127" t="s">
        <v>58</v>
      </c>
      <c r="LY9" s="25" t="s">
        <v>351</v>
      </c>
      <c r="LZ9" s="127" t="s">
        <v>22</v>
      </c>
    </row>
    <row r="10" spans="1:344" s="127" customFormat="1" ht="15" customHeight="1" x14ac:dyDescent="0.25">
      <c r="A10" s="131"/>
      <c r="B10" s="132">
        <v>7</v>
      </c>
      <c r="C10" s="133" t="s">
        <v>310</v>
      </c>
      <c r="E10" s="128"/>
      <c r="F10" s="134"/>
      <c r="G10" s="134"/>
      <c r="M10" s="127" t="s">
        <v>494</v>
      </c>
      <c r="N10" s="127">
        <v>13</v>
      </c>
      <c r="O10" s="127">
        <v>1987</v>
      </c>
      <c r="Q10" s="127" t="s">
        <v>494</v>
      </c>
      <c r="R10" s="127">
        <v>13</v>
      </c>
      <c r="S10" s="127">
        <v>2032</v>
      </c>
      <c r="U10" s="128" t="s">
        <v>522</v>
      </c>
      <c r="V10" s="127">
        <v>10</v>
      </c>
      <c r="W10" s="127">
        <v>2018</v>
      </c>
      <c r="BD10" s="128" t="s">
        <v>534</v>
      </c>
      <c r="CJ10" s="136">
        <v>41757.973761574074</v>
      </c>
      <c r="CK10" s="127" t="s">
        <v>988</v>
      </c>
      <c r="EV10" s="25" t="s">
        <v>351</v>
      </c>
      <c r="HW10" s="136">
        <v>41757.969467592593</v>
      </c>
      <c r="IE10" s="110">
        <v>520</v>
      </c>
      <c r="IF10" s="110">
        <v>831.33</v>
      </c>
      <c r="IG10" s="20"/>
      <c r="IH10" s="135" t="s">
        <v>720</v>
      </c>
      <c r="IK10" s="128" t="s">
        <v>522</v>
      </c>
      <c r="IM10" s="128" t="s">
        <v>74</v>
      </c>
      <c r="IW10" s="136">
        <v>41830.84579861111</v>
      </c>
      <c r="IX10" s="136">
        <v>41830.850115740737</v>
      </c>
      <c r="IY10" s="127" t="s">
        <v>1132</v>
      </c>
      <c r="IZ10" s="127" t="s">
        <v>1062</v>
      </c>
      <c r="JI10" s="127" t="s">
        <v>22</v>
      </c>
      <c r="JN10" s="128"/>
      <c r="JO10" s="127" t="s">
        <v>1410</v>
      </c>
      <c r="JP10" s="128" t="s">
        <v>727</v>
      </c>
      <c r="JQ10" s="128" t="s">
        <v>74</v>
      </c>
      <c r="JR10" s="129"/>
      <c r="JS10" s="127">
        <v>800</v>
      </c>
      <c r="JU10" s="110"/>
      <c r="JV10" s="127" t="s">
        <v>450</v>
      </c>
      <c r="JW10" s="127" t="s">
        <v>437</v>
      </c>
      <c r="JX10" s="128" t="s">
        <v>438</v>
      </c>
      <c r="JY10" s="128" t="s">
        <v>812</v>
      </c>
      <c r="KD10" s="110"/>
      <c r="KF10" s="127" t="s">
        <v>439</v>
      </c>
      <c r="KG10" s="127" t="s">
        <v>482</v>
      </c>
      <c r="KH10" s="127" t="s">
        <v>447</v>
      </c>
      <c r="KI10" s="127" t="s">
        <v>477</v>
      </c>
      <c r="KJ10" s="128" t="s">
        <v>444</v>
      </c>
      <c r="KK10" s="127" t="s">
        <v>445</v>
      </c>
      <c r="KL10" s="130" t="s">
        <v>490</v>
      </c>
      <c r="KM10" s="127" t="s">
        <v>78</v>
      </c>
      <c r="KN10" s="128" t="s">
        <v>443</v>
      </c>
      <c r="KP10" s="127">
        <v>123456</v>
      </c>
      <c r="KQ10" s="127">
        <v>123456</v>
      </c>
      <c r="KR10" s="127">
        <v>11</v>
      </c>
      <c r="KS10" s="127" t="s">
        <v>446</v>
      </c>
      <c r="KT10" s="127">
        <v>2037</v>
      </c>
      <c r="KU10" s="127" t="s">
        <v>448</v>
      </c>
      <c r="KV10" s="128" t="s">
        <v>532</v>
      </c>
      <c r="KW10" s="128" t="s">
        <v>532</v>
      </c>
      <c r="KX10" s="128" t="s">
        <v>1113</v>
      </c>
      <c r="KY10" s="128" t="s">
        <v>1113</v>
      </c>
      <c r="KZ10" s="127" t="s">
        <v>449</v>
      </c>
      <c r="LA10" s="127" t="s">
        <v>533</v>
      </c>
      <c r="LB10" s="127" t="s">
        <v>533</v>
      </c>
      <c r="LC10" s="128" t="s">
        <v>518</v>
      </c>
      <c r="LD10" s="128" t="s">
        <v>699</v>
      </c>
      <c r="LE10" s="128" t="s">
        <v>453</v>
      </c>
      <c r="LF10" s="128" t="s">
        <v>195</v>
      </c>
      <c r="LH10" s="127" t="s">
        <v>441</v>
      </c>
      <c r="LI10" s="127">
        <v>108</v>
      </c>
      <c r="LJ10" s="127">
        <v>10</v>
      </c>
      <c r="LK10" s="127">
        <v>2021</v>
      </c>
      <c r="LL10" s="128" t="s">
        <v>452</v>
      </c>
      <c r="LM10" s="128" t="s">
        <v>522</v>
      </c>
      <c r="LN10" s="128"/>
      <c r="LO10" s="128"/>
      <c r="LP10" s="128"/>
      <c r="LR10" s="128" t="s">
        <v>451</v>
      </c>
      <c r="LS10" s="128" t="s">
        <v>452</v>
      </c>
      <c r="LT10" s="110">
        <v>1289.98</v>
      </c>
      <c r="LV10" s="128" t="s">
        <v>1131</v>
      </c>
      <c r="LW10" s="128">
        <v>123</v>
      </c>
      <c r="LX10" s="127" t="s">
        <v>58</v>
      </c>
      <c r="LY10" s="25" t="s">
        <v>351</v>
      </c>
      <c r="LZ10" s="127" t="s">
        <v>22</v>
      </c>
    </row>
    <row r="11" spans="1:344" s="127" customFormat="1" ht="15" customHeight="1" x14ac:dyDescent="0.25">
      <c r="A11" s="131"/>
      <c r="B11" s="132">
        <v>8</v>
      </c>
      <c r="C11" s="133" t="s">
        <v>310</v>
      </c>
      <c r="F11" s="134"/>
      <c r="G11" s="134"/>
      <c r="M11" s="127" t="s">
        <v>442</v>
      </c>
      <c r="N11" s="127">
        <v>14</v>
      </c>
      <c r="O11" s="127">
        <v>1988</v>
      </c>
      <c r="Q11" s="127" t="s">
        <v>442</v>
      </c>
      <c r="R11" s="127">
        <v>14</v>
      </c>
      <c r="S11" s="127">
        <v>2033</v>
      </c>
      <c r="U11" s="128" t="s">
        <v>522</v>
      </c>
      <c r="V11" s="127">
        <v>10</v>
      </c>
      <c r="W11" s="127">
        <v>2019</v>
      </c>
      <c r="BD11" s="128" t="s">
        <v>534</v>
      </c>
      <c r="CJ11" s="136">
        <v>41757.977986111109</v>
      </c>
      <c r="CK11" s="127" t="s">
        <v>835</v>
      </c>
      <c r="EV11" s="25" t="s">
        <v>351</v>
      </c>
      <c r="HW11" s="136">
        <v>41757.973807870374</v>
      </c>
      <c r="IE11" s="127">
        <v>550</v>
      </c>
      <c r="IF11" s="127">
        <v>633.49</v>
      </c>
      <c r="IG11" s="20"/>
      <c r="IH11" s="135" t="s">
        <v>720</v>
      </c>
      <c r="IK11" s="128" t="s">
        <v>522</v>
      </c>
      <c r="IM11" s="128" t="s">
        <v>807</v>
      </c>
      <c r="IW11" s="136">
        <v>41830.850219907406</v>
      </c>
      <c r="IX11" s="136">
        <v>41830.854618055557</v>
      </c>
      <c r="IY11" s="127" t="s">
        <v>1133</v>
      </c>
      <c r="IZ11" s="127" t="s">
        <v>1062</v>
      </c>
      <c r="JI11" s="127" t="s">
        <v>22</v>
      </c>
      <c r="JN11" s="128"/>
      <c r="JP11" s="128" t="s">
        <v>531</v>
      </c>
      <c r="JQ11" s="128" t="s">
        <v>64</v>
      </c>
      <c r="JR11" s="129"/>
      <c r="JS11" s="127">
        <v>900</v>
      </c>
      <c r="JU11" s="110"/>
      <c r="JV11" s="127" t="s">
        <v>450</v>
      </c>
      <c r="JW11" s="127" t="s">
        <v>437</v>
      </c>
      <c r="JX11" s="128" t="s">
        <v>438</v>
      </c>
      <c r="JY11" s="128" t="s">
        <v>812</v>
      </c>
      <c r="KF11" s="127" t="s">
        <v>439</v>
      </c>
      <c r="KG11" s="127" t="s">
        <v>477</v>
      </c>
      <c r="KH11" s="127" t="s">
        <v>447</v>
      </c>
      <c r="KI11" s="127" t="s">
        <v>478</v>
      </c>
      <c r="KJ11" s="128" t="s">
        <v>444</v>
      </c>
      <c r="KK11" s="127" t="s">
        <v>445</v>
      </c>
      <c r="KL11" s="130" t="s">
        <v>491</v>
      </c>
      <c r="KM11" s="127" t="s">
        <v>78</v>
      </c>
      <c r="KN11" s="128" t="s">
        <v>443</v>
      </c>
      <c r="KP11" s="127">
        <v>123456</v>
      </c>
      <c r="KQ11" s="127">
        <v>123456</v>
      </c>
      <c r="KR11" s="127">
        <v>11</v>
      </c>
      <c r="KS11" s="127" t="s">
        <v>446</v>
      </c>
      <c r="KT11" s="127">
        <v>2037</v>
      </c>
      <c r="KU11" s="127" t="s">
        <v>448</v>
      </c>
      <c r="KV11" s="128" t="s">
        <v>532</v>
      </c>
      <c r="KW11" s="128" t="s">
        <v>532</v>
      </c>
      <c r="KX11" s="128" t="s">
        <v>1113</v>
      </c>
      <c r="KY11" s="128" t="s">
        <v>1113</v>
      </c>
      <c r="KZ11" s="127" t="s">
        <v>449</v>
      </c>
      <c r="LA11" s="127" t="s">
        <v>533</v>
      </c>
      <c r="LB11" s="127" t="s">
        <v>533</v>
      </c>
      <c r="LC11" s="128" t="s">
        <v>518</v>
      </c>
      <c r="LD11" s="128" t="s">
        <v>699</v>
      </c>
      <c r="LE11" s="128" t="s">
        <v>453</v>
      </c>
      <c r="LF11" s="128" t="s">
        <v>195</v>
      </c>
      <c r="LH11" s="127" t="s">
        <v>441</v>
      </c>
      <c r="LI11" s="127">
        <v>108</v>
      </c>
      <c r="LJ11" s="127">
        <v>10</v>
      </c>
      <c r="LK11" s="127">
        <v>2021</v>
      </c>
      <c r="LL11" s="128" t="s">
        <v>452</v>
      </c>
      <c r="LM11" s="128" t="s">
        <v>522</v>
      </c>
      <c r="LN11" s="128"/>
      <c r="LO11" s="128"/>
      <c r="LP11" s="128"/>
      <c r="LR11" s="128" t="s">
        <v>451</v>
      </c>
      <c r="LS11" s="128" t="s">
        <v>452</v>
      </c>
      <c r="LT11" s="110">
        <v>890.08</v>
      </c>
      <c r="LV11" s="128" t="s">
        <v>1417</v>
      </c>
      <c r="LW11" s="128">
        <v>456</v>
      </c>
      <c r="LX11" s="127" t="s">
        <v>58</v>
      </c>
      <c r="LY11" s="25" t="s">
        <v>351</v>
      </c>
      <c r="LZ11" s="127" t="s">
        <v>22</v>
      </c>
    </row>
    <row r="12" spans="1:344" s="127" customFormat="1" ht="15" customHeight="1" x14ac:dyDescent="0.25">
      <c r="A12" s="131"/>
      <c r="B12" s="132">
        <v>9</v>
      </c>
      <c r="C12" s="133" t="s">
        <v>310</v>
      </c>
      <c r="E12" s="128"/>
      <c r="F12" s="134"/>
      <c r="G12" s="134"/>
      <c r="M12" s="127" t="s">
        <v>495</v>
      </c>
      <c r="N12" s="127">
        <v>15</v>
      </c>
      <c r="O12" s="127">
        <v>1989</v>
      </c>
      <c r="Q12" s="127" t="s">
        <v>495</v>
      </c>
      <c r="R12" s="127">
        <v>15</v>
      </c>
      <c r="S12" s="127">
        <v>2034</v>
      </c>
      <c r="U12" s="128" t="s">
        <v>522</v>
      </c>
      <c r="V12" s="127">
        <v>10</v>
      </c>
      <c r="W12" s="127">
        <v>2020</v>
      </c>
      <c r="BD12" s="128" t="s">
        <v>534</v>
      </c>
      <c r="CJ12" s="136">
        <v>41757.982268518521</v>
      </c>
      <c r="CK12" s="127" t="s">
        <v>830</v>
      </c>
      <c r="EV12" s="25" t="s">
        <v>351</v>
      </c>
      <c r="HW12" s="136">
        <v>41757.978032407409</v>
      </c>
      <c r="IE12" s="110">
        <v>600</v>
      </c>
      <c r="IF12" s="110">
        <v>959.23</v>
      </c>
      <c r="IG12" s="20"/>
      <c r="IH12" s="135" t="s">
        <v>720</v>
      </c>
      <c r="IK12" s="128" t="s">
        <v>522</v>
      </c>
      <c r="IM12" s="128" t="s">
        <v>74</v>
      </c>
      <c r="IW12" s="136">
        <v>41830.854699074072</v>
      </c>
      <c r="IX12" s="136">
        <v>41830.8591087963</v>
      </c>
      <c r="IY12" s="127" t="s">
        <v>985</v>
      </c>
      <c r="IZ12" s="127" t="s">
        <v>1062</v>
      </c>
      <c r="JI12" s="127" t="s">
        <v>22</v>
      </c>
      <c r="JN12" s="128"/>
      <c r="JP12" s="128" t="s">
        <v>531</v>
      </c>
      <c r="JQ12" s="128" t="s">
        <v>473</v>
      </c>
      <c r="JR12" s="129"/>
      <c r="JS12" s="127">
        <v>1200</v>
      </c>
      <c r="JU12" s="110"/>
      <c r="JV12" s="127" t="s">
        <v>450</v>
      </c>
      <c r="JW12" s="127" t="s">
        <v>437</v>
      </c>
      <c r="JX12" s="128" t="s">
        <v>438</v>
      </c>
      <c r="JY12" s="128" t="s">
        <v>812</v>
      </c>
      <c r="KD12" s="110"/>
      <c r="KF12" s="127" t="s">
        <v>439</v>
      </c>
      <c r="KG12" s="127" t="s">
        <v>478</v>
      </c>
      <c r="KH12" s="127" t="s">
        <v>447</v>
      </c>
      <c r="KI12" s="127" t="s">
        <v>479</v>
      </c>
      <c r="KJ12" s="128" t="s">
        <v>444</v>
      </c>
      <c r="KK12" s="127" t="s">
        <v>445</v>
      </c>
      <c r="KL12" s="130" t="s">
        <v>487</v>
      </c>
      <c r="KM12" s="127" t="s">
        <v>78</v>
      </c>
      <c r="KN12" s="128" t="s">
        <v>443</v>
      </c>
      <c r="KP12" s="127">
        <v>123456</v>
      </c>
      <c r="KQ12" s="127">
        <v>123456</v>
      </c>
      <c r="KR12" s="127">
        <v>11</v>
      </c>
      <c r="KS12" s="127" t="s">
        <v>446</v>
      </c>
      <c r="KT12" s="127">
        <v>2037</v>
      </c>
      <c r="KU12" s="127" t="s">
        <v>448</v>
      </c>
      <c r="KV12" s="128" t="s">
        <v>532</v>
      </c>
      <c r="KW12" s="128" t="s">
        <v>532</v>
      </c>
      <c r="KX12" s="128" t="s">
        <v>1113</v>
      </c>
      <c r="KY12" s="128" t="s">
        <v>1113</v>
      </c>
      <c r="KZ12" s="127" t="s">
        <v>449</v>
      </c>
      <c r="LA12" s="127" t="s">
        <v>533</v>
      </c>
      <c r="LB12" s="127" t="s">
        <v>533</v>
      </c>
      <c r="LC12" s="128" t="s">
        <v>518</v>
      </c>
      <c r="LD12" s="128" t="s">
        <v>699</v>
      </c>
      <c r="LE12" s="128" t="s">
        <v>453</v>
      </c>
      <c r="LF12" s="128" t="s">
        <v>195</v>
      </c>
      <c r="LH12" s="127" t="s">
        <v>441</v>
      </c>
      <c r="LI12" s="127">
        <v>108</v>
      </c>
      <c r="LJ12" s="127">
        <v>10</v>
      </c>
      <c r="LK12" s="127">
        <v>2021</v>
      </c>
      <c r="LL12" s="128" t="s">
        <v>452</v>
      </c>
      <c r="LM12" s="128" t="s">
        <v>522</v>
      </c>
      <c r="LN12" s="128"/>
      <c r="LO12" s="128"/>
      <c r="LP12" s="128"/>
      <c r="LR12" s="128" t="s">
        <v>451</v>
      </c>
      <c r="LS12" s="128" t="s">
        <v>452</v>
      </c>
      <c r="LT12" s="110">
        <v>1393.17</v>
      </c>
      <c r="LV12" s="128" t="s">
        <v>1134</v>
      </c>
      <c r="LW12" s="128">
        <v>546</v>
      </c>
      <c r="LX12" s="127" t="s">
        <v>58</v>
      </c>
      <c r="LY12" s="25" t="s">
        <v>351</v>
      </c>
      <c r="LZ12" s="127" t="s">
        <v>22</v>
      </c>
    </row>
    <row r="13" spans="1:344" s="160" customFormat="1" ht="15" customHeight="1" x14ac:dyDescent="0.25">
      <c r="A13" s="131"/>
      <c r="B13" s="161">
        <v>10</v>
      </c>
      <c r="C13" s="162" t="s">
        <v>310</v>
      </c>
      <c r="D13" s="127" t="s">
        <v>1120</v>
      </c>
      <c r="E13" s="163" t="s">
        <v>1116</v>
      </c>
      <c r="F13" s="164" t="str">
        <f>HYPERLINK("\\gdc-data\Team\Test Team\!Testing Details\Automation\Vikram\Vikram\SALT Automation Phase 2 - BACKUP\Projects\SALT\Snapshots\HappyPath_SingleProduct_AUS_IN-MU-LT-J27180\2014710\203713\Iterator_10\HappyPath_SingleProduct_AUS10.xlsx","Snapshot")</f>
        <v>Snapshot</v>
      </c>
      <c r="G13" s="164" t="str">
        <f>HYPERLINK("\\gdc-data\Team\Test Team\!Testing Details\Automation\Vikram\Vikram\SALT Automation Phase 2 - BACKUP\Projects\SALT\Snapshots\HappyPath_SingleProduct_AUS_IN-MU-LT-J27180\2014710\203713\Iterator_10\Merge.html","Result")</f>
        <v>Result</v>
      </c>
      <c r="H13" s="127"/>
      <c r="I13" s="127"/>
      <c r="J13" s="127"/>
      <c r="K13" s="127"/>
      <c r="L13" s="127"/>
      <c r="M13" s="127" t="s">
        <v>445</v>
      </c>
      <c r="N13" s="127">
        <v>16</v>
      </c>
      <c r="O13" s="127">
        <v>1990</v>
      </c>
      <c r="P13" s="127"/>
      <c r="Q13" s="127" t="s">
        <v>445</v>
      </c>
      <c r="R13" s="127">
        <v>16</v>
      </c>
      <c r="S13" s="127">
        <v>2035</v>
      </c>
      <c r="T13" s="127"/>
      <c r="U13" s="128" t="s">
        <v>522</v>
      </c>
      <c r="V13" s="127">
        <v>10</v>
      </c>
      <c r="W13" s="127">
        <v>2021</v>
      </c>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8" t="s">
        <v>534</v>
      </c>
      <c r="BE13" s="127"/>
      <c r="BF13" s="127"/>
      <c r="BG13" s="127"/>
      <c r="BH13" s="127"/>
      <c r="BI13" s="127"/>
      <c r="BJ13" s="127"/>
      <c r="BK13" s="127"/>
      <c r="BL13" s="127"/>
      <c r="BM13" s="127"/>
      <c r="BN13" s="127"/>
      <c r="BO13" s="127"/>
      <c r="BP13" s="127"/>
      <c r="BQ13" s="127"/>
      <c r="BR13" s="127"/>
      <c r="BS13" s="127"/>
      <c r="BT13" s="127"/>
      <c r="BU13" s="127"/>
      <c r="BV13" s="127"/>
      <c r="BW13" s="127"/>
      <c r="BX13" s="127"/>
      <c r="BY13" s="127"/>
      <c r="BZ13" s="127"/>
      <c r="CA13" s="127"/>
      <c r="CB13" s="127"/>
      <c r="CC13" s="127"/>
      <c r="CD13" s="127"/>
      <c r="CE13" s="127"/>
      <c r="CF13" s="127"/>
      <c r="CG13" s="127"/>
      <c r="CH13" s="127"/>
      <c r="CI13" s="127"/>
      <c r="CJ13" s="136">
        <v>41757.986585648148</v>
      </c>
      <c r="CK13" s="127" t="s">
        <v>990</v>
      </c>
      <c r="CL13" s="127"/>
      <c r="CM13" s="127"/>
      <c r="CN13" s="127"/>
      <c r="CO13" s="127"/>
      <c r="CP13" s="127"/>
      <c r="CQ13" s="127"/>
      <c r="CR13" s="127"/>
      <c r="CS13" s="127"/>
      <c r="CT13" s="127"/>
      <c r="CU13" s="127"/>
      <c r="CV13" s="127"/>
      <c r="CW13" s="127"/>
      <c r="CX13" s="127"/>
      <c r="CY13" s="127"/>
      <c r="CZ13" s="127"/>
      <c r="DA13" s="127"/>
      <c r="DB13" s="127"/>
      <c r="DC13" s="127"/>
      <c r="DD13" s="127"/>
      <c r="DE13" s="127"/>
      <c r="DF13" s="127"/>
      <c r="DG13" s="127"/>
      <c r="DH13" s="127"/>
      <c r="DI13" s="127"/>
      <c r="DJ13" s="127"/>
      <c r="DK13" s="127"/>
      <c r="DL13" s="127"/>
      <c r="DM13" s="127"/>
      <c r="DN13" s="127"/>
      <c r="DO13" s="127"/>
      <c r="DP13" s="127"/>
      <c r="DQ13" s="127"/>
      <c r="DR13" s="127"/>
      <c r="DS13" s="127"/>
      <c r="DT13" s="127"/>
      <c r="DU13" s="127"/>
      <c r="DV13" s="127"/>
      <c r="DW13" s="127"/>
      <c r="DX13" s="127"/>
      <c r="DY13" s="127"/>
      <c r="DZ13" s="127"/>
      <c r="EA13" s="127"/>
      <c r="EB13" s="127"/>
      <c r="EC13" s="127"/>
      <c r="ED13" s="127"/>
      <c r="EE13" s="127"/>
      <c r="EF13" s="127"/>
      <c r="EG13" s="127"/>
      <c r="EH13" s="127"/>
      <c r="EI13" s="127"/>
      <c r="EJ13" s="127"/>
      <c r="EK13" s="127"/>
      <c r="EM13" s="127"/>
      <c r="EN13" s="127"/>
      <c r="EV13" s="25" t="s">
        <v>351</v>
      </c>
      <c r="HB13" s="127"/>
      <c r="HC13" s="127"/>
      <c r="HD13" s="127"/>
      <c r="HE13" s="127"/>
      <c r="HF13" s="127"/>
      <c r="HG13" s="127"/>
      <c r="HH13" s="127"/>
      <c r="HI13" s="127"/>
      <c r="HJ13" s="127"/>
      <c r="HK13" s="127"/>
      <c r="HL13" s="127"/>
      <c r="HM13" s="127"/>
      <c r="HN13" s="127"/>
      <c r="HO13" s="127"/>
      <c r="HP13" s="127"/>
      <c r="HQ13" s="127"/>
      <c r="HR13" s="127"/>
      <c r="HS13" s="127"/>
      <c r="HT13" s="127"/>
      <c r="HU13" s="127"/>
      <c r="HV13" s="127"/>
      <c r="HW13" s="136">
        <v>41757.982314814813</v>
      </c>
      <c r="HX13" s="127"/>
      <c r="HY13" s="127"/>
      <c r="HZ13" s="127"/>
      <c r="IA13" s="127"/>
      <c r="IB13" s="127"/>
      <c r="IC13" s="127"/>
      <c r="ID13" s="127"/>
      <c r="IE13" s="110">
        <v>450</v>
      </c>
      <c r="IF13" s="110">
        <v>719.42</v>
      </c>
      <c r="IG13" s="20"/>
      <c r="IH13" s="135" t="s">
        <v>720</v>
      </c>
      <c r="II13" s="127"/>
      <c r="IJ13" s="127"/>
      <c r="IK13" s="128" t="s">
        <v>522</v>
      </c>
      <c r="IL13" s="127"/>
      <c r="IM13" s="128" t="s">
        <v>74</v>
      </c>
      <c r="IN13" s="127"/>
      <c r="IO13" s="127"/>
      <c r="IP13" s="127"/>
      <c r="IQ13" s="127"/>
      <c r="IR13" s="127"/>
      <c r="IS13" s="127"/>
      <c r="IT13" s="127"/>
      <c r="IU13" s="127"/>
      <c r="IV13" s="127"/>
      <c r="IW13" s="136">
        <v>41830.859178240738</v>
      </c>
      <c r="IX13" s="136">
        <v>41830.863321759258</v>
      </c>
      <c r="IY13" s="127" t="s">
        <v>1117</v>
      </c>
      <c r="IZ13" s="127" t="s">
        <v>1062</v>
      </c>
      <c r="JA13" s="127"/>
      <c r="JB13" s="127"/>
      <c r="JC13" s="127"/>
      <c r="JD13" s="127"/>
      <c r="JE13" s="127"/>
      <c r="JF13" s="127"/>
      <c r="JG13" s="127"/>
      <c r="JH13" s="127"/>
      <c r="JI13" s="127" t="s">
        <v>22</v>
      </c>
      <c r="JJ13" s="127"/>
      <c r="JK13" s="127"/>
      <c r="JL13" s="127"/>
      <c r="JM13" s="127"/>
      <c r="JN13" s="163"/>
      <c r="JO13" s="127"/>
      <c r="JP13" s="163" t="s">
        <v>531</v>
      </c>
      <c r="JQ13" s="163" t="s">
        <v>69</v>
      </c>
      <c r="JR13" s="165"/>
      <c r="JS13" s="160">
        <v>1250</v>
      </c>
      <c r="JU13" s="166"/>
      <c r="JV13" s="160" t="s">
        <v>450</v>
      </c>
      <c r="JW13" s="160" t="s">
        <v>437</v>
      </c>
      <c r="JX13" s="163" t="s">
        <v>438</v>
      </c>
      <c r="JY13" s="163" t="s">
        <v>812</v>
      </c>
      <c r="KD13" s="166"/>
      <c r="KF13" s="160" t="s">
        <v>439</v>
      </c>
      <c r="KG13" s="160" t="s">
        <v>483</v>
      </c>
      <c r="KH13" s="160" t="s">
        <v>447</v>
      </c>
      <c r="KI13" s="160" t="s">
        <v>480</v>
      </c>
      <c r="KJ13" s="163" t="s">
        <v>444</v>
      </c>
      <c r="KK13" s="160" t="s">
        <v>445</v>
      </c>
      <c r="KL13" s="167" t="s">
        <v>490</v>
      </c>
      <c r="KM13" s="160" t="s">
        <v>78</v>
      </c>
      <c r="KN13" s="163" t="s">
        <v>443</v>
      </c>
      <c r="KP13" s="160">
        <v>123456</v>
      </c>
      <c r="KQ13" s="160">
        <v>123456</v>
      </c>
      <c r="KR13" s="160">
        <v>11</v>
      </c>
      <c r="KS13" s="160" t="s">
        <v>446</v>
      </c>
      <c r="KT13" s="160">
        <v>2037</v>
      </c>
      <c r="KU13" s="160" t="s">
        <v>448</v>
      </c>
      <c r="KV13" s="163" t="s">
        <v>532</v>
      </c>
      <c r="KW13" s="163" t="s">
        <v>532</v>
      </c>
      <c r="KX13" s="163" t="s">
        <v>1113</v>
      </c>
      <c r="KY13" s="163" t="s">
        <v>1113</v>
      </c>
      <c r="KZ13" s="160" t="s">
        <v>449</v>
      </c>
      <c r="LA13" s="160" t="s">
        <v>533</v>
      </c>
      <c r="LB13" s="160" t="s">
        <v>533</v>
      </c>
      <c r="LC13" s="163" t="s">
        <v>518</v>
      </c>
      <c r="LD13" s="163" t="s">
        <v>535</v>
      </c>
      <c r="LE13" s="163"/>
      <c r="LF13" s="163"/>
      <c r="LH13" s="160" t="s">
        <v>441</v>
      </c>
      <c r="LI13" s="160">
        <v>108</v>
      </c>
      <c r="LJ13" s="160">
        <v>10</v>
      </c>
      <c r="LK13" s="160">
        <v>2021</v>
      </c>
      <c r="LL13" s="163" t="s">
        <v>452</v>
      </c>
      <c r="LM13" s="163" t="s">
        <v>522</v>
      </c>
      <c r="LN13" s="163"/>
      <c r="LO13" s="163"/>
      <c r="LP13" s="163"/>
      <c r="LR13" s="163" t="s">
        <v>451</v>
      </c>
      <c r="LS13" s="163" t="s">
        <v>452</v>
      </c>
      <c r="LT13" s="166">
        <v>1417.23</v>
      </c>
      <c r="LV13" s="163" t="s">
        <v>1135</v>
      </c>
      <c r="LW13" s="163">
        <v>123</v>
      </c>
      <c r="LX13" s="160" t="s">
        <v>58</v>
      </c>
      <c r="LY13" s="25" t="s">
        <v>351</v>
      </c>
      <c r="LZ13" s="160" t="s">
        <v>22</v>
      </c>
    </row>
    <row r="14" spans="1:344" s="145" customFormat="1" ht="15" customHeight="1" x14ac:dyDescent="0.25">
      <c r="A14" s="144"/>
      <c r="B14" s="240">
        <v>11</v>
      </c>
      <c r="C14" s="238" t="s">
        <v>310</v>
      </c>
      <c r="D14" s="241" t="s">
        <v>1120</v>
      </c>
      <c r="E14" s="211" t="s">
        <v>1116</v>
      </c>
      <c r="F14" s="212" t="str">
        <f>HYPERLINK("C:\Users\kapalev\Desktop\SALT Automation Phase 2 - BACKUP\Projects\SALT\Snapshots\HappyPath_SingleProduct_AUS_IN-MU-LT-J27180\2014724\201016\Iterator_11\HappyPath_SingleProduct_AUS11.xlsx","Snapshot")</f>
        <v>Snapshot</v>
      </c>
      <c r="G14" s="212" t="str">
        <f>HYPERLINK("C:\Users\kapalev\Desktop\SALT Automation Phase 2 - BACKUP\Projects\SALT\Snapshots\HappyPath_SingleProduct_AUS_IN-MU-LT-J27180\2014724\201016\Iterator_11\Merge.html","Result")</f>
        <v>Result</v>
      </c>
      <c r="H14" s="127"/>
      <c r="I14" s="127"/>
      <c r="J14" s="127"/>
      <c r="K14" s="127"/>
      <c r="L14" s="127"/>
      <c r="M14" s="127" t="s">
        <v>499</v>
      </c>
      <c r="N14" s="127">
        <v>17</v>
      </c>
      <c r="O14" s="127">
        <v>1987</v>
      </c>
      <c r="P14" s="127"/>
      <c r="Q14" s="127" t="s">
        <v>499</v>
      </c>
      <c r="R14" s="127">
        <v>17</v>
      </c>
      <c r="S14" s="127">
        <v>2036</v>
      </c>
      <c r="T14" s="127"/>
      <c r="U14" s="128" t="s">
        <v>522</v>
      </c>
      <c r="V14" s="127">
        <v>10</v>
      </c>
      <c r="W14" s="127">
        <v>2022</v>
      </c>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8" t="s">
        <v>534</v>
      </c>
      <c r="BE14" s="127"/>
      <c r="BF14" s="127"/>
      <c r="BG14" s="127"/>
      <c r="BH14" s="127"/>
      <c r="BI14" s="127"/>
      <c r="BJ14" s="127"/>
      <c r="BK14" s="127"/>
      <c r="BL14" s="127"/>
      <c r="BM14" s="127"/>
      <c r="BN14" s="127"/>
      <c r="BO14" s="127"/>
      <c r="BP14" s="127"/>
      <c r="BQ14" s="127"/>
      <c r="BR14" s="127"/>
      <c r="BS14" s="127"/>
      <c r="BT14" s="127"/>
      <c r="BU14" s="127"/>
      <c r="BV14" s="127"/>
      <c r="BW14" s="127"/>
      <c r="BX14" s="127"/>
      <c r="BY14" s="127"/>
      <c r="BZ14" s="127"/>
      <c r="CA14" s="127"/>
      <c r="CB14" s="127"/>
      <c r="CC14" s="127"/>
      <c r="CD14" s="127"/>
      <c r="CE14" s="127"/>
      <c r="CF14" s="127"/>
      <c r="CG14" s="127"/>
      <c r="CH14" s="127"/>
      <c r="CI14" s="127"/>
      <c r="CJ14" s="136">
        <v>41757.991273148145</v>
      </c>
      <c r="CK14" s="127" t="s">
        <v>991</v>
      </c>
      <c r="CL14" s="137"/>
      <c r="CM14" s="137"/>
      <c r="CN14" s="127"/>
      <c r="CO14" s="127"/>
      <c r="CP14" s="127"/>
      <c r="CQ14" s="127"/>
      <c r="CR14" s="127"/>
      <c r="CS14" s="127"/>
      <c r="CT14" s="127"/>
      <c r="CU14" s="127"/>
      <c r="CV14" s="127"/>
      <c r="CW14" s="127"/>
      <c r="CX14" s="127"/>
      <c r="CY14" s="127"/>
      <c r="CZ14" s="127"/>
      <c r="DA14" s="127"/>
      <c r="DB14" s="127"/>
      <c r="DC14" s="127"/>
      <c r="DD14" s="127"/>
      <c r="DE14" s="127"/>
      <c r="DF14" s="127"/>
      <c r="DG14" s="127"/>
      <c r="DH14" s="127"/>
      <c r="DI14" s="127"/>
      <c r="DJ14" s="127"/>
      <c r="DK14" s="127"/>
      <c r="DL14" s="127"/>
      <c r="DM14" s="127"/>
      <c r="DN14" s="127"/>
      <c r="DO14" s="127"/>
      <c r="DP14" s="127"/>
      <c r="DQ14" s="127"/>
      <c r="DR14" s="127"/>
      <c r="DS14" s="127"/>
      <c r="DT14" s="127"/>
      <c r="DU14" s="127"/>
      <c r="DV14" s="127"/>
      <c r="DW14" s="127"/>
      <c r="DX14" s="127"/>
      <c r="DY14" s="127"/>
      <c r="DZ14" s="127"/>
      <c r="EA14" s="127"/>
      <c r="EB14" s="127"/>
      <c r="EC14" s="127"/>
      <c r="ED14" s="127"/>
      <c r="EE14" s="127"/>
      <c r="EF14" s="127"/>
      <c r="EG14" s="127"/>
      <c r="EH14" s="127"/>
      <c r="EI14" s="127"/>
      <c r="EJ14" s="137"/>
      <c r="EK14" s="137"/>
      <c r="EM14" s="137"/>
      <c r="EN14" s="137"/>
      <c r="EV14" s="25" t="s">
        <v>351</v>
      </c>
      <c r="HB14" s="127"/>
      <c r="HC14" s="127"/>
      <c r="HD14" s="127"/>
      <c r="HE14" s="127"/>
      <c r="HF14" s="127"/>
      <c r="HG14" s="127"/>
      <c r="HH14" s="127"/>
      <c r="HI14" s="127"/>
      <c r="HJ14" s="127"/>
      <c r="HK14" s="127"/>
      <c r="HL14" s="127"/>
      <c r="HM14" s="127"/>
      <c r="HN14" s="127"/>
      <c r="HO14" s="127"/>
      <c r="HP14" s="127"/>
      <c r="HQ14" s="127"/>
      <c r="HR14" s="127"/>
      <c r="HS14" s="127"/>
      <c r="HT14" s="127"/>
      <c r="HU14" s="127"/>
      <c r="HV14" s="127"/>
      <c r="HW14" s="136">
        <v>41757.986631944441</v>
      </c>
      <c r="HX14" s="127"/>
      <c r="HY14" s="127"/>
      <c r="HZ14" s="127"/>
      <c r="IA14" s="127"/>
      <c r="IB14" s="127"/>
      <c r="IC14" s="127"/>
      <c r="ID14" s="127"/>
      <c r="IE14" s="110">
        <v>300</v>
      </c>
      <c r="IF14" s="110">
        <v>286.39999999999998</v>
      </c>
      <c r="IG14" s="20"/>
      <c r="IH14" s="135" t="s">
        <v>720</v>
      </c>
      <c r="II14" s="127"/>
      <c r="IJ14" s="127"/>
      <c r="IK14" s="128" t="s">
        <v>522</v>
      </c>
      <c r="IL14" s="127"/>
      <c r="IM14" s="127" t="s">
        <v>472</v>
      </c>
      <c r="IN14" s="127"/>
      <c r="IO14" s="127"/>
      <c r="IP14" s="127"/>
      <c r="IQ14" s="127"/>
      <c r="IR14" s="137"/>
      <c r="IS14" s="137"/>
      <c r="IT14" s="127"/>
      <c r="IU14" s="127"/>
      <c r="IV14" s="127"/>
      <c r="IW14" s="136">
        <v>41844.840462962966</v>
      </c>
      <c r="IX14" s="136">
        <v>41844.849641203706</v>
      </c>
      <c r="IY14" s="127" t="s">
        <v>1210</v>
      </c>
      <c r="IZ14" s="210" t="s">
        <v>1062</v>
      </c>
      <c r="JA14" s="127"/>
      <c r="JB14" s="127"/>
      <c r="JC14" s="127"/>
      <c r="JD14" s="127"/>
      <c r="JE14" s="127"/>
      <c r="JF14" s="127"/>
      <c r="JG14" s="127"/>
      <c r="JH14" s="127"/>
      <c r="JI14" s="127" t="s">
        <v>22</v>
      </c>
      <c r="JJ14" s="127"/>
      <c r="JK14" s="127"/>
      <c r="JL14" s="127"/>
      <c r="JM14" s="127"/>
      <c r="JN14" s="146"/>
      <c r="JO14" s="127"/>
      <c r="JP14" s="211" t="s">
        <v>531</v>
      </c>
      <c r="JQ14" s="211" t="s">
        <v>74</v>
      </c>
      <c r="JR14" s="214" t="s">
        <v>83</v>
      </c>
      <c r="JS14" s="210">
        <v>1000</v>
      </c>
      <c r="JT14" s="215" t="s">
        <v>85</v>
      </c>
      <c r="JU14" s="216">
        <v>1000.1</v>
      </c>
      <c r="JV14" s="210" t="s">
        <v>450</v>
      </c>
      <c r="JW14" s="210" t="s">
        <v>437</v>
      </c>
      <c r="JX14" s="211" t="s">
        <v>438</v>
      </c>
      <c r="JY14" s="211" t="s">
        <v>812</v>
      </c>
      <c r="JZ14" s="210"/>
      <c r="KA14" s="210"/>
      <c r="KB14" s="210"/>
      <c r="KC14" s="210"/>
      <c r="KD14" s="216"/>
      <c r="KE14" s="210"/>
      <c r="KF14" s="210" t="s">
        <v>439</v>
      </c>
      <c r="KG14" s="210" t="s">
        <v>440</v>
      </c>
      <c r="KH14" s="210" t="s">
        <v>447</v>
      </c>
      <c r="KI14" s="210" t="s">
        <v>441</v>
      </c>
      <c r="KJ14" s="211" t="s">
        <v>444</v>
      </c>
      <c r="KK14" s="210" t="s">
        <v>445</v>
      </c>
      <c r="KL14" s="217" t="s">
        <v>490</v>
      </c>
      <c r="KM14" s="210" t="s">
        <v>78</v>
      </c>
      <c r="KN14" s="211" t="s">
        <v>443</v>
      </c>
      <c r="KO14" s="210"/>
      <c r="KP14" s="210">
        <v>123456</v>
      </c>
      <c r="KQ14" s="210">
        <v>123456</v>
      </c>
      <c r="KR14" s="210">
        <v>11</v>
      </c>
      <c r="KS14" s="210" t="s">
        <v>446</v>
      </c>
      <c r="KT14" s="210">
        <v>2037</v>
      </c>
      <c r="KU14" s="210" t="s">
        <v>448</v>
      </c>
      <c r="KV14" s="211" t="s">
        <v>532</v>
      </c>
      <c r="KW14" s="211" t="s">
        <v>532</v>
      </c>
      <c r="KX14" s="211" t="s">
        <v>1113</v>
      </c>
      <c r="KY14" s="211" t="s">
        <v>1113</v>
      </c>
      <c r="KZ14" s="210" t="s">
        <v>449</v>
      </c>
      <c r="LA14" s="210" t="s">
        <v>533</v>
      </c>
      <c r="LB14" s="210" t="s">
        <v>533</v>
      </c>
      <c r="LC14" s="211" t="s">
        <v>518</v>
      </c>
      <c r="LD14" s="211" t="s">
        <v>535</v>
      </c>
      <c r="LE14" s="211"/>
      <c r="LF14" s="211"/>
      <c r="LG14" s="210"/>
      <c r="LH14" s="210" t="s">
        <v>441</v>
      </c>
      <c r="LI14" s="210">
        <v>108</v>
      </c>
      <c r="LJ14" s="210">
        <v>10</v>
      </c>
      <c r="LK14" s="210">
        <v>2021</v>
      </c>
      <c r="LL14" s="211" t="s">
        <v>452</v>
      </c>
      <c r="LM14" s="211" t="s">
        <v>522</v>
      </c>
      <c r="LN14" s="211"/>
      <c r="LO14" s="211"/>
      <c r="LP14" s="211"/>
      <c r="LQ14" s="210"/>
      <c r="LR14" s="211" t="s">
        <v>451</v>
      </c>
      <c r="LS14" s="211" t="s">
        <v>452</v>
      </c>
      <c r="LT14" s="218" t="s">
        <v>1426</v>
      </c>
      <c r="LV14" s="213" t="s">
        <v>1425</v>
      </c>
      <c r="LW14" s="211">
        <v>456</v>
      </c>
      <c r="LX14" s="210" t="s">
        <v>58</v>
      </c>
      <c r="LY14" s="213" t="s">
        <v>351</v>
      </c>
      <c r="LZ14" s="210" t="s">
        <v>22</v>
      </c>
    </row>
    <row r="15" spans="1:344" s="145" customFormat="1" ht="15" customHeight="1" x14ac:dyDescent="0.25">
      <c r="A15" s="144"/>
      <c r="B15" s="208">
        <v>12</v>
      </c>
      <c r="C15" s="209" t="s">
        <v>310</v>
      </c>
      <c r="D15" s="210" t="s">
        <v>1120</v>
      </c>
      <c r="E15" s="211" t="s">
        <v>1116</v>
      </c>
      <c r="F15" s="212" t="str">
        <f>HYPERLINK("\\gdc-data\Team\Test Team\!Testing Details\Automation\Vikram\Vikram\SALT Automation Phase 2 - BACKUP\Projects\SALT\Snapshots\HappyPath_SingleProduct_AUS_IN-MU-LT-J27180\2014710\204922\Iterator_12\HappyPath_SingleProduct_AUS12.xlsx","Snapshot")</f>
        <v>Snapshot</v>
      </c>
      <c r="G15" s="212" t="str">
        <f>HYPERLINK("\\gdc-data\Team\Test Team\!Testing Details\Automation\Vikram\Vikram\SALT Automation Phase 2 - BACKUP\Projects\SALT\Snapshots\HappyPath_SingleProduct_AUS_IN-MU-LT-J27180\2014710\204922\Iterator_12\Merge.html","Result")</f>
        <v>Result</v>
      </c>
      <c r="H15" s="127"/>
      <c r="I15" s="127"/>
      <c r="J15" s="127"/>
      <c r="K15" s="127"/>
      <c r="L15" s="127"/>
      <c r="M15" s="127" t="s">
        <v>499</v>
      </c>
      <c r="N15" s="127">
        <v>17</v>
      </c>
      <c r="O15" s="127">
        <v>1987</v>
      </c>
      <c r="P15" s="127"/>
      <c r="Q15" s="127" t="s">
        <v>499</v>
      </c>
      <c r="R15" s="127">
        <v>17</v>
      </c>
      <c r="S15" s="127">
        <v>2036</v>
      </c>
      <c r="T15" s="127"/>
      <c r="U15" s="128" t="s">
        <v>522</v>
      </c>
      <c r="V15" s="127">
        <v>10</v>
      </c>
      <c r="W15" s="127">
        <v>2022</v>
      </c>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8" t="s">
        <v>534</v>
      </c>
      <c r="BE15" s="127"/>
      <c r="BF15" s="127"/>
      <c r="BG15" s="127"/>
      <c r="BH15" s="127"/>
      <c r="BI15" s="127"/>
      <c r="BJ15" s="127"/>
      <c r="BK15" s="127"/>
      <c r="BL15" s="127"/>
      <c r="BM15" s="127"/>
      <c r="BN15" s="127"/>
      <c r="BO15" s="127"/>
      <c r="BP15" s="127"/>
      <c r="BQ15" s="127"/>
      <c r="BR15" s="127"/>
      <c r="BS15" s="127"/>
      <c r="BT15" s="127"/>
      <c r="BU15" s="127"/>
      <c r="BV15" s="127"/>
      <c r="BW15" s="127"/>
      <c r="BX15" s="127"/>
      <c r="BY15" s="127"/>
      <c r="BZ15" s="127"/>
      <c r="CA15" s="127"/>
      <c r="CB15" s="127"/>
      <c r="CC15" s="127"/>
      <c r="CD15" s="127"/>
      <c r="CE15" s="127"/>
      <c r="CF15" s="127"/>
      <c r="CG15" s="127"/>
      <c r="CH15" s="127"/>
      <c r="CI15" s="127"/>
      <c r="CJ15" s="136">
        <v>41757.995671296296</v>
      </c>
      <c r="CK15" s="127" t="s">
        <v>992</v>
      </c>
      <c r="CL15" s="137"/>
      <c r="CM15" s="137"/>
      <c r="CN15" s="127"/>
      <c r="CO15" s="127"/>
      <c r="CP15" s="127"/>
      <c r="CQ15" s="127"/>
      <c r="CR15" s="127"/>
      <c r="CS15" s="127"/>
      <c r="CT15" s="127"/>
      <c r="CU15" s="127"/>
      <c r="CV15" s="127"/>
      <c r="CW15" s="127"/>
      <c r="CX15" s="127"/>
      <c r="CY15" s="127"/>
      <c r="CZ15" s="127"/>
      <c r="DA15" s="127"/>
      <c r="DB15" s="127"/>
      <c r="DC15" s="127"/>
      <c r="DD15" s="127"/>
      <c r="DE15" s="127"/>
      <c r="DF15" s="127"/>
      <c r="DG15" s="127"/>
      <c r="DH15" s="127"/>
      <c r="DI15" s="127"/>
      <c r="DJ15" s="127"/>
      <c r="DK15" s="127"/>
      <c r="DL15" s="127"/>
      <c r="DM15" s="127"/>
      <c r="DN15" s="127"/>
      <c r="DO15" s="127"/>
      <c r="DP15" s="127"/>
      <c r="DQ15" s="127"/>
      <c r="DR15" s="127"/>
      <c r="DS15" s="127"/>
      <c r="DT15" s="127"/>
      <c r="DU15" s="127"/>
      <c r="DV15" s="127"/>
      <c r="DW15" s="127"/>
      <c r="DX15" s="127"/>
      <c r="DY15" s="127"/>
      <c r="DZ15" s="127"/>
      <c r="EA15" s="127"/>
      <c r="EB15" s="127"/>
      <c r="EC15" s="127"/>
      <c r="ED15" s="127"/>
      <c r="EE15" s="127"/>
      <c r="EF15" s="127"/>
      <c r="EG15" s="127"/>
      <c r="EH15" s="127"/>
      <c r="EI15" s="127"/>
      <c r="EJ15" s="137"/>
      <c r="EK15" s="137"/>
      <c r="EM15" s="137"/>
      <c r="EN15" s="137"/>
      <c r="EV15" s="25" t="s">
        <v>351</v>
      </c>
      <c r="HB15" s="127"/>
      <c r="HC15" s="127"/>
      <c r="HD15" s="127"/>
      <c r="HE15" s="127"/>
      <c r="HF15" s="127"/>
      <c r="HG15" s="127"/>
      <c r="HH15" s="127"/>
      <c r="HI15" s="127"/>
      <c r="HJ15" s="127"/>
      <c r="HK15" s="127"/>
      <c r="HL15" s="127"/>
      <c r="HM15" s="127"/>
      <c r="HN15" s="127"/>
      <c r="HO15" s="127"/>
      <c r="HP15" s="127"/>
      <c r="HQ15" s="127"/>
      <c r="HR15" s="127"/>
      <c r="HS15" s="127"/>
      <c r="HT15" s="127"/>
      <c r="HU15" s="127"/>
      <c r="HV15" s="127"/>
      <c r="HW15" s="136">
        <v>41757.991319444445</v>
      </c>
      <c r="HX15" s="127"/>
      <c r="HY15" s="127"/>
      <c r="HZ15" s="127"/>
      <c r="IA15" s="127"/>
      <c r="IB15" s="127"/>
      <c r="IC15" s="127"/>
      <c r="ID15" s="127"/>
      <c r="IE15" s="110">
        <v>400</v>
      </c>
      <c r="IF15" s="110">
        <v>381.86</v>
      </c>
      <c r="IG15" s="20"/>
      <c r="IH15" s="135" t="s">
        <v>720</v>
      </c>
      <c r="II15" s="127"/>
      <c r="IJ15" s="127"/>
      <c r="IK15" s="128" t="s">
        <v>522</v>
      </c>
      <c r="IL15" s="127"/>
      <c r="IM15" s="128" t="s">
        <v>807</v>
      </c>
      <c r="IN15" s="127"/>
      <c r="IO15" s="127"/>
      <c r="IP15" s="127"/>
      <c r="IQ15" s="127"/>
      <c r="IR15" s="137"/>
      <c r="IS15" s="137"/>
      <c r="IT15" s="127"/>
      <c r="IU15" s="127"/>
      <c r="IV15" s="127"/>
      <c r="IW15" s="136">
        <v>41830.867615740739</v>
      </c>
      <c r="IX15" s="136">
        <v>41830.871967592589</v>
      </c>
      <c r="IY15" s="127" t="s">
        <v>992</v>
      </c>
      <c r="IZ15" s="210" t="s">
        <v>1062</v>
      </c>
      <c r="JA15" s="127"/>
      <c r="JB15" s="127"/>
      <c r="JC15" s="127"/>
      <c r="JD15" s="127"/>
      <c r="JE15" s="127"/>
      <c r="JF15" s="127"/>
      <c r="JG15" s="127"/>
      <c r="JH15" s="127"/>
      <c r="JI15" s="127" t="s">
        <v>22</v>
      </c>
      <c r="JJ15" s="127"/>
      <c r="JK15" s="127"/>
      <c r="JL15" s="127"/>
      <c r="JM15" s="127"/>
      <c r="JN15" s="146"/>
      <c r="JO15" s="127"/>
      <c r="JP15" s="211" t="s">
        <v>531</v>
      </c>
      <c r="JQ15" s="211" t="s">
        <v>69</v>
      </c>
      <c r="JR15" s="214"/>
      <c r="JS15" s="210">
        <v>800</v>
      </c>
      <c r="JT15" s="215"/>
      <c r="JU15" s="210"/>
      <c r="JV15" s="210" t="s">
        <v>450</v>
      </c>
      <c r="JW15" s="210" t="s">
        <v>437</v>
      </c>
      <c r="JX15" s="211" t="s">
        <v>438</v>
      </c>
      <c r="JY15" s="211" t="s">
        <v>812</v>
      </c>
      <c r="JZ15" s="210"/>
      <c r="KA15" s="210"/>
      <c r="KB15" s="210"/>
      <c r="KC15" s="210"/>
      <c r="KD15" s="216"/>
      <c r="KE15" s="210"/>
      <c r="KF15" s="210" t="s">
        <v>439</v>
      </c>
      <c r="KG15" s="210" t="s">
        <v>440</v>
      </c>
      <c r="KH15" s="210" t="s">
        <v>447</v>
      </c>
      <c r="KI15" s="210" t="s">
        <v>441</v>
      </c>
      <c r="KJ15" s="211" t="s">
        <v>444</v>
      </c>
      <c r="KK15" s="210" t="s">
        <v>445</v>
      </c>
      <c r="KL15" s="217" t="s">
        <v>490</v>
      </c>
      <c r="KM15" s="210" t="s">
        <v>78</v>
      </c>
      <c r="KN15" s="211" t="s">
        <v>443</v>
      </c>
      <c r="KO15" s="210"/>
      <c r="KP15" s="210">
        <v>123456</v>
      </c>
      <c r="KQ15" s="210">
        <v>123456</v>
      </c>
      <c r="KR15" s="210">
        <v>11</v>
      </c>
      <c r="KS15" s="210" t="s">
        <v>446</v>
      </c>
      <c r="KT15" s="210">
        <v>2037</v>
      </c>
      <c r="KU15" s="210" t="s">
        <v>448</v>
      </c>
      <c r="KV15" s="211" t="s">
        <v>532</v>
      </c>
      <c r="KW15" s="211" t="s">
        <v>532</v>
      </c>
      <c r="KX15" s="211" t="s">
        <v>1113</v>
      </c>
      <c r="KY15" s="211" t="s">
        <v>1113</v>
      </c>
      <c r="KZ15" s="210" t="s">
        <v>449</v>
      </c>
      <c r="LA15" s="210" t="s">
        <v>533</v>
      </c>
      <c r="LB15" s="210" t="s">
        <v>533</v>
      </c>
      <c r="LC15" s="211" t="s">
        <v>518</v>
      </c>
      <c r="LD15" s="211" t="s">
        <v>535</v>
      </c>
      <c r="LE15" s="211"/>
      <c r="LF15" s="211"/>
      <c r="LG15" s="210"/>
      <c r="LH15" s="210" t="s">
        <v>441</v>
      </c>
      <c r="LI15" s="210">
        <v>108</v>
      </c>
      <c r="LJ15" s="210">
        <v>10</v>
      </c>
      <c r="LK15" s="210">
        <v>2021</v>
      </c>
      <c r="LL15" s="211" t="s">
        <v>452</v>
      </c>
      <c r="LM15" s="211" t="s">
        <v>522</v>
      </c>
      <c r="LN15" s="211"/>
      <c r="LO15" s="211"/>
      <c r="LP15" s="211"/>
      <c r="LQ15" s="210"/>
      <c r="LR15" s="211" t="s">
        <v>451</v>
      </c>
      <c r="LS15" s="211" t="s">
        <v>452</v>
      </c>
      <c r="LT15" s="219" t="s">
        <v>1427</v>
      </c>
      <c r="LV15" s="211" t="s">
        <v>1428</v>
      </c>
      <c r="LW15" s="211">
        <v>456</v>
      </c>
      <c r="LX15" s="210" t="s">
        <v>58</v>
      </c>
      <c r="LY15" s="213" t="s">
        <v>351</v>
      </c>
      <c r="LZ15" s="210" t="s">
        <v>22</v>
      </c>
    </row>
    <row r="16" spans="1:344" s="145" customFormat="1" ht="15" customHeight="1" x14ac:dyDescent="0.25">
      <c r="A16" s="144"/>
      <c r="B16" s="161">
        <v>13</v>
      </c>
      <c r="C16" s="209" t="s">
        <v>310</v>
      </c>
      <c r="D16" s="210" t="s">
        <v>1120</v>
      </c>
      <c r="E16" s="211" t="s">
        <v>1116</v>
      </c>
      <c r="F16" s="212" t="str">
        <f>HYPERLINK("\\gdc-data\Team\Test Team\!Testing Details\Automation\Vikram\Vikram\SALT Automation Phase 2 - BACKUP\Projects\SALT\Snapshots\HappyPath_SingleProduct_AUS_IN-MU-LT-J27180\2014710\205547\Iterator_13\HappyPath_SingleProduct_AUS13.xlsx","Snapshot")</f>
        <v>Snapshot</v>
      </c>
      <c r="G16" s="212" t="str">
        <f>HYPERLINK("\\gdc-data\Team\Test Team\!Testing Details\Automation\Vikram\Vikram\SALT Automation Phase 2 - BACKUP\Projects\SALT\Snapshots\HappyPath_SingleProduct_AUS_IN-MU-LT-J27180\2014710\205547\Iterator_13\Merge.html","Result")</f>
        <v>Result</v>
      </c>
      <c r="H16" s="127"/>
      <c r="I16" s="127"/>
      <c r="J16" s="127"/>
      <c r="K16" s="127"/>
      <c r="L16" s="127"/>
      <c r="M16" s="127" t="s">
        <v>499</v>
      </c>
      <c r="N16" s="127">
        <v>17</v>
      </c>
      <c r="O16" s="127">
        <v>1987</v>
      </c>
      <c r="P16" s="127"/>
      <c r="Q16" s="127" t="s">
        <v>499</v>
      </c>
      <c r="R16" s="127">
        <v>17</v>
      </c>
      <c r="S16" s="127">
        <v>2036</v>
      </c>
      <c r="T16" s="127"/>
      <c r="U16" s="128" t="s">
        <v>522</v>
      </c>
      <c r="V16" s="127">
        <v>10</v>
      </c>
      <c r="W16" s="127">
        <v>2022</v>
      </c>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8" t="s">
        <v>534</v>
      </c>
      <c r="BE16" s="127"/>
      <c r="BF16" s="127"/>
      <c r="BG16" s="127"/>
      <c r="BH16" s="127"/>
      <c r="BI16" s="127"/>
      <c r="BJ16" s="127"/>
      <c r="BK16" s="127"/>
      <c r="BL16" s="127"/>
      <c r="BM16" s="127"/>
      <c r="BN16" s="127"/>
      <c r="BO16" s="127"/>
      <c r="BP16" s="127"/>
      <c r="BQ16" s="127"/>
      <c r="BR16" s="127"/>
      <c r="BS16" s="127"/>
      <c r="BT16" s="127"/>
      <c r="BU16" s="127"/>
      <c r="BV16" s="127"/>
      <c r="BW16" s="127"/>
      <c r="BX16" s="127"/>
      <c r="BY16" s="127"/>
      <c r="BZ16" s="127"/>
      <c r="CA16" s="127"/>
      <c r="CB16" s="127"/>
      <c r="CC16" s="127"/>
      <c r="CD16" s="127"/>
      <c r="CE16" s="127"/>
      <c r="CF16" s="127"/>
      <c r="CG16" s="127"/>
      <c r="CH16" s="127"/>
      <c r="CI16" s="127"/>
      <c r="CJ16" s="136">
        <v>41757.999803240738</v>
      </c>
      <c r="CK16" s="127" t="s">
        <v>993</v>
      </c>
      <c r="CL16" s="137"/>
      <c r="CM16" s="137"/>
      <c r="CN16" s="127"/>
      <c r="CO16" s="127"/>
      <c r="CP16" s="127"/>
      <c r="CQ16" s="127"/>
      <c r="CR16" s="127"/>
      <c r="CS16" s="127"/>
      <c r="CT16" s="127"/>
      <c r="CU16" s="127"/>
      <c r="CV16" s="127"/>
      <c r="CW16" s="127"/>
      <c r="CX16" s="127"/>
      <c r="CY16" s="127"/>
      <c r="CZ16" s="127"/>
      <c r="DA16" s="127"/>
      <c r="DB16" s="127"/>
      <c r="DC16" s="127"/>
      <c r="DD16" s="127"/>
      <c r="DE16" s="127"/>
      <c r="DF16" s="127"/>
      <c r="DG16" s="127"/>
      <c r="DH16" s="127"/>
      <c r="DI16" s="127"/>
      <c r="DJ16" s="127"/>
      <c r="DK16" s="127"/>
      <c r="DL16" s="127"/>
      <c r="DM16" s="127"/>
      <c r="DN16" s="127"/>
      <c r="DO16" s="127"/>
      <c r="DP16" s="127"/>
      <c r="DQ16" s="127"/>
      <c r="DR16" s="127"/>
      <c r="DS16" s="127"/>
      <c r="DT16" s="127"/>
      <c r="DU16" s="127"/>
      <c r="DV16" s="127"/>
      <c r="DW16" s="127"/>
      <c r="DX16" s="127"/>
      <c r="DY16" s="127"/>
      <c r="DZ16" s="127"/>
      <c r="EA16" s="127"/>
      <c r="EB16" s="127"/>
      <c r="EC16" s="127"/>
      <c r="ED16" s="127"/>
      <c r="EE16" s="127"/>
      <c r="EF16" s="127"/>
      <c r="EG16" s="127"/>
      <c r="EH16" s="127"/>
      <c r="EI16" s="127"/>
      <c r="EJ16" s="137"/>
      <c r="EK16" s="137"/>
      <c r="EM16" s="137"/>
      <c r="EN16" s="137"/>
      <c r="EV16" s="25" t="s">
        <v>351</v>
      </c>
      <c r="HB16" s="127"/>
      <c r="HC16" s="127"/>
      <c r="HD16" s="127"/>
      <c r="HE16" s="127"/>
      <c r="HF16" s="127"/>
      <c r="HG16" s="127"/>
      <c r="HH16" s="127"/>
      <c r="HI16" s="127"/>
      <c r="HJ16" s="127"/>
      <c r="HK16" s="127"/>
      <c r="HL16" s="127"/>
      <c r="HM16" s="127"/>
      <c r="HN16" s="127"/>
      <c r="HO16" s="127"/>
      <c r="HP16" s="127"/>
      <c r="HQ16" s="127"/>
      <c r="HR16" s="127"/>
      <c r="HS16" s="127"/>
      <c r="HT16" s="127"/>
      <c r="HU16" s="127"/>
      <c r="HV16" s="127"/>
      <c r="HW16" s="136">
        <v>41757.995717592596</v>
      </c>
      <c r="HX16" s="127"/>
      <c r="HY16" s="127"/>
      <c r="HZ16" s="127"/>
      <c r="IA16" s="127"/>
      <c r="IB16" s="127"/>
      <c r="IC16" s="127"/>
      <c r="ID16" s="127"/>
      <c r="IE16" s="110">
        <v>450</v>
      </c>
      <c r="IF16" s="110">
        <v>429.59</v>
      </c>
      <c r="IG16" s="20"/>
      <c r="IH16" s="135" t="s">
        <v>720</v>
      </c>
      <c r="II16" s="127"/>
      <c r="IJ16" s="127"/>
      <c r="IK16" s="128" t="s">
        <v>522</v>
      </c>
      <c r="IL16" s="127"/>
      <c r="IM16" s="127" t="s">
        <v>472</v>
      </c>
      <c r="IN16" s="127"/>
      <c r="IO16" s="127"/>
      <c r="IP16" s="127"/>
      <c r="IQ16" s="127"/>
      <c r="IR16" s="137"/>
      <c r="IS16" s="137"/>
      <c r="IT16" s="127"/>
      <c r="IU16" s="127"/>
      <c r="IV16" s="127"/>
      <c r="IW16" s="136">
        <v>41830.872083333335</v>
      </c>
      <c r="IX16" s="136">
        <v>41830.876423611109</v>
      </c>
      <c r="IY16" s="127" t="s">
        <v>1139</v>
      </c>
      <c r="IZ16" s="210" t="s">
        <v>1062</v>
      </c>
      <c r="JA16" s="127"/>
      <c r="JB16" s="127"/>
      <c r="JC16" s="127"/>
      <c r="JD16" s="127"/>
      <c r="JE16" s="127"/>
      <c r="JF16" s="127"/>
      <c r="JG16" s="127"/>
      <c r="JH16" s="127"/>
      <c r="JI16" s="127" t="s">
        <v>22</v>
      </c>
      <c r="JJ16" s="127"/>
      <c r="JK16" s="127"/>
      <c r="JL16" s="127"/>
      <c r="JM16" s="127"/>
      <c r="JN16" s="146"/>
      <c r="JO16" s="127"/>
      <c r="JP16" s="211" t="s">
        <v>531</v>
      </c>
      <c r="JQ16" s="211" t="s">
        <v>473</v>
      </c>
      <c r="JR16" s="214"/>
      <c r="JS16" s="210">
        <v>900</v>
      </c>
      <c r="JT16" s="215"/>
      <c r="JU16" s="216"/>
      <c r="JV16" s="210" t="s">
        <v>450</v>
      </c>
      <c r="JW16" s="210" t="s">
        <v>437</v>
      </c>
      <c r="JX16" s="211" t="s">
        <v>438</v>
      </c>
      <c r="JY16" s="211" t="s">
        <v>812</v>
      </c>
      <c r="JZ16" s="210"/>
      <c r="KA16" s="210"/>
      <c r="KB16" s="210"/>
      <c r="KC16" s="210"/>
      <c r="KD16" s="216"/>
      <c r="KE16" s="210"/>
      <c r="KF16" s="210" t="s">
        <v>439</v>
      </c>
      <c r="KG16" s="210" t="s">
        <v>440</v>
      </c>
      <c r="KH16" s="210" t="s">
        <v>447</v>
      </c>
      <c r="KI16" s="210" t="s">
        <v>441</v>
      </c>
      <c r="KJ16" s="211" t="s">
        <v>444</v>
      </c>
      <c r="KK16" s="210" t="s">
        <v>445</v>
      </c>
      <c r="KL16" s="217" t="s">
        <v>490</v>
      </c>
      <c r="KM16" s="210" t="s">
        <v>78</v>
      </c>
      <c r="KN16" s="211" t="s">
        <v>443</v>
      </c>
      <c r="KO16" s="210"/>
      <c r="KP16" s="210">
        <v>123456</v>
      </c>
      <c r="KQ16" s="210">
        <v>123456</v>
      </c>
      <c r="KR16" s="210">
        <v>11</v>
      </c>
      <c r="KS16" s="210" t="s">
        <v>446</v>
      </c>
      <c r="KT16" s="210">
        <v>2037</v>
      </c>
      <c r="KU16" s="210" t="s">
        <v>448</v>
      </c>
      <c r="KV16" s="211" t="s">
        <v>532</v>
      </c>
      <c r="KW16" s="211" t="s">
        <v>532</v>
      </c>
      <c r="KX16" s="211" t="s">
        <v>1113</v>
      </c>
      <c r="KY16" s="211" t="s">
        <v>1113</v>
      </c>
      <c r="KZ16" s="210" t="s">
        <v>449</v>
      </c>
      <c r="LA16" s="210" t="s">
        <v>533</v>
      </c>
      <c r="LB16" s="210" t="s">
        <v>533</v>
      </c>
      <c r="LC16" s="211" t="s">
        <v>518</v>
      </c>
      <c r="LD16" s="211" t="s">
        <v>535</v>
      </c>
      <c r="LE16" s="211"/>
      <c r="LF16" s="211"/>
      <c r="LG16" s="210"/>
      <c r="LH16" s="210" t="s">
        <v>441</v>
      </c>
      <c r="LI16" s="210">
        <v>108</v>
      </c>
      <c r="LJ16" s="210">
        <v>10</v>
      </c>
      <c r="LK16" s="210">
        <v>2021</v>
      </c>
      <c r="LL16" s="211" t="s">
        <v>452</v>
      </c>
      <c r="LM16" s="211" t="s">
        <v>522</v>
      </c>
      <c r="LN16" s="211"/>
      <c r="LO16" s="211"/>
      <c r="LP16" s="211"/>
      <c r="LQ16" s="210"/>
      <c r="LR16" s="211" t="s">
        <v>451</v>
      </c>
      <c r="LS16" s="211" t="s">
        <v>452</v>
      </c>
      <c r="LT16" s="218" t="s">
        <v>1429</v>
      </c>
      <c r="LV16" s="213" t="s">
        <v>1430</v>
      </c>
      <c r="LW16" s="211">
        <v>456</v>
      </c>
      <c r="LX16" s="210" t="s">
        <v>58</v>
      </c>
      <c r="LY16" s="213" t="s">
        <v>351</v>
      </c>
      <c r="LZ16" s="210" t="s">
        <v>22</v>
      </c>
    </row>
    <row r="17" spans="1:16181" s="145" customFormat="1" ht="15" customHeight="1" x14ac:dyDescent="0.25">
      <c r="A17" s="144"/>
      <c r="B17" s="220">
        <v>14</v>
      </c>
      <c r="C17" s="221" t="s">
        <v>310</v>
      </c>
      <c r="D17" s="222" t="s">
        <v>1120</v>
      </c>
      <c r="E17" s="222" t="s">
        <v>1116</v>
      </c>
      <c r="F17" s="223" t="str">
        <f>HYPERLINK("\\gdc-data\Team\Test Team\!Testing Details\Automation\Vikram\Vikram\SALT Automation Phase 2 - BACKUP\Projects\SALT\Snapshots\HappyPath_SingleProduct_AUS_IN-MU-LT-J27180\2014710\21212\Iterator_14\HappyPath_SingleProduct_AUS14.xlsx","Snapshot")</f>
        <v>Snapshot</v>
      </c>
      <c r="G17" s="223" t="str">
        <f>HYPERLINK("\\gdc-data\Team\Test Team\!Testing Details\Automation\Vikram\Vikram\SALT Automation Phase 2 - BACKUP\Projects\SALT\Snapshots\HappyPath_SingleProduct_AUS_IN-MU-LT-J27180\2014710\21212\Iterator_14\Merge.html","Result")</f>
        <v>Result</v>
      </c>
      <c r="H17" s="127"/>
      <c r="I17" s="127"/>
      <c r="J17" s="127"/>
      <c r="K17" s="127"/>
      <c r="L17" s="127"/>
      <c r="M17" s="127" t="s">
        <v>499</v>
      </c>
      <c r="N17" s="127">
        <v>17</v>
      </c>
      <c r="O17" s="127">
        <v>1987</v>
      </c>
      <c r="P17" s="127"/>
      <c r="Q17" s="127" t="s">
        <v>499</v>
      </c>
      <c r="R17" s="127">
        <v>17</v>
      </c>
      <c r="S17" s="127">
        <v>2036</v>
      </c>
      <c r="T17" s="127"/>
      <c r="U17" s="128" t="s">
        <v>522</v>
      </c>
      <c r="V17" s="127">
        <v>10</v>
      </c>
      <c r="W17" s="127">
        <v>2022</v>
      </c>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8" t="s">
        <v>534</v>
      </c>
      <c r="BE17" s="127"/>
      <c r="BF17" s="127"/>
      <c r="BG17" s="127"/>
      <c r="BH17" s="127"/>
      <c r="BI17" s="127"/>
      <c r="BJ17" s="127"/>
      <c r="BK17" s="127"/>
      <c r="BL17" s="127"/>
      <c r="BM17" s="127"/>
      <c r="BN17" s="127"/>
      <c r="BO17" s="127"/>
      <c r="BP17" s="127"/>
      <c r="BQ17" s="127"/>
      <c r="BR17" s="127"/>
      <c r="BS17" s="127"/>
      <c r="BT17" s="127"/>
      <c r="BU17" s="127"/>
      <c r="BV17" s="127"/>
      <c r="BW17" s="127"/>
      <c r="BX17" s="127"/>
      <c r="BY17" s="127"/>
      <c r="BZ17" s="127"/>
      <c r="CA17" s="127"/>
      <c r="CB17" s="127"/>
      <c r="CC17" s="127"/>
      <c r="CD17" s="127"/>
      <c r="CE17" s="127"/>
      <c r="CF17" s="127"/>
      <c r="CG17" s="127"/>
      <c r="CH17" s="127"/>
      <c r="CI17" s="127"/>
      <c r="CJ17" s="136">
        <v>41758.004247685189</v>
      </c>
      <c r="CK17" s="127" t="s">
        <v>985</v>
      </c>
      <c r="CL17" s="137"/>
      <c r="CM17" s="137"/>
      <c r="CN17" s="127"/>
      <c r="CO17" s="127"/>
      <c r="CP17" s="127"/>
      <c r="CQ17" s="127"/>
      <c r="CR17" s="127"/>
      <c r="CS17" s="127"/>
      <c r="CT17" s="127"/>
      <c r="CU17" s="127"/>
      <c r="CV17" s="127"/>
      <c r="CW17" s="127"/>
      <c r="CX17" s="127"/>
      <c r="CY17" s="127"/>
      <c r="CZ17" s="127"/>
      <c r="DA17" s="127"/>
      <c r="DB17" s="127"/>
      <c r="DC17" s="127"/>
      <c r="DD17" s="127"/>
      <c r="DE17" s="127"/>
      <c r="DF17" s="127"/>
      <c r="DG17" s="127"/>
      <c r="DH17" s="127"/>
      <c r="DI17" s="127"/>
      <c r="DJ17" s="127"/>
      <c r="DK17" s="127"/>
      <c r="DL17" s="127"/>
      <c r="DM17" s="127"/>
      <c r="DN17" s="127"/>
      <c r="DO17" s="127"/>
      <c r="DP17" s="127"/>
      <c r="DQ17" s="127"/>
      <c r="DR17" s="127"/>
      <c r="DS17" s="127"/>
      <c r="DT17" s="127"/>
      <c r="DU17" s="127"/>
      <c r="DV17" s="127"/>
      <c r="DW17" s="127"/>
      <c r="DX17" s="127"/>
      <c r="DY17" s="127"/>
      <c r="DZ17" s="127"/>
      <c r="EA17" s="127"/>
      <c r="EB17" s="127"/>
      <c r="EC17" s="127"/>
      <c r="ED17" s="127"/>
      <c r="EE17" s="127"/>
      <c r="EF17" s="127"/>
      <c r="EG17" s="127"/>
      <c r="EH17" s="127"/>
      <c r="EI17" s="127"/>
      <c r="EJ17" s="137"/>
      <c r="EK17" s="137"/>
      <c r="EM17" s="137"/>
      <c r="EN17" s="137"/>
      <c r="EV17" s="25" t="s">
        <v>351</v>
      </c>
      <c r="HB17" s="127"/>
      <c r="HC17" s="127"/>
      <c r="HD17" s="127"/>
      <c r="HE17" s="127"/>
      <c r="HF17" s="127"/>
      <c r="HG17" s="127"/>
      <c r="HH17" s="127"/>
      <c r="HI17" s="127"/>
      <c r="HJ17" s="127"/>
      <c r="HK17" s="127"/>
      <c r="HL17" s="127"/>
      <c r="HM17" s="127"/>
      <c r="HN17" s="127"/>
      <c r="HO17" s="127"/>
      <c r="HP17" s="127"/>
      <c r="HQ17" s="127"/>
      <c r="HR17" s="127"/>
      <c r="HS17" s="127"/>
      <c r="HT17" s="127"/>
      <c r="HU17" s="127"/>
      <c r="HV17" s="127"/>
      <c r="HW17" s="136">
        <v>41757.999837962961</v>
      </c>
      <c r="HX17" s="127"/>
      <c r="HY17" s="127"/>
      <c r="HZ17" s="127"/>
      <c r="IA17" s="127"/>
      <c r="IB17" s="127"/>
      <c r="IC17" s="127"/>
      <c r="ID17" s="127"/>
      <c r="IE17" s="110">
        <v>500</v>
      </c>
      <c r="IF17" s="110">
        <v>477.33</v>
      </c>
      <c r="IG17" s="20"/>
      <c r="IH17" s="135" t="s">
        <v>720</v>
      </c>
      <c r="II17" s="127"/>
      <c r="IJ17" s="127"/>
      <c r="IK17" s="128" t="s">
        <v>522</v>
      </c>
      <c r="IL17" s="127"/>
      <c r="IM17" s="128" t="s">
        <v>74</v>
      </c>
      <c r="IN17" s="127"/>
      <c r="IO17" s="127"/>
      <c r="IP17" s="127"/>
      <c r="IQ17" s="127"/>
      <c r="IR17" s="137"/>
      <c r="IS17" s="137"/>
      <c r="IT17" s="127"/>
      <c r="IU17" s="127"/>
      <c r="IV17" s="127"/>
      <c r="IW17" s="136">
        <v>41830.876527777778</v>
      </c>
      <c r="IX17" s="136">
        <v>41830.880856481483</v>
      </c>
      <c r="IY17" s="127" t="s">
        <v>834</v>
      </c>
      <c r="IZ17" s="127" t="s">
        <v>1062</v>
      </c>
      <c r="JA17" s="127"/>
      <c r="JB17" s="127"/>
      <c r="JC17" s="127"/>
      <c r="JD17" s="127"/>
      <c r="JE17" s="127"/>
      <c r="JF17" s="127"/>
      <c r="JG17" s="127"/>
      <c r="JH17" s="127"/>
      <c r="JI17" s="127" t="s">
        <v>22</v>
      </c>
      <c r="JJ17" s="127"/>
      <c r="JK17" s="127"/>
      <c r="JL17" s="127"/>
      <c r="JM17" s="127"/>
      <c r="JN17" s="146"/>
      <c r="JO17" s="127"/>
      <c r="JP17" s="225" t="s">
        <v>531</v>
      </c>
      <c r="JQ17" s="225" t="s">
        <v>69</v>
      </c>
      <c r="JR17" s="226"/>
      <c r="JS17" s="224">
        <v>800</v>
      </c>
      <c r="JT17" s="227"/>
      <c r="JU17" s="228"/>
      <c r="JV17" s="222" t="s">
        <v>450</v>
      </c>
      <c r="JW17" s="222" t="s">
        <v>437</v>
      </c>
      <c r="JX17" s="225" t="s">
        <v>438</v>
      </c>
      <c r="JY17" s="225" t="s">
        <v>812</v>
      </c>
      <c r="JZ17" s="222"/>
      <c r="KA17" s="222"/>
      <c r="KB17" s="222"/>
      <c r="KC17" s="222"/>
      <c r="KD17" s="228"/>
      <c r="KE17" s="222"/>
      <c r="KF17" s="222" t="s">
        <v>439</v>
      </c>
      <c r="KG17" s="222" t="s">
        <v>440</v>
      </c>
      <c r="KH17" s="222" t="s">
        <v>447</v>
      </c>
      <c r="KI17" s="222" t="s">
        <v>441</v>
      </c>
      <c r="KJ17" s="225" t="s">
        <v>444</v>
      </c>
      <c r="KK17" s="222" t="s">
        <v>445</v>
      </c>
      <c r="KL17" s="229" t="s">
        <v>490</v>
      </c>
      <c r="KM17" s="222" t="s">
        <v>78</v>
      </c>
      <c r="KN17" s="225" t="s">
        <v>443</v>
      </c>
      <c r="KO17" s="222"/>
      <c r="KP17" s="222">
        <v>123456</v>
      </c>
      <c r="KQ17" s="222">
        <v>123456</v>
      </c>
      <c r="KR17" s="222">
        <v>11</v>
      </c>
      <c r="KS17" s="222" t="s">
        <v>446</v>
      </c>
      <c r="KT17" s="222">
        <v>2037</v>
      </c>
      <c r="KU17" s="222" t="s">
        <v>448</v>
      </c>
      <c r="KV17" s="225" t="s">
        <v>532</v>
      </c>
      <c r="KW17" s="225" t="s">
        <v>532</v>
      </c>
      <c r="KX17" s="225" t="s">
        <v>1113</v>
      </c>
      <c r="KY17" s="225" t="s">
        <v>1113</v>
      </c>
      <c r="KZ17" s="222" t="s">
        <v>449</v>
      </c>
      <c r="LA17" s="222" t="s">
        <v>533</v>
      </c>
      <c r="LB17" s="222" t="s">
        <v>533</v>
      </c>
      <c r="LC17" s="225" t="s">
        <v>518</v>
      </c>
      <c r="LD17" s="225" t="s">
        <v>535</v>
      </c>
      <c r="LE17" s="225"/>
      <c r="LF17" s="225"/>
      <c r="LG17" s="222"/>
      <c r="LH17" s="222" t="s">
        <v>441</v>
      </c>
      <c r="LI17" s="222">
        <v>108</v>
      </c>
      <c r="LJ17" s="222">
        <v>10</v>
      </c>
      <c r="LK17" s="222">
        <v>2021</v>
      </c>
      <c r="LL17" s="225" t="s">
        <v>452</v>
      </c>
      <c r="LM17" s="225" t="s">
        <v>522</v>
      </c>
      <c r="LN17" s="225"/>
      <c r="LO17" s="225"/>
      <c r="LP17" s="225"/>
      <c r="LQ17" s="222"/>
      <c r="LR17" s="225" t="s">
        <v>451</v>
      </c>
      <c r="LS17" s="225" t="s">
        <v>452</v>
      </c>
      <c r="LT17" s="230" t="s">
        <v>1431</v>
      </c>
      <c r="LU17" s="222"/>
      <c r="LV17" s="225" t="s">
        <v>1432</v>
      </c>
      <c r="LW17" s="225">
        <v>456</v>
      </c>
      <c r="LX17" s="222" t="s">
        <v>58</v>
      </c>
      <c r="LY17" s="224" t="s">
        <v>351</v>
      </c>
      <c r="LZ17" s="222" t="s">
        <v>22</v>
      </c>
    </row>
    <row r="18" spans="1:16181" s="168" customFormat="1" ht="15" customHeight="1" x14ac:dyDescent="0.25">
      <c r="A18" s="170"/>
      <c r="B18" s="240">
        <v>15</v>
      </c>
      <c r="C18" s="238" t="s">
        <v>310</v>
      </c>
      <c r="D18" s="242" t="s">
        <v>1120</v>
      </c>
      <c r="E18" s="225" t="s">
        <v>1116</v>
      </c>
      <c r="F18" s="223" t="str">
        <f>HYPERLINK("\\gdc-data\Team\Test Team\!Testing Details\Automation\Vikram\Vikram\SALT Automation Phase 2 - BACKUP\Projects\SALT\Snapshots\HappyPath_SingleProduct_AUS_IN-MU-LT-J27180\2014710\21833\Iterator_15\HappyPath_SingleProduct_AUS15.xlsx","Snapshot")</f>
        <v>Snapshot</v>
      </c>
      <c r="G18" s="223" t="str">
        <f>HYPERLINK("\\gdc-data\Team\Test Team\!Testing Details\Automation\Vikram\Vikram\SALT Automation Phase 2 - BACKUP\Projects\SALT\Snapshots\HappyPath_SingleProduct_AUS_IN-MU-LT-J27180\2014710\21833\Iterator_15\Merge.html","Result")</f>
        <v>Result</v>
      </c>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c r="BK18" s="127"/>
      <c r="BL18" s="127"/>
      <c r="BM18" s="127"/>
      <c r="BN18" s="127"/>
      <c r="BO18" s="127"/>
      <c r="BP18" s="127"/>
      <c r="BQ18" s="127"/>
      <c r="BR18" s="127"/>
      <c r="BS18" s="127"/>
      <c r="BT18" s="127"/>
      <c r="BU18" s="127"/>
      <c r="BV18" s="127"/>
      <c r="BW18" s="127"/>
      <c r="BX18" s="127"/>
      <c r="BY18" s="127"/>
      <c r="BZ18" s="127"/>
      <c r="CA18" s="127"/>
      <c r="CB18" s="127"/>
      <c r="CC18" s="127"/>
      <c r="CD18" s="127"/>
      <c r="CE18" s="127"/>
      <c r="CF18" s="127"/>
      <c r="CG18" s="127"/>
      <c r="CH18" s="127"/>
      <c r="CI18" s="127"/>
      <c r="CJ18" s="136">
        <v>41758.008622685185</v>
      </c>
      <c r="CK18" s="127" t="s">
        <v>834</v>
      </c>
      <c r="CL18" s="137"/>
      <c r="CM18" s="137"/>
      <c r="CN18" s="127"/>
      <c r="CO18" s="127"/>
      <c r="CP18" s="127"/>
      <c r="CQ18" s="127"/>
      <c r="CR18" s="127"/>
      <c r="CS18" s="127"/>
      <c r="CT18" s="127"/>
      <c r="CU18" s="127"/>
      <c r="CV18" s="127"/>
      <c r="CW18" s="127"/>
      <c r="CX18" s="127"/>
      <c r="CY18" s="127"/>
      <c r="CZ18" s="127"/>
      <c r="DA18" s="127"/>
      <c r="DB18" s="127"/>
      <c r="DC18" s="127"/>
      <c r="DD18" s="127"/>
      <c r="DE18" s="127"/>
      <c r="DF18" s="127"/>
      <c r="DG18" s="127"/>
      <c r="DH18" s="127"/>
      <c r="DI18" s="127"/>
      <c r="DJ18" s="127"/>
      <c r="DK18" s="127"/>
      <c r="DL18" s="127"/>
      <c r="DM18" s="127"/>
      <c r="DN18" s="127"/>
      <c r="DO18" s="127"/>
      <c r="DP18" s="127"/>
      <c r="DQ18" s="127"/>
      <c r="DR18" s="127"/>
      <c r="DS18" s="127"/>
      <c r="DT18" s="127"/>
      <c r="DU18" s="127"/>
      <c r="DV18" s="127"/>
      <c r="DW18" s="127"/>
      <c r="DX18" s="127"/>
      <c r="DY18" s="127"/>
      <c r="DZ18" s="127"/>
      <c r="EA18" s="127"/>
      <c r="EB18" s="127"/>
      <c r="EC18" s="127"/>
      <c r="ED18" s="127"/>
      <c r="EE18" s="127"/>
      <c r="EF18" s="127"/>
      <c r="EG18" s="127"/>
      <c r="EH18" s="127"/>
      <c r="EI18" s="127"/>
      <c r="EJ18" s="137"/>
      <c r="EK18" s="137"/>
      <c r="EM18" s="137"/>
      <c r="EN18" s="137"/>
      <c r="EV18" s="25" t="s">
        <v>351</v>
      </c>
      <c r="HB18" s="127"/>
      <c r="HC18" s="127"/>
      <c r="HD18" s="127"/>
      <c r="HE18" s="127"/>
      <c r="HF18" s="127"/>
      <c r="HG18" s="127"/>
      <c r="HH18" s="127"/>
      <c r="HI18" s="127"/>
      <c r="HJ18" s="127"/>
      <c r="HK18" s="127"/>
      <c r="HL18" s="127"/>
      <c r="HM18" s="127"/>
      <c r="HN18" s="127"/>
      <c r="HO18" s="127"/>
      <c r="HP18" s="127"/>
      <c r="HQ18" s="127"/>
      <c r="HR18" s="127"/>
      <c r="HS18" s="127"/>
      <c r="HT18" s="127"/>
      <c r="HU18" s="127"/>
      <c r="HV18" s="127"/>
      <c r="HW18" s="136">
        <v>41758.004293981481</v>
      </c>
      <c r="HX18" s="127"/>
      <c r="HY18" s="127"/>
      <c r="HZ18" s="127"/>
      <c r="IA18" s="127"/>
      <c r="IB18" s="127"/>
      <c r="IC18" s="127"/>
      <c r="ID18" s="127"/>
      <c r="IE18" s="127">
        <v>500</v>
      </c>
      <c r="IF18" s="127">
        <v>477.33</v>
      </c>
      <c r="IG18" s="127"/>
      <c r="IH18" s="135" t="s">
        <v>720</v>
      </c>
      <c r="II18" s="127"/>
      <c r="IJ18" s="127"/>
      <c r="IK18" s="128" t="s">
        <v>522</v>
      </c>
      <c r="IL18" s="127"/>
      <c r="IM18" s="128" t="s">
        <v>807</v>
      </c>
      <c r="IN18" s="127"/>
      <c r="IO18" s="127"/>
      <c r="IP18" s="127"/>
      <c r="IQ18" s="127"/>
      <c r="IR18" s="137"/>
      <c r="IS18" s="137"/>
      <c r="IT18" s="127"/>
      <c r="IU18" s="127"/>
      <c r="IV18" s="127"/>
      <c r="IW18" s="136">
        <v>41830.880937499998</v>
      </c>
      <c r="IX18" s="136">
        <v>41830.885196759256</v>
      </c>
      <c r="IY18" s="127" t="s">
        <v>1124</v>
      </c>
      <c r="IZ18" s="127" t="s">
        <v>1062</v>
      </c>
      <c r="JA18" s="127"/>
      <c r="JB18" s="127"/>
      <c r="JC18" s="127"/>
      <c r="JD18" s="127"/>
      <c r="JE18" s="127"/>
      <c r="JF18" s="127"/>
      <c r="JG18" s="127"/>
      <c r="JH18" s="127"/>
      <c r="JI18" s="127" t="s">
        <v>22</v>
      </c>
      <c r="JJ18" s="127"/>
      <c r="JK18" s="127"/>
      <c r="JL18" s="127"/>
      <c r="JM18" s="127"/>
      <c r="JN18" s="169"/>
      <c r="JO18" s="127"/>
      <c r="JP18" s="225" t="s">
        <v>531</v>
      </c>
      <c r="JQ18" s="225" t="s">
        <v>74</v>
      </c>
      <c r="JR18" s="226"/>
      <c r="JS18" s="222">
        <v>1000</v>
      </c>
      <c r="JT18" s="222"/>
      <c r="JU18" s="228"/>
      <c r="JV18" s="222" t="s">
        <v>450</v>
      </c>
      <c r="JW18" s="222" t="s">
        <v>437</v>
      </c>
      <c r="JX18" s="225" t="s">
        <v>438</v>
      </c>
      <c r="JY18" s="225" t="s">
        <v>812</v>
      </c>
      <c r="JZ18" s="222"/>
      <c r="KA18" s="222"/>
      <c r="KB18" s="222"/>
      <c r="KC18" s="222"/>
      <c r="KD18" s="222"/>
      <c r="KE18" s="222"/>
      <c r="KF18" s="222" t="s">
        <v>439</v>
      </c>
      <c r="KG18" s="222" t="s">
        <v>440</v>
      </c>
      <c r="KH18" s="222" t="s">
        <v>447</v>
      </c>
      <c r="KI18" s="222" t="s">
        <v>441</v>
      </c>
      <c r="KJ18" s="225" t="s">
        <v>444</v>
      </c>
      <c r="KK18" s="222" t="s">
        <v>445</v>
      </c>
      <c r="KL18" s="229" t="s">
        <v>490</v>
      </c>
      <c r="KM18" s="222" t="s">
        <v>78</v>
      </c>
      <c r="KN18" s="225" t="s">
        <v>443</v>
      </c>
      <c r="KO18" s="222"/>
      <c r="KP18" s="222">
        <v>123456</v>
      </c>
      <c r="KQ18" s="222">
        <v>123456</v>
      </c>
      <c r="KR18" s="222">
        <v>11</v>
      </c>
      <c r="KS18" s="222" t="s">
        <v>446</v>
      </c>
      <c r="KT18" s="222">
        <v>2037</v>
      </c>
      <c r="KU18" s="222" t="s">
        <v>448</v>
      </c>
      <c r="KV18" s="225" t="s">
        <v>532</v>
      </c>
      <c r="KW18" s="225" t="s">
        <v>532</v>
      </c>
      <c r="KX18" s="225" t="s">
        <v>1113</v>
      </c>
      <c r="KY18" s="225" t="s">
        <v>1113</v>
      </c>
      <c r="KZ18" s="222" t="s">
        <v>449</v>
      </c>
      <c r="LA18" s="222" t="s">
        <v>533</v>
      </c>
      <c r="LB18" s="222" t="s">
        <v>533</v>
      </c>
      <c r="LC18" s="225" t="s">
        <v>518</v>
      </c>
      <c r="LD18" s="225" t="s">
        <v>1019</v>
      </c>
      <c r="LE18" s="225"/>
      <c r="LF18" s="225"/>
      <c r="LG18" s="222"/>
      <c r="LH18" s="222" t="s">
        <v>441</v>
      </c>
      <c r="LI18" s="222">
        <v>108</v>
      </c>
      <c r="LJ18" s="222">
        <v>10</v>
      </c>
      <c r="LK18" s="222">
        <v>2021</v>
      </c>
      <c r="LL18" s="225" t="s">
        <v>452</v>
      </c>
      <c r="LM18" s="225" t="s">
        <v>522</v>
      </c>
      <c r="LN18" s="222"/>
      <c r="LO18" s="222"/>
      <c r="LP18" s="222"/>
      <c r="LQ18" s="222"/>
      <c r="LR18" s="225" t="s">
        <v>451</v>
      </c>
      <c r="LS18" s="225" t="s">
        <v>452</v>
      </c>
      <c r="LT18" s="231">
        <v>967.23</v>
      </c>
      <c r="LU18" s="222"/>
      <c r="LV18" s="222" t="s">
        <v>1437</v>
      </c>
      <c r="LW18" s="225">
        <v>456</v>
      </c>
      <c r="LX18" s="222" t="s">
        <v>58</v>
      </c>
      <c r="LY18" s="224" t="s">
        <v>351</v>
      </c>
      <c r="LZ18" s="222" t="s">
        <v>22</v>
      </c>
    </row>
    <row r="19" spans="1:16181" s="168" customFormat="1" ht="15" customHeight="1" x14ac:dyDescent="0.25">
      <c r="A19" s="170"/>
      <c r="B19" s="220">
        <v>16</v>
      </c>
      <c r="C19" s="221" t="s">
        <v>310</v>
      </c>
      <c r="D19" s="222" t="s">
        <v>1120</v>
      </c>
      <c r="E19" s="222" t="s">
        <v>1116</v>
      </c>
      <c r="F19" s="223" t="str">
        <f>HYPERLINK("\\gdc-data\Team\Test Team\!Testing Details\Automation\Vikram\Vikram\SALT Automation Phase 2 - BACKUP\Projects\SALT\Snapshots\HappyPath_SingleProduct_AUS_IN-MU-LT-J27180\2014710\211448\Iterator_16\HappyPath_SingleProduct_AUS16.xlsx","Snapshot")</f>
        <v>Snapshot</v>
      </c>
      <c r="G19" s="223" t="str">
        <f>HYPERLINK("\\gdc-data\Team\Test Team\!Testing Details\Automation\Vikram\Vikram\SALT Automation Phase 2 - BACKUP\Projects\SALT\Snapshots\HappyPath_SingleProduct_AUS_IN-MU-LT-J27180\2014710\211448\Iterator_16\Merge.html","Result")</f>
        <v>Result</v>
      </c>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c r="BK19" s="127"/>
      <c r="BL19" s="127"/>
      <c r="BM19" s="127"/>
      <c r="BN19" s="127"/>
      <c r="BO19" s="127"/>
      <c r="BP19" s="127"/>
      <c r="BQ19" s="127"/>
      <c r="BR19" s="127"/>
      <c r="BS19" s="127"/>
      <c r="BT19" s="127"/>
      <c r="BU19" s="127"/>
      <c r="BV19" s="127"/>
      <c r="BW19" s="127"/>
      <c r="BX19" s="127"/>
      <c r="BY19" s="127"/>
      <c r="BZ19" s="127"/>
      <c r="CA19" s="127"/>
      <c r="CB19" s="127"/>
      <c r="CC19" s="127"/>
      <c r="CD19" s="127"/>
      <c r="CE19" s="127"/>
      <c r="CF19" s="127"/>
      <c r="CG19" s="127"/>
      <c r="CH19" s="127"/>
      <c r="CI19" s="127"/>
      <c r="CJ19" s="136">
        <v>41758.013009259259</v>
      </c>
      <c r="CK19" s="127" t="s">
        <v>992</v>
      </c>
      <c r="CL19" s="137"/>
      <c r="CM19" s="137"/>
      <c r="CN19" s="127"/>
      <c r="CO19" s="127"/>
      <c r="CP19" s="127"/>
      <c r="CQ19" s="127"/>
      <c r="CR19" s="127"/>
      <c r="CS19" s="127"/>
      <c r="CT19" s="127"/>
      <c r="CU19" s="127"/>
      <c r="CV19" s="127"/>
      <c r="CW19" s="127"/>
      <c r="CX19" s="127"/>
      <c r="CY19" s="127"/>
      <c r="CZ19" s="127"/>
      <c r="DA19" s="127"/>
      <c r="DB19" s="127"/>
      <c r="DC19" s="127"/>
      <c r="DD19" s="127"/>
      <c r="DE19" s="127"/>
      <c r="DF19" s="127"/>
      <c r="DG19" s="127"/>
      <c r="DH19" s="127"/>
      <c r="DI19" s="127"/>
      <c r="DJ19" s="127"/>
      <c r="DK19" s="127"/>
      <c r="DL19" s="127"/>
      <c r="DM19" s="127"/>
      <c r="DN19" s="127"/>
      <c r="DO19" s="127"/>
      <c r="DP19" s="127"/>
      <c r="DQ19" s="127"/>
      <c r="DR19" s="127"/>
      <c r="DS19" s="127"/>
      <c r="DT19" s="127"/>
      <c r="DU19" s="127"/>
      <c r="DV19" s="127"/>
      <c r="DW19" s="127"/>
      <c r="DX19" s="127"/>
      <c r="DY19" s="127"/>
      <c r="DZ19" s="127"/>
      <c r="EA19" s="127"/>
      <c r="EB19" s="127"/>
      <c r="EC19" s="127"/>
      <c r="ED19" s="127"/>
      <c r="EE19" s="127"/>
      <c r="EF19" s="127"/>
      <c r="EG19" s="127"/>
      <c r="EH19" s="127"/>
      <c r="EI19" s="127"/>
      <c r="EJ19" s="137"/>
      <c r="EK19" s="137"/>
      <c r="EM19" s="137"/>
      <c r="EN19" s="137"/>
      <c r="EV19" s="25" t="s">
        <v>351</v>
      </c>
      <c r="HB19" s="127"/>
      <c r="HC19" s="127"/>
      <c r="HD19" s="127"/>
      <c r="HE19" s="127"/>
      <c r="HF19" s="127"/>
      <c r="HG19" s="127"/>
      <c r="HH19" s="127"/>
      <c r="HI19" s="127"/>
      <c r="HJ19" s="127"/>
      <c r="HK19" s="127"/>
      <c r="HL19" s="127"/>
      <c r="HM19" s="127"/>
      <c r="HN19" s="127"/>
      <c r="HO19" s="127"/>
      <c r="HP19" s="127"/>
      <c r="HQ19" s="127"/>
      <c r="HR19" s="127"/>
      <c r="HS19" s="127"/>
      <c r="HT19" s="127"/>
      <c r="HU19" s="127"/>
      <c r="HV19" s="127"/>
      <c r="HW19" s="136">
        <v>41758.008657407408</v>
      </c>
      <c r="HX19" s="127"/>
      <c r="HY19" s="127"/>
      <c r="HZ19" s="127"/>
      <c r="IA19" s="127"/>
      <c r="IB19" s="127"/>
      <c r="IC19" s="127"/>
      <c r="ID19" s="127"/>
      <c r="IE19" s="127"/>
      <c r="IF19" s="127"/>
      <c r="IG19" s="127"/>
      <c r="IH19" s="135" t="s">
        <v>720</v>
      </c>
      <c r="II19" s="127"/>
      <c r="IJ19" s="127"/>
      <c r="IK19" s="128" t="s">
        <v>522</v>
      </c>
      <c r="IL19" s="127"/>
      <c r="IM19" s="128" t="s">
        <v>74</v>
      </c>
      <c r="IN19" s="127"/>
      <c r="IO19" s="127"/>
      <c r="IP19" s="127"/>
      <c r="IQ19" s="127"/>
      <c r="IR19" s="137"/>
      <c r="IS19" s="137"/>
      <c r="IT19" s="127"/>
      <c r="IU19" s="127"/>
      <c r="IV19" s="127"/>
      <c r="IW19" s="136">
        <v>41830.885277777779</v>
      </c>
      <c r="IX19" s="136">
        <v>41830.889444444445</v>
      </c>
      <c r="IY19" s="127" t="s">
        <v>1142</v>
      </c>
      <c r="IZ19" s="127" t="s">
        <v>1062</v>
      </c>
      <c r="JA19" s="127"/>
      <c r="JB19" s="127"/>
      <c r="JC19" s="127"/>
      <c r="JD19" s="127"/>
      <c r="JE19" s="127"/>
      <c r="JF19" s="127"/>
      <c r="JG19" s="127"/>
      <c r="JH19" s="127"/>
      <c r="JI19" s="127" t="s">
        <v>22</v>
      </c>
      <c r="JJ19" s="127"/>
      <c r="JK19" s="127"/>
      <c r="JL19" s="127"/>
      <c r="JM19" s="127"/>
      <c r="JN19" s="169"/>
      <c r="JO19" s="127"/>
      <c r="JP19" s="225" t="s">
        <v>531</v>
      </c>
      <c r="JQ19" s="225" t="s">
        <v>69</v>
      </c>
      <c r="JR19" s="226"/>
      <c r="JS19" s="222">
        <v>800</v>
      </c>
      <c r="JT19" s="222"/>
      <c r="JU19" s="228"/>
      <c r="JV19" s="222" t="s">
        <v>450</v>
      </c>
      <c r="JW19" s="222" t="s">
        <v>437</v>
      </c>
      <c r="JX19" s="225" t="s">
        <v>438</v>
      </c>
      <c r="JY19" s="225" t="s">
        <v>812</v>
      </c>
      <c r="JZ19" s="222"/>
      <c r="KA19" s="222"/>
      <c r="KB19" s="222"/>
      <c r="KC19" s="222"/>
      <c r="KD19" s="228"/>
      <c r="KE19" s="222"/>
      <c r="KF19" s="222" t="s">
        <v>439</v>
      </c>
      <c r="KG19" s="222" t="s">
        <v>440</v>
      </c>
      <c r="KH19" s="222" t="s">
        <v>447</v>
      </c>
      <c r="KI19" s="222" t="s">
        <v>441</v>
      </c>
      <c r="KJ19" s="225" t="s">
        <v>444</v>
      </c>
      <c r="KK19" s="222" t="s">
        <v>445</v>
      </c>
      <c r="KL19" s="229" t="s">
        <v>490</v>
      </c>
      <c r="KM19" s="222" t="s">
        <v>78</v>
      </c>
      <c r="KN19" s="225" t="s">
        <v>443</v>
      </c>
      <c r="KO19" s="222"/>
      <c r="KP19" s="222">
        <v>123456</v>
      </c>
      <c r="KQ19" s="222">
        <v>123456</v>
      </c>
      <c r="KR19" s="222">
        <v>11</v>
      </c>
      <c r="KS19" s="222" t="s">
        <v>446</v>
      </c>
      <c r="KT19" s="222">
        <v>2037</v>
      </c>
      <c r="KU19" s="222" t="s">
        <v>448</v>
      </c>
      <c r="KV19" s="225" t="s">
        <v>532</v>
      </c>
      <c r="KW19" s="225" t="s">
        <v>532</v>
      </c>
      <c r="KX19" s="225" t="s">
        <v>1113</v>
      </c>
      <c r="KY19" s="225" t="s">
        <v>1113</v>
      </c>
      <c r="KZ19" s="222" t="s">
        <v>449</v>
      </c>
      <c r="LA19" s="222" t="s">
        <v>533</v>
      </c>
      <c r="LB19" s="222" t="s">
        <v>533</v>
      </c>
      <c r="LC19" s="225" t="s">
        <v>518</v>
      </c>
      <c r="LD19" s="225" t="s">
        <v>1019</v>
      </c>
      <c r="LE19" s="225"/>
      <c r="LF19" s="225"/>
      <c r="LG19" s="222"/>
      <c r="LH19" s="222" t="s">
        <v>441</v>
      </c>
      <c r="LI19" s="222">
        <v>108</v>
      </c>
      <c r="LJ19" s="222">
        <v>10</v>
      </c>
      <c r="LK19" s="222">
        <v>2021</v>
      </c>
      <c r="LL19" s="225" t="s">
        <v>452</v>
      </c>
      <c r="LM19" s="225" t="s">
        <v>522</v>
      </c>
      <c r="LN19" s="222"/>
      <c r="LO19" s="222"/>
      <c r="LP19" s="222"/>
      <c r="LQ19" s="222"/>
      <c r="LR19" s="225" t="s">
        <v>451</v>
      </c>
      <c r="LS19" s="225" t="s">
        <v>452</v>
      </c>
      <c r="LT19" s="228">
        <v>817.99</v>
      </c>
      <c r="LU19" s="222"/>
      <c r="LV19" s="222" t="s">
        <v>1438</v>
      </c>
      <c r="LW19" s="225">
        <v>456</v>
      </c>
      <c r="LX19" s="222" t="s">
        <v>58</v>
      </c>
      <c r="LY19" s="224" t="s">
        <v>351</v>
      </c>
      <c r="LZ19" s="222" t="s">
        <v>22</v>
      </c>
    </row>
    <row r="20" spans="1:16181" s="168" customFormat="1" ht="15" customHeight="1" x14ac:dyDescent="0.25">
      <c r="A20" s="170"/>
      <c r="B20" s="220">
        <v>17</v>
      </c>
      <c r="C20" s="221" t="s">
        <v>310</v>
      </c>
      <c r="D20" s="222" t="s">
        <v>1120</v>
      </c>
      <c r="E20" s="225" t="s">
        <v>1116</v>
      </c>
      <c r="F20" s="223" t="str">
        <f>HYPERLINK("\\gdc-data\Team\Test Team\!Testing Details\Automation\Vikram\Vikram\SALT Automation Phase 2 - BACKUP\Projects\SALT\Snapshots\HappyPath_SingleProduct_AUS_IN-MU-LT-J27180\2014710\21210\Iterator_17\HappyPath_SingleProduct_AUS17.xlsx","Snapshot")</f>
        <v>Snapshot</v>
      </c>
      <c r="G20" s="223" t="str">
        <f>HYPERLINK("\\gdc-data\Team\Test Team\!Testing Details\Automation\Vikram\Vikram\SALT Automation Phase 2 - BACKUP\Projects\SALT\Snapshots\HappyPath_SingleProduct_AUS_IN-MU-LT-J27180\2014710\21210\Iterator_17\Merge.html","Result")</f>
        <v>Result</v>
      </c>
      <c r="H20" s="127"/>
      <c r="I20" s="127"/>
      <c r="J20" s="127"/>
      <c r="K20" s="127"/>
      <c r="L20" s="127"/>
      <c r="M20" s="127" t="s">
        <v>446</v>
      </c>
      <c r="N20" s="127">
        <v>10</v>
      </c>
      <c r="O20" s="127">
        <v>1988</v>
      </c>
      <c r="P20" s="127"/>
      <c r="Q20" s="127" t="s">
        <v>446</v>
      </c>
      <c r="R20" s="127">
        <v>10</v>
      </c>
      <c r="S20" s="127">
        <v>2029</v>
      </c>
      <c r="T20" s="127"/>
      <c r="U20" s="128" t="s">
        <v>522</v>
      </c>
      <c r="V20" s="127">
        <v>10</v>
      </c>
      <c r="W20" s="127">
        <v>2021</v>
      </c>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8" t="s">
        <v>534</v>
      </c>
      <c r="BE20" s="127"/>
      <c r="BF20" s="127"/>
      <c r="BG20" s="127"/>
      <c r="BH20" s="127"/>
      <c r="BI20" s="127"/>
      <c r="BJ20" s="127"/>
      <c r="BK20" s="127"/>
      <c r="BL20" s="127"/>
      <c r="BM20" s="127"/>
      <c r="BN20" s="127"/>
      <c r="BO20" s="127"/>
      <c r="BP20" s="127"/>
      <c r="BQ20" s="127"/>
      <c r="BR20" s="127"/>
      <c r="BS20" s="127"/>
      <c r="BT20" s="127"/>
      <c r="BU20" s="127"/>
      <c r="BV20" s="127"/>
      <c r="BW20" s="127"/>
      <c r="BX20" s="127"/>
      <c r="BY20" s="127"/>
      <c r="BZ20" s="127"/>
      <c r="CA20" s="127"/>
      <c r="CB20" s="127"/>
      <c r="CC20" s="127"/>
      <c r="CD20" s="127"/>
      <c r="CE20" s="127"/>
      <c r="CF20" s="127"/>
      <c r="CG20" s="127"/>
      <c r="CH20" s="127"/>
      <c r="CI20" s="127"/>
      <c r="CJ20" s="136">
        <v>41758.017523148148</v>
      </c>
      <c r="CK20" s="127" t="s">
        <v>994</v>
      </c>
      <c r="CL20" s="127"/>
      <c r="CM20" s="127"/>
      <c r="CN20" s="127"/>
      <c r="CO20" s="127"/>
      <c r="CP20" s="127"/>
      <c r="CQ20" s="127"/>
      <c r="CR20" s="127"/>
      <c r="CS20" s="127"/>
      <c r="CT20" s="127"/>
      <c r="CU20" s="127"/>
      <c r="CV20" s="127"/>
      <c r="CW20" s="127"/>
      <c r="CX20" s="127"/>
      <c r="CY20" s="127"/>
      <c r="CZ20" s="127"/>
      <c r="DA20" s="127"/>
      <c r="DB20" s="127"/>
      <c r="DC20" s="127"/>
      <c r="DD20" s="127"/>
      <c r="DE20" s="127"/>
      <c r="DF20" s="127"/>
      <c r="DG20" s="127"/>
      <c r="DH20" s="127"/>
      <c r="DI20" s="127"/>
      <c r="DJ20" s="127"/>
      <c r="DK20" s="127"/>
      <c r="DL20" s="127"/>
      <c r="DM20" s="127"/>
      <c r="DN20" s="127"/>
      <c r="DO20" s="127"/>
      <c r="DP20" s="127"/>
      <c r="DQ20" s="127"/>
      <c r="DR20" s="127"/>
      <c r="DS20" s="127"/>
      <c r="DT20" s="127"/>
      <c r="DU20" s="127"/>
      <c r="DV20" s="127"/>
      <c r="DW20" s="127"/>
      <c r="DX20" s="127"/>
      <c r="DY20" s="127"/>
      <c r="DZ20" s="127"/>
      <c r="EA20" s="127"/>
      <c r="EB20" s="127"/>
      <c r="EC20" s="127"/>
      <c r="ED20" s="127"/>
      <c r="EE20" s="127"/>
      <c r="EF20" s="127"/>
      <c r="EG20" s="127"/>
      <c r="EH20" s="127"/>
      <c r="EI20" s="127"/>
      <c r="EJ20" s="127"/>
      <c r="EK20" s="127"/>
      <c r="EM20" s="127"/>
      <c r="EN20" s="127"/>
      <c r="EV20" s="25" t="s">
        <v>351</v>
      </c>
      <c r="HB20" s="127"/>
      <c r="HC20" s="127"/>
      <c r="HD20" s="127"/>
      <c r="HE20" s="127"/>
      <c r="HF20" s="127"/>
      <c r="HG20" s="127"/>
      <c r="HH20" s="127"/>
      <c r="HI20" s="127"/>
      <c r="HJ20" s="127"/>
      <c r="HK20" s="127"/>
      <c r="HL20" s="127"/>
      <c r="HM20" s="127"/>
      <c r="HN20" s="127"/>
      <c r="HO20" s="127"/>
      <c r="HP20" s="127"/>
      <c r="HQ20" s="127"/>
      <c r="HR20" s="127"/>
      <c r="HS20" s="127"/>
      <c r="HT20" s="127"/>
      <c r="HU20" s="127"/>
      <c r="HV20" s="127"/>
      <c r="HW20" s="136">
        <v>41758.013055555559</v>
      </c>
      <c r="HX20" s="127"/>
      <c r="HY20" s="127"/>
      <c r="HZ20" s="127"/>
      <c r="IA20" s="127"/>
      <c r="IB20" s="127"/>
      <c r="IC20" s="127"/>
      <c r="ID20" s="127"/>
      <c r="IE20" s="127">
        <v>440</v>
      </c>
      <c r="IF20" s="110">
        <v>703.44</v>
      </c>
      <c r="IG20" s="20"/>
      <c r="IH20" s="135" t="s">
        <v>720</v>
      </c>
      <c r="II20" s="127"/>
      <c r="IJ20" s="127"/>
      <c r="IK20" s="128" t="s">
        <v>522</v>
      </c>
      <c r="IL20" s="127"/>
      <c r="IM20" s="128" t="s">
        <v>74</v>
      </c>
      <c r="IN20" s="127"/>
      <c r="IO20" s="127"/>
      <c r="IP20" s="127"/>
      <c r="IQ20" s="127"/>
      <c r="IR20" s="127"/>
      <c r="IS20" s="127"/>
      <c r="IT20" s="127"/>
      <c r="IU20" s="127"/>
      <c r="IV20" s="127"/>
      <c r="IW20" s="136">
        <v>41830.889594907407</v>
      </c>
      <c r="IX20" s="136">
        <v>41830.894212962965</v>
      </c>
      <c r="IY20" s="127" t="s">
        <v>1144</v>
      </c>
      <c r="IZ20" s="127" t="s">
        <v>1062</v>
      </c>
      <c r="JA20" s="127"/>
      <c r="JB20" s="127"/>
      <c r="JC20" s="127"/>
      <c r="JD20" s="127"/>
      <c r="JE20" s="127"/>
      <c r="JF20" s="127"/>
      <c r="JG20" s="127"/>
      <c r="JH20" s="127"/>
      <c r="JI20" s="127" t="s">
        <v>22</v>
      </c>
      <c r="JJ20" s="127"/>
      <c r="JK20" s="127"/>
      <c r="JL20" s="127"/>
      <c r="JM20" s="127"/>
      <c r="JN20" s="169"/>
      <c r="JO20" s="127"/>
      <c r="JP20" s="225" t="s">
        <v>531</v>
      </c>
      <c r="JQ20" s="225" t="s">
        <v>473</v>
      </c>
      <c r="JR20" s="226"/>
      <c r="JS20" s="222">
        <v>900</v>
      </c>
      <c r="JT20" s="222"/>
      <c r="JU20" s="228"/>
      <c r="JV20" s="222" t="s">
        <v>450</v>
      </c>
      <c r="JW20" s="222" t="s">
        <v>437</v>
      </c>
      <c r="JX20" s="225" t="s">
        <v>438</v>
      </c>
      <c r="JY20" s="225" t="s">
        <v>812</v>
      </c>
      <c r="JZ20" s="222"/>
      <c r="KA20" s="222"/>
      <c r="KB20" s="222"/>
      <c r="KC20" s="222"/>
      <c r="KD20" s="228"/>
      <c r="KE20" s="222"/>
      <c r="KF20" s="222" t="s">
        <v>439</v>
      </c>
      <c r="KG20" s="222" t="s">
        <v>479</v>
      </c>
      <c r="KH20" s="222" t="s">
        <v>447</v>
      </c>
      <c r="KI20" s="222" t="s">
        <v>480</v>
      </c>
      <c r="KJ20" s="225" t="s">
        <v>444</v>
      </c>
      <c r="KK20" s="222" t="s">
        <v>445</v>
      </c>
      <c r="KL20" s="229" t="s">
        <v>487</v>
      </c>
      <c r="KM20" s="222" t="s">
        <v>78</v>
      </c>
      <c r="KN20" s="225" t="s">
        <v>443</v>
      </c>
      <c r="KO20" s="222"/>
      <c r="KP20" s="222">
        <v>123456</v>
      </c>
      <c r="KQ20" s="222">
        <v>123456</v>
      </c>
      <c r="KR20" s="222">
        <v>11</v>
      </c>
      <c r="KS20" s="222" t="s">
        <v>446</v>
      </c>
      <c r="KT20" s="222">
        <v>2037</v>
      </c>
      <c r="KU20" s="222" t="s">
        <v>448</v>
      </c>
      <c r="KV20" s="225" t="s">
        <v>532</v>
      </c>
      <c r="KW20" s="225" t="s">
        <v>532</v>
      </c>
      <c r="KX20" s="225" t="s">
        <v>1113</v>
      </c>
      <c r="KY20" s="225" t="s">
        <v>1113</v>
      </c>
      <c r="KZ20" s="222" t="s">
        <v>449</v>
      </c>
      <c r="LA20" s="222" t="s">
        <v>533</v>
      </c>
      <c r="LB20" s="222" t="s">
        <v>533</v>
      </c>
      <c r="LC20" s="225" t="s">
        <v>518</v>
      </c>
      <c r="LD20" s="225" t="s">
        <v>1019</v>
      </c>
      <c r="LE20" s="225"/>
      <c r="LF20" s="225"/>
      <c r="LG20" s="222"/>
      <c r="LH20" s="222" t="s">
        <v>441</v>
      </c>
      <c r="LI20" s="222">
        <v>108</v>
      </c>
      <c r="LJ20" s="222">
        <v>10</v>
      </c>
      <c r="LK20" s="222">
        <v>2021</v>
      </c>
      <c r="LL20" s="225" t="s">
        <v>452</v>
      </c>
      <c r="LM20" s="225" t="s">
        <v>522</v>
      </c>
      <c r="LN20" s="225"/>
      <c r="LO20" s="225"/>
      <c r="LP20" s="225"/>
      <c r="LQ20" s="222"/>
      <c r="LR20" s="225" t="s">
        <v>451</v>
      </c>
      <c r="LS20" s="225" t="s">
        <v>452</v>
      </c>
      <c r="LT20" s="231">
        <v>718.38</v>
      </c>
      <c r="LU20" s="222"/>
      <c r="LV20" s="224" t="s">
        <v>1439</v>
      </c>
      <c r="LW20" s="225">
        <v>123</v>
      </c>
      <c r="LX20" s="222" t="s">
        <v>58</v>
      </c>
      <c r="LY20" s="224" t="s">
        <v>351</v>
      </c>
      <c r="LZ20" s="222" t="s">
        <v>22</v>
      </c>
    </row>
    <row r="21" spans="1:16181" s="168" customFormat="1" ht="15" customHeight="1" x14ac:dyDescent="0.25">
      <c r="A21" s="170"/>
      <c r="B21" s="220">
        <v>18</v>
      </c>
      <c r="C21" s="221" t="s">
        <v>310</v>
      </c>
      <c r="D21" s="222" t="s">
        <v>1120</v>
      </c>
      <c r="E21" s="225" t="s">
        <v>1116</v>
      </c>
      <c r="F21" s="223" t="str">
        <f>HYPERLINK("\\gdc-data\Team\Test Team\!Testing Details\Automation\Vikram\Vikram\SALT Automation Phase 2 - BACKUP\Projects\SALT\Snapshots\HappyPath_SingleProduct_AUS_IN-MU-LT-J27180\2014710\212748\Iterator_18\HappyPath_SingleProduct_AUS18.xlsx","Snapshot")</f>
        <v>Snapshot</v>
      </c>
      <c r="G21" s="223" t="str">
        <f>HYPERLINK("\\gdc-data\Team\Test Team\!Testing Details\Automation\Vikram\Vikram\SALT Automation Phase 2 - BACKUP\Projects\SALT\Snapshots\HappyPath_SingleProduct_AUS_IN-MU-LT-J27180\2014710\212748\Iterator_18\Merge.html","Result")</f>
        <v>Result</v>
      </c>
      <c r="H21" s="127"/>
      <c r="I21" s="127"/>
      <c r="J21" s="127"/>
      <c r="K21" s="127"/>
      <c r="L21" s="127"/>
      <c r="M21" s="127" t="s">
        <v>446</v>
      </c>
      <c r="N21" s="127">
        <v>10</v>
      </c>
      <c r="O21" s="127">
        <v>1988</v>
      </c>
      <c r="P21" s="127"/>
      <c r="Q21" s="127" t="s">
        <v>446</v>
      </c>
      <c r="R21" s="127">
        <v>10</v>
      </c>
      <c r="S21" s="127">
        <v>2029</v>
      </c>
      <c r="T21" s="127"/>
      <c r="U21" s="128" t="s">
        <v>522</v>
      </c>
      <c r="V21" s="127">
        <v>10</v>
      </c>
      <c r="W21" s="127">
        <v>2021</v>
      </c>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8" t="s">
        <v>534</v>
      </c>
      <c r="BE21" s="127"/>
      <c r="BF21" s="127"/>
      <c r="BG21" s="127"/>
      <c r="BH21" s="127"/>
      <c r="BI21" s="127"/>
      <c r="BJ21" s="127"/>
      <c r="BK21" s="127"/>
      <c r="BL21" s="127"/>
      <c r="BM21" s="127"/>
      <c r="BN21" s="127"/>
      <c r="BO21" s="127"/>
      <c r="BP21" s="127"/>
      <c r="BQ21" s="127"/>
      <c r="BR21" s="127"/>
      <c r="BS21" s="127"/>
      <c r="BT21" s="127"/>
      <c r="BU21" s="127"/>
      <c r="BV21" s="127"/>
      <c r="BW21" s="127"/>
      <c r="BX21" s="127"/>
      <c r="BY21" s="127"/>
      <c r="BZ21" s="127"/>
      <c r="CA21" s="127"/>
      <c r="CB21" s="127"/>
      <c r="CC21" s="127"/>
      <c r="CD21" s="127"/>
      <c r="CE21" s="127"/>
      <c r="CF21" s="127"/>
      <c r="CG21" s="127"/>
      <c r="CH21" s="127"/>
      <c r="CI21" s="127"/>
      <c r="CJ21" s="136">
        <v>41758.021793981483</v>
      </c>
      <c r="CK21" s="127" t="s">
        <v>830</v>
      </c>
      <c r="CL21" s="127"/>
      <c r="CM21" s="127"/>
      <c r="CN21" s="127"/>
      <c r="CO21" s="127"/>
      <c r="CP21" s="127"/>
      <c r="CQ21" s="127"/>
      <c r="CR21" s="127"/>
      <c r="CS21" s="127"/>
      <c r="CT21" s="127"/>
      <c r="CU21" s="127"/>
      <c r="CV21" s="127"/>
      <c r="CW21" s="127"/>
      <c r="CX21" s="127"/>
      <c r="CY21" s="127"/>
      <c r="CZ21" s="127"/>
      <c r="DA21" s="127"/>
      <c r="DB21" s="127"/>
      <c r="DC21" s="127"/>
      <c r="DD21" s="127"/>
      <c r="DE21" s="127"/>
      <c r="DF21" s="127"/>
      <c r="DG21" s="127"/>
      <c r="DH21" s="127"/>
      <c r="DI21" s="127"/>
      <c r="DJ21" s="127"/>
      <c r="DK21" s="127"/>
      <c r="DL21" s="127"/>
      <c r="DM21" s="127"/>
      <c r="DN21" s="127"/>
      <c r="DO21" s="127"/>
      <c r="DP21" s="127"/>
      <c r="DQ21" s="127"/>
      <c r="DR21" s="127"/>
      <c r="DS21" s="127"/>
      <c r="DT21" s="127"/>
      <c r="DU21" s="127"/>
      <c r="DV21" s="127"/>
      <c r="DW21" s="127"/>
      <c r="DX21" s="127"/>
      <c r="DY21" s="127"/>
      <c r="DZ21" s="127"/>
      <c r="EA21" s="127"/>
      <c r="EB21" s="127"/>
      <c r="EC21" s="127"/>
      <c r="ED21" s="127"/>
      <c r="EE21" s="127"/>
      <c r="EF21" s="127"/>
      <c r="EG21" s="127"/>
      <c r="EH21" s="127"/>
      <c r="EI21" s="127"/>
      <c r="EJ21" s="127"/>
      <c r="EK21" s="127"/>
      <c r="EM21" s="127"/>
      <c r="EN21" s="127"/>
      <c r="EV21" s="25" t="s">
        <v>351</v>
      </c>
      <c r="HB21" s="127"/>
      <c r="HC21" s="127"/>
      <c r="HD21" s="127"/>
      <c r="HE21" s="127"/>
      <c r="HF21" s="127"/>
      <c r="HG21" s="127"/>
      <c r="HH21" s="127"/>
      <c r="HI21" s="127"/>
      <c r="HJ21" s="127"/>
      <c r="HK21" s="127"/>
      <c r="HL21" s="127"/>
      <c r="HM21" s="127"/>
      <c r="HN21" s="127"/>
      <c r="HO21" s="127"/>
      <c r="HP21" s="127"/>
      <c r="HQ21" s="127"/>
      <c r="HR21" s="127"/>
      <c r="HS21" s="127"/>
      <c r="HT21" s="127"/>
      <c r="HU21" s="127"/>
      <c r="HV21" s="127"/>
      <c r="HW21" s="136">
        <v>41758.017557870371</v>
      </c>
      <c r="HX21" s="127"/>
      <c r="HY21" s="127"/>
      <c r="HZ21" s="127"/>
      <c r="IA21" s="127"/>
      <c r="IB21" s="127"/>
      <c r="IC21" s="127"/>
      <c r="ID21" s="127"/>
      <c r="IE21" s="127">
        <v>440</v>
      </c>
      <c r="IF21" s="110">
        <v>703.44</v>
      </c>
      <c r="IG21" s="20"/>
      <c r="IH21" s="135" t="s">
        <v>720</v>
      </c>
      <c r="II21" s="127"/>
      <c r="IJ21" s="127"/>
      <c r="IK21" s="128" t="s">
        <v>522</v>
      </c>
      <c r="IL21" s="127"/>
      <c r="IM21" s="128" t="s">
        <v>74</v>
      </c>
      <c r="IN21" s="127"/>
      <c r="IO21" s="127"/>
      <c r="IP21" s="127"/>
      <c r="IQ21" s="127"/>
      <c r="IR21" s="127"/>
      <c r="IS21" s="127"/>
      <c r="IT21" s="127"/>
      <c r="IU21" s="127"/>
      <c r="IV21" s="127"/>
      <c r="IW21" s="136">
        <v>41830.894305555557</v>
      </c>
      <c r="IX21" s="136">
        <v>41830.898969907408</v>
      </c>
      <c r="IY21" s="127" t="s">
        <v>1146</v>
      </c>
      <c r="IZ21" s="127" t="s">
        <v>1062</v>
      </c>
      <c r="JA21" s="127"/>
      <c r="JB21" s="127"/>
      <c r="JC21" s="127"/>
      <c r="JD21" s="127"/>
      <c r="JE21" s="127"/>
      <c r="JF21" s="127"/>
      <c r="JG21" s="127"/>
      <c r="JH21" s="127"/>
      <c r="JI21" s="127" t="s">
        <v>22</v>
      </c>
      <c r="JJ21" s="127"/>
      <c r="JK21" s="127"/>
      <c r="JL21" s="127"/>
      <c r="JM21" s="127"/>
      <c r="JN21" s="169"/>
      <c r="JO21" s="127"/>
      <c r="JP21" s="225" t="s">
        <v>531</v>
      </c>
      <c r="JQ21" s="225" t="s">
        <v>69</v>
      </c>
      <c r="JR21" s="226"/>
      <c r="JS21" s="222">
        <v>1200</v>
      </c>
      <c r="JT21" s="222"/>
      <c r="JU21" s="228"/>
      <c r="JV21" s="222" t="s">
        <v>450</v>
      </c>
      <c r="JW21" s="222" t="s">
        <v>437</v>
      </c>
      <c r="JX21" s="225" t="s">
        <v>438</v>
      </c>
      <c r="JY21" s="225" t="s">
        <v>812</v>
      </c>
      <c r="JZ21" s="222"/>
      <c r="KA21" s="222"/>
      <c r="KB21" s="222"/>
      <c r="KC21" s="222"/>
      <c r="KD21" s="228"/>
      <c r="KE21" s="222"/>
      <c r="KF21" s="222" t="s">
        <v>439</v>
      </c>
      <c r="KG21" s="222" t="s">
        <v>479</v>
      </c>
      <c r="KH21" s="222" t="s">
        <v>447</v>
      </c>
      <c r="KI21" s="222" t="s">
        <v>480</v>
      </c>
      <c r="KJ21" s="225" t="s">
        <v>444</v>
      </c>
      <c r="KK21" s="222" t="s">
        <v>445</v>
      </c>
      <c r="KL21" s="229" t="s">
        <v>487</v>
      </c>
      <c r="KM21" s="222" t="s">
        <v>78</v>
      </c>
      <c r="KN21" s="225" t="s">
        <v>443</v>
      </c>
      <c r="KO21" s="222"/>
      <c r="KP21" s="222">
        <v>123456</v>
      </c>
      <c r="KQ21" s="222">
        <v>123456</v>
      </c>
      <c r="KR21" s="222">
        <v>11</v>
      </c>
      <c r="KS21" s="222" t="s">
        <v>446</v>
      </c>
      <c r="KT21" s="222">
        <v>2037</v>
      </c>
      <c r="KU21" s="222" t="s">
        <v>448</v>
      </c>
      <c r="KV21" s="225" t="s">
        <v>532</v>
      </c>
      <c r="KW21" s="225" t="s">
        <v>532</v>
      </c>
      <c r="KX21" s="225" t="s">
        <v>1113</v>
      </c>
      <c r="KY21" s="225" t="s">
        <v>1113</v>
      </c>
      <c r="KZ21" s="222" t="s">
        <v>449</v>
      </c>
      <c r="LA21" s="222" t="s">
        <v>533</v>
      </c>
      <c r="LB21" s="222" t="s">
        <v>533</v>
      </c>
      <c r="LC21" s="225" t="s">
        <v>518</v>
      </c>
      <c r="LD21" s="225" t="s">
        <v>1019</v>
      </c>
      <c r="LE21" s="225"/>
      <c r="LF21" s="225"/>
      <c r="LG21" s="222"/>
      <c r="LH21" s="222" t="s">
        <v>441</v>
      </c>
      <c r="LI21" s="222">
        <v>108</v>
      </c>
      <c r="LJ21" s="222">
        <v>10</v>
      </c>
      <c r="LK21" s="222">
        <v>2021</v>
      </c>
      <c r="LL21" s="225" t="s">
        <v>452</v>
      </c>
      <c r="LM21" s="225" t="s">
        <v>522</v>
      </c>
      <c r="LN21" s="225"/>
      <c r="LO21" s="225"/>
      <c r="LP21" s="225"/>
      <c r="LQ21" s="222"/>
      <c r="LR21" s="225" t="s">
        <v>451</v>
      </c>
      <c r="LS21" s="225" t="s">
        <v>452</v>
      </c>
      <c r="LT21" s="231">
        <v>817.99</v>
      </c>
      <c r="LU21" s="222"/>
      <c r="LV21" s="224" t="s">
        <v>1440</v>
      </c>
      <c r="LW21" s="225">
        <v>123</v>
      </c>
      <c r="LX21" s="222" t="s">
        <v>58</v>
      </c>
      <c r="LY21" s="224" t="s">
        <v>351</v>
      </c>
      <c r="LZ21" s="222" t="s">
        <v>22</v>
      </c>
    </row>
    <row r="22" spans="1:16181" s="160" customFormat="1" ht="15" customHeight="1" x14ac:dyDescent="0.25">
      <c r="A22" s="131"/>
      <c r="B22" s="161">
        <v>19</v>
      </c>
      <c r="C22" s="162" t="s">
        <v>310</v>
      </c>
      <c r="D22" s="160" t="s">
        <v>1120</v>
      </c>
      <c r="E22" s="160" t="s">
        <v>1116</v>
      </c>
      <c r="F22" s="164" t="str">
        <f>HYPERLINK("\\gdc-data\Team\Test Team\!Testing Details\Automation\Vikram\Vikram\SALT Automation Phase 2 - BACKUP\Projects\SALT\Snapshots\HappyPath_SingleProduct_AUS_IN-MU-LT-J27180\2014710\213438\Iterator_19\HappyPath_SingleProduct_AUS19.xlsx","Snapshot")</f>
        <v>Snapshot</v>
      </c>
      <c r="G22" s="164" t="str">
        <f>HYPERLINK("\\gdc-data\Team\Test Team\!Testing Details\Automation\Vikram\Vikram\SALT Automation Phase 2 - BACKUP\Projects\SALT\Snapshots\HappyPath_SingleProduct_AUS_IN-MU-LT-J27180\2014710\213438\Iterator_19\Merge.html","Result")</f>
        <v>Result</v>
      </c>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c r="BM22" s="127"/>
      <c r="BN22" s="127"/>
      <c r="BO22" s="127"/>
      <c r="BP22" s="127"/>
      <c r="BQ22" s="127"/>
      <c r="BR22" s="127"/>
      <c r="BS22" s="127"/>
      <c r="BT22" s="127"/>
      <c r="BU22" s="127"/>
      <c r="BV22" s="127"/>
      <c r="BW22" s="127"/>
      <c r="BX22" s="127"/>
      <c r="BY22" s="127"/>
      <c r="BZ22" s="127"/>
      <c r="CA22" s="127"/>
      <c r="CB22" s="127"/>
      <c r="CC22" s="127"/>
      <c r="CD22" s="127"/>
      <c r="CE22" s="127"/>
      <c r="CF22" s="127"/>
      <c r="CG22" s="127"/>
      <c r="CH22" s="127"/>
      <c r="CI22" s="127"/>
      <c r="CJ22" s="136">
        <v>41758.013009259259</v>
      </c>
      <c r="CK22" s="127" t="s">
        <v>992</v>
      </c>
      <c r="CL22" s="137"/>
      <c r="CM22" s="137"/>
      <c r="CN22" s="127"/>
      <c r="CO22" s="127"/>
      <c r="CP22" s="127"/>
      <c r="CQ22" s="127"/>
      <c r="CR22" s="127"/>
      <c r="CS22" s="127"/>
      <c r="CT22" s="127"/>
      <c r="CU22" s="127"/>
      <c r="CV22" s="127"/>
      <c r="CW22" s="127"/>
      <c r="CX22" s="127"/>
      <c r="CY22" s="127"/>
      <c r="CZ22" s="127"/>
      <c r="DA22" s="127"/>
      <c r="DB22" s="127"/>
      <c r="DC22" s="127"/>
      <c r="DD22" s="127"/>
      <c r="DE22" s="127"/>
      <c r="DF22" s="127"/>
      <c r="DG22" s="127"/>
      <c r="DH22" s="127"/>
      <c r="DI22" s="127"/>
      <c r="DJ22" s="127"/>
      <c r="DK22" s="127"/>
      <c r="DL22" s="127"/>
      <c r="DM22" s="127"/>
      <c r="DN22" s="127"/>
      <c r="DO22" s="127"/>
      <c r="DP22" s="127"/>
      <c r="DQ22" s="127"/>
      <c r="DR22" s="127"/>
      <c r="DS22" s="127"/>
      <c r="DT22" s="127"/>
      <c r="DU22" s="127"/>
      <c r="DV22" s="127"/>
      <c r="DW22" s="127"/>
      <c r="DX22" s="127"/>
      <c r="DY22" s="127"/>
      <c r="DZ22" s="127"/>
      <c r="EA22" s="127"/>
      <c r="EB22" s="127"/>
      <c r="EC22" s="127"/>
      <c r="ED22" s="127"/>
      <c r="EE22" s="127"/>
      <c r="EF22" s="127"/>
      <c r="EG22" s="127"/>
      <c r="EH22" s="127"/>
      <c r="EI22" s="127"/>
      <c r="EJ22" s="137"/>
      <c r="EK22" s="137"/>
      <c r="EM22" s="137"/>
      <c r="EN22" s="137"/>
      <c r="EV22" s="25" t="s">
        <v>351</v>
      </c>
      <c r="HB22" s="127"/>
      <c r="HC22" s="127"/>
      <c r="HD22" s="127"/>
      <c r="HE22" s="127"/>
      <c r="HF22" s="127"/>
      <c r="HG22" s="127"/>
      <c r="HH22" s="127"/>
      <c r="HI22" s="127"/>
      <c r="HJ22" s="127"/>
      <c r="HK22" s="127"/>
      <c r="HL22" s="127"/>
      <c r="HM22" s="127"/>
      <c r="HN22" s="127"/>
      <c r="HO22" s="127"/>
      <c r="HP22" s="127"/>
      <c r="HQ22" s="127"/>
      <c r="HR22" s="127"/>
      <c r="HS22" s="127"/>
      <c r="HT22" s="127"/>
      <c r="HU22" s="127"/>
      <c r="HV22" s="127"/>
      <c r="HW22" s="136">
        <v>41758.008657407408</v>
      </c>
      <c r="HX22" s="127"/>
      <c r="HY22" s="127"/>
      <c r="HZ22" s="127"/>
      <c r="IA22" s="127"/>
      <c r="IB22" s="127"/>
      <c r="IC22" s="127"/>
      <c r="ID22" s="127"/>
      <c r="IE22" s="127"/>
      <c r="IF22" s="127"/>
      <c r="IG22" s="127"/>
      <c r="IH22" s="135" t="s">
        <v>720</v>
      </c>
      <c r="II22" s="127"/>
      <c r="IJ22" s="127"/>
      <c r="IK22" s="128" t="s">
        <v>522</v>
      </c>
      <c r="IL22" s="127"/>
      <c r="IM22" s="128" t="s">
        <v>74</v>
      </c>
      <c r="IN22" s="127"/>
      <c r="IO22" s="127"/>
      <c r="IP22" s="127"/>
      <c r="IQ22" s="127"/>
      <c r="IR22" s="137"/>
      <c r="IS22" s="137"/>
      <c r="IT22" s="127"/>
      <c r="IU22" s="127"/>
      <c r="IV22" s="127"/>
      <c r="IW22" s="136">
        <v>41830.899050925924</v>
      </c>
      <c r="IX22" s="136">
        <v>41830.903298611112</v>
      </c>
      <c r="IY22" s="127" t="s">
        <v>987</v>
      </c>
      <c r="IZ22" s="127" t="s">
        <v>1062</v>
      </c>
      <c r="JA22" s="127"/>
      <c r="JB22" s="127"/>
      <c r="JC22" s="127"/>
      <c r="JD22" s="127"/>
      <c r="JE22" s="127"/>
      <c r="JF22" s="127"/>
      <c r="JG22" s="127"/>
      <c r="JH22" s="127"/>
      <c r="JI22" s="127" t="s">
        <v>22</v>
      </c>
      <c r="JJ22" s="127"/>
      <c r="JK22" s="127"/>
      <c r="JL22" s="127"/>
      <c r="JM22" s="127"/>
      <c r="JN22" s="163"/>
      <c r="JO22" s="127"/>
      <c r="JP22" s="163" t="s">
        <v>531</v>
      </c>
      <c r="JQ22" s="163" t="s">
        <v>473</v>
      </c>
      <c r="JR22" s="165"/>
      <c r="JS22" s="160">
        <v>800</v>
      </c>
      <c r="JU22" s="166"/>
      <c r="JV22" s="160" t="s">
        <v>450</v>
      </c>
      <c r="JW22" s="160" t="s">
        <v>437</v>
      </c>
      <c r="JX22" s="163" t="s">
        <v>438</v>
      </c>
      <c r="JY22" s="163" t="s">
        <v>812</v>
      </c>
      <c r="KD22" s="166"/>
      <c r="KF22" s="160" t="s">
        <v>439</v>
      </c>
      <c r="KG22" s="160" t="s">
        <v>1183</v>
      </c>
      <c r="KH22" s="160" t="s">
        <v>447</v>
      </c>
      <c r="KI22" s="109" t="s">
        <v>1187</v>
      </c>
      <c r="KJ22" s="163" t="s">
        <v>444</v>
      </c>
      <c r="KK22" s="160" t="s">
        <v>445</v>
      </c>
      <c r="KL22" s="130" t="s">
        <v>490</v>
      </c>
      <c r="KM22" s="160" t="s">
        <v>78</v>
      </c>
      <c r="KN22" s="163" t="s">
        <v>443</v>
      </c>
      <c r="KP22" s="160">
        <v>123456</v>
      </c>
      <c r="KQ22" s="160">
        <v>123456</v>
      </c>
      <c r="KR22" s="160">
        <v>11</v>
      </c>
      <c r="KS22" s="160" t="s">
        <v>446</v>
      </c>
      <c r="KT22" s="160">
        <v>2037</v>
      </c>
      <c r="KU22" s="160" t="s">
        <v>448</v>
      </c>
      <c r="KV22" s="163" t="s">
        <v>532</v>
      </c>
      <c r="KW22" s="163" t="s">
        <v>532</v>
      </c>
      <c r="KX22" s="163" t="s">
        <v>1113</v>
      </c>
      <c r="KY22" s="163" t="s">
        <v>1113</v>
      </c>
      <c r="KZ22" s="160" t="s">
        <v>449</v>
      </c>
      <c r="LA22" s="160" t="s">
        <v>533</v>
      </c>
      <c r="LB22" s="160" t="s">
        <v>533</v>
      </c>
      <c r="LC22" s="163" t="s">
        <v>518</v>
      </c>
      <c r="LD22" s="163" t="s">
        <v>535</v>
      </c>
      <c r="LE22" s="163"/>
      <c r="LF22" s="163"/>
      <c r="LH22" s="160" t="s">
        <v>441</v>
      </c>
      <c r="LI22" s="160">
        <v>108</v>
      </c>
      <c r="LJ22" s="160">
        <v>10</v>
      </c>
      <c r="LK22" s="160">
        <v>2021</v>
      </c>
      <c r="LL22" s="163" t="s">
        <v>452</v>
      </c>
      <c r="LM22" s="163" t="s">
        <v>522</v>
      </c>
      <c r="LR22" s="163" t="s">
        <v>451</v>
      </c>
      <c r="LS22" s="163" t="s">
        <v>452</v>
      </c>
      <c r="LT22" s="232">
        <v>809.46</v>
      </c>
      <c r="LV22" t="s">
        <v>1453</v>
      </c>
      <c r="LW22" s="163">
        <v>456</v>
      </c>
      <c r="LX22" s="160" t="s">
        <v>58</v>
      </c>
      <c r="LY22" s="25" t="s">
        <v>351</v>
      </c>
      <c r="LZ22" s="160" t="s">
        <v>22</v>
      </c>
    </row>
    <row r="23" spans="1:16181" s="160" customFormat="1" ht="15" customHeight="1" x14ac:dyDescent="0.25">
      <c r="A23" s="131"/>
      <c r="B23" s="240">
        <v>20</v>
      </c>
      <c r="C23" s="238" t="s">
        <v>310</v>
      </c>
      <c r="D23" s="241" t="s">
        <v>1120</v>
      </c>
      <c r="E23" s="160" t="s">
        <v>1116</v>
      </c>
      <c r="F23" s="164" t="str">
        <f>HYPERLINK("\\gdc-data\Team\Test Team\!Testing Details\Automation\Vikram\Vikram\SALT Automation Phase 2 - BACKUP\Projects\SALT\Snapshots\HappyPath_SingleProduct_AUS_IN-MU-LT-J27180\2014711\102936\Iterator_20\HappyPath_SingleProduct_AUS20.xlsx","Snapshot")</f>
        <v>Snapshot</v>
      </c>
      <c r="G23" s="164" t="str">
        <f>HYPERLINK("\\gdc-data\Team\Test Team\!Testing Details\Automation\Vikram\Vikram\SALT Automation Phase 2 - BACKUP\Projects\SALT\Snapshots\HappyPath_SingleProduct_AUS_IN-MU-LT-J27180\2014711\102936\Iterator_20\Merge.html","Result")</f>
        <v>Result</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c r="BM23" s="127"/>
      <c r="BN23" s="127"/>
      <c r="BO23" s="127"/>
      <c r="BP23" s="127"/>
      <c r="BQ23" s="127"/>
      <c r="BR23" s="127"/>
      <c r="BS23" s="127"/>
      <c r="BT23" s="127"/>
      <c r="BU23" s="127"/>
      <c r="BV23" s="127"/>
      <c r="BW23" s="127"/>
      <c r="BX23" s="127"/>
      <c r="BY23" s="127"/>
      <c r="BZ23" s="127"/>
      <c r="CA23" s="127"/>
      <c r="CB23" s="127"/>
      <c r="CC23" s="127"/>
      <c r="CD23" s="127"/>
      <c r="CE23" s="127"/>
      <c r="CF23" s="127"/>
      <c r="CG23" s="127"/>
      <c r="CH23" s="127"/>
      <c r="CI23" s="127"/>
      <c r="CJ23" s="136">
        <v>41758.013009259259</v>
      </c>
      <c r="CK23" s="127" t="s">
        <v>992</v>
      </c>
      <c r="CL23" s="137"/>
      <c r="CM23" s="137"/>
      <c r="CN23" s="127"/>
      <c r="CO23" s="127"/>
      <c r="CP23" s="127"/>
      <c r="CQ23" s="127"/>
      <c r="CR23" s="127"/>
      <c r="CS23" s="127"/>
      <c r="CT23" s="127"/>
      <c r="CU23" s="127"/>
      <c r="CV23" s="127"/>
      <c r="CW23" s="127"/>
      <c r="CX23" s="127"/>
      <c r="CY23" s="127"/>
      <c r="CZ23" s="127"/>
      <c r="DA23" s="127"/>
      <c r="DB23" s="127"/>
      <c r="DC23" s="127"/>
      <c r="DD23" s="127"/>
      <c r="DE23" s="127"/>
      <c r="DF23" s="127"/>
      <c r="DG23" s="127"/>
      <c r="DH23" s="127"/>
      <c r="DI23" s="127"/>
      <c r="DJ23" s="127"/>
      <c r="DK23" s="127"/>
      <c r="DL23" s="127"/>
      <c r="DM23" s="127"/>
      <c r="DN23" s="127"/>
      <c r="DO23" s="127"/>
      <c r="DP23" s="127"/>
      <c r="DQ23" s="127"/>
      <c r="DR23" s="127"/>
      <c r="DS23" s="127"/>
      <c r="DT23" s="127"/>
      <c r="DU23" s="127"/>
      <c r="DV23" s="127"/>
      <c r="DW23" s="127"/>
      <c r="DX23" s="127"/>
      <c r="DY23" s="127"/>
      <c r="DZ23" s="127"/>
      <c r="EA23" s="127"/>
      <c r="EB23" s="127"/>
      <c r="EC23" s="127"/>
      <c r="ED23" s="127"/>
      <c r="EE23" s="127"/>
      <c r="EF23" s="127"/>
      <c r="EG23" s="127"/>
      <c r="EH23" s="127"/>
      <c r="EI23" s="127"/>
      <c r="EJ23" s="137"/>
      <c r="EK23" s="137"/>
      <c r="EM23" s="137"/>
      <c r="EN23" s="137"/>
      <c r="EV23" s="25" t="s">
        <v>351</v>
      </c>
      <c r="HB23" s="127"/>
      <c r="HC23" s="127"/>
      <c r="HD23" s="127"/>
      <c r="HE23" s="127"/>
      <c r="HF23" s="127"/>
      <c r="HG23" s="127"/>
      <c r="HH23" s="127"/>
      <c r="HI23" s="127"/>
      <c r="HJ23" s="127"/>
      <c r="HK23" s="127"/>
      <c r="HL23" s="127"/>
      <c r="HM23" s="127"/>
      <c r="HN23" s="127"/>
      <c r="HO23" s="127"/>
      <c r="HP23" s="127"/>
      <c r="HQ23" s="127"/>
      <c r="HR23" s="127"/>
      <c r="HS23" s="127"/>
      <c r="HT23" s="127"/>
      <c r="HU23" s="127"/>
      <c r="HV23" s="127"/>
      <c r="HW23" s="136">
        <v>41758.008657407408</v>
      </c>
      <c r="HX23" s="127"/>
      <c r="HY23" s="127"/>
      <c r="HZ23" s="127"/>
      <c r="IA23" s="127"/>
      <c r="IB23" s="127"/>
      <c r="IC23" s="127"/>
      <c r="ID23" s="127"/>
      <c r="IE23" s="127"/>
      <c r="IF23" s="127"/>
      <c r="IG23" s="127"/>
      <c r="IH23" s="135" t="s">
        <v>720</v>
      </c>
      <c r="II23" s="127"/>
      <c r="IJ23" s="127"/>
      <c r="IK23" s="128" t="s">
        <v>522</v>
      </c>
      <c r="IL23" s="127"/>
      <c r="IM23" s="128" t="s">
        <v>74</v>
      </c>
      <c r="IN23" s="127"/>
      <c r="IO23" s="127"/>
      <c r="IP23" s="127"/>
      <c r="IQ23" s="127"/>
      <c r="IR23" s="137"/>
      <c r="IS23" s="137"/>
      <c r="IT23" s="127"/>
      <c r="IU23" s="127"/>
      <c r="IV23" s="127"/>
      <c r="IW23" s="136">
        <v>41831.4372337963</v>
      </c>
      <c r="IX23" s="136">
        <v>41831.44153935185</v>
      </c>
      <c r="IY23" s="127" t="s">
        <v>1149</v>
      </c>
      <c r="IZ23" s="127" t="s">
        <v>1062</v>
      </c>
      <c r="JA23" s="127"/>
      <c r="JB23" s="127"/>
      <c r="JC23" s="127"/>
      <c r="JD23" s="127"/>
      <c r="JE23" s="127"/>
      <c r="JF23" s="127"/>
      <c r="JG23" s="127"/>
      <c r="JH23" s="127"/>
      <c r="JI23" s="127" t="s">
        <v>22</v>
      </c>
      <c r="JJ23" s="127"/>
      <c r="JK23" s="127"/>
      <c r="JL23" s="127"/>
      <c r="JM23" s="127"/>
      <c r="JN23" s="163"/>
      <c r="JO23" s="127"/>
      <c r="JP23" s="163" t="s">
        <v>531</v>
      </c>
      <c r="JQ23" s="163" t="s">
        <v>69</v>
      </c>
      <c r="JR23" s="165"/>
      <c r="JS23" s="160">
        <v>900</v>
      </c>
      <c r="JU23" s="166"/>
      <c r="JV23" s="160" t="s">
        <v>450</v>
      </c>
      <c r="JW23" s="160" t="s">
        <v>437</v>
      </c>
      <c r="JX23" s="163" t="s">
        <v>438</v>
      </c>
      <c r="JY23" s="163" t="s">
        <v>812</v>
      </c>
      <c r="KD23" s="166"/>
      <c r="KF23" s="160" t="s">
        <v>439</v>
      </c>
      <c r="KG23" s="160" t="s">
        <v>440</v>
      </c>
      <c r="KH23" s="160" t="s">
        <v>447</v>
      </c>
      <c r="KI23" s="109" t="s">
        <v>476</v>
      </c>
      <c r="KJ23" s="163" t="s">
        <v>444</v>
      </c>
      <c r="KK23" s="160" t="s">
        <v>445</v>
      </c>
      <c r="KL23" s="130">
        <v>1985</v>
      </c>
      <c r="KM23" s="160" t="s">
        <v>78</v>
      </c>
      <c r="KN23" s="163" t="s">
        <v>443</v>
      </c>
      <c r="KP23" s="160">
        <v>123456</v>
      </c>
      <c r="KQ23" s="160">
        <v>123456</v>
      </c>
      <c r="KR23" s="160">
        <v>11</v>
      </c>
      <c r="KS23" s="160" t="s">
        <v>446</v>
      </c>
      <c r="KT23" s="160">
        <v>2037</v>
      </c>
      <c r="KU23" s="160" t="s">
        <v>448</v>
      </c>
      <c r="KV23" s="163" t="s">
        <v>532</v>
      </c>
      <c r="KW23" s="163" t="s">
        <v>532</v>
      </c>
      <c r="KX23" s="163" t="s">
        <v>1113</v>
      </c>
      <c r="KY23" s="163" t="s">
        <v>1113</v>
      </c>
      <c r="KZ23" s="160" t="s">
        <v>449</v>
      </c>
      <c r="LA23" s="160" t="s">
        <v>533</v>
      </c>
      <c r="LB23" s="160" t="s">
        <v>533</v>
      </c>
      <c r="LC23" s="163" t="s">
        <v>518</v>
      </c>
      <c r="LD23" s="163" t="s">
        <v>535</v>
      </c>
      <c r="LE23" s="163"/>
      <c r="LF23" s="163"/>
      <c r="LH23" s="160" t="s">
        <v>441</v>
      </c>
      <c r="LI23" s="160">
        <v>108</v>
      </c>
      <c r="LJ23" s="160">
        <v>10</v>
      </c>
      <c r="LK23" s="160">
        <v>2021</v>
      </c>
      <c r="LL23" s="163" t="s">
        <v>452</v>
      </c>
      <c r="LM23" s="163" t="s">
        <v>522</v>
      </c>
      <c r="LR23" s="163" t="s">
        <v>451</v>
      </c>
      <c r="LS23" s="163" t="s">
        <v>452</v>
      </c>
      <c r="LT23" s="232">
        <v>514.24</v>
      </c>
      <c r="LV23" t="s">
        <v>1454</v>
      </c>
      <c r="LW23" s="163">
        <v>456</v>
      </c>
      <c r="LX23" s="160" t="s">
        <v>58</v>
      </c>
      <c r="LY23" s="25" t="s">
        <v>351</v>
      </c>
      <c r="LZ23" s="160" t="s">
        <v>22</v>
      </c>
    </row>
    <row r="24" spans="1:16181" s="45" customFormat="1" x14ac:dyDescent="0.25">
      <c r="A24" s="171"/>
      <c r="B24" s="45">
        <v>21</v>
      </c>
      <c r="C24" s="79" t="s">
        <v>310</v>
      </c>
      <c r="D24" s="109" t="s">
        <v>1120</v>
      </c>
      <c r="E24" s="107" t="s">
        <v>1116</v>
      </c>
      <c r="F24" s="172" t="str">
        <f>HYPERLINK("\\gdc-data\Team\Test Team\!Testing Details\Automation\Vikram\Vikram\SALT Automation Phase 2 - BACKUP\Projects\SALT\Snapshots\HappyPath_SingleProduct_AUS_IN-MU-LT-J27180\2014711\103556\Iterator_21\HappyPath_SingleProduct_AUS21.xlsx","Snapshot")</f>
        <v>Snapshot</v>
      </c>
      <c r="G24" s="172" t="str">
        <f>HYPERLINK("\\gdc-data\Team\Test Team\!Testing Details\Automation\Vikram\Vikram\SALT Automation Phase 2 - BACKUP\Projects\SALT\Snapshots\HappyPath_SingleProduct_AUS_IN-MU-LT-J27180\2014711\103556\Iterator_21\Merge.html","Result")</f>
        <v>Result</v>
      </c>
      <c r="H24" s="160" t="s">
        <v>58</v>
      </c>
      <c r="I24" s="25" t="s">
        <v>351</v>
      </c>
      <c r="J24" s="160" t="s">
        <v>22</v>
      </c>
      <c r="K24" s="163" t="s">
        <v>531</v>
      </c>
      <c r="L24" s="163" t="s">
        <v>69</v>
      </c>
      <c r="M24" s="160" t="s">
        <v>437</v>
      </c>
      <c r="N24" s="163" t="s">
        <v>438</v>
      </c>
      <c r="O24" s="163" t="s">
        <v>812</v>
      </c>
      <c r="P24" s="160"/>
      <c r="Q24" s="160"/>
      <c r="R24" s="160"/>
      <c r="S24" s="160"/>
      <c r="T24" s="166"/>
      <c r="U24" s="160"/>
      <c r="V24" s="160" t="s">
        <v>439</v>
      </c>
      <c r="W24" s="160" t="s">
        <v>440</v>
      </c>
      <c r="X24" s="160" t="s">
        <v>447</v>
      </c>
      <c r="Y24" s="163" t="s">
        <v>444</v>
      </c>
      <c r="Z24" s="160" t="s">
        <v>445</v>
      </c>
      <c r="AA24" s="167" t="s">
        <v>490</v>
      </c>
      <c r="AB24" s="160" t="s">
        <v>78</v>
      </c>
      <c r="AC24" s="163" t="s">
        <v>443</v>
      </c>
      <c r="AD24" s="160"/>
      <c r="AE24" s="160">
        <v>123456</v>
      </c>
      <c r="AF24" s="160">
        <v>123456</v>
      </c>
      <c r="AG24" s="160">
        <v>11</v>
      </c>
      <c r="AH24" s="160" t="s">
        <v>446</v>
      </c>
      <c r="AI24" s="160">
        <v>2037</v>
      </c>
      <c r="AJ24" s="160" t="s">
        <v>448</v>
      </c>
      <c r="AK24" s="163" t="s">
        <v>532</v>
      </c>
      <c r="AL24" s="163" t="s">
        <v>532</v>
      </c>
      <c r="AM24" s="163" t="s">
        <v>809</v>
      </c>
      <c r="AN24" s="163" t="s">
        <v>809</v>
      </c>
      <c r="AO24" s="160" t="s">
        <v>449</v>
      </c>
      <c r="AP24" s="160" t="s">
        <v>533</v>
      </c>
      <c r="AQ24" s="160" t="s">
        <v>533</v>
      </c>
      <c r="AR24" s="163" t="s">
        <v>518</v>
      </c>
      <c r="AS24" s="163" t="s">
        <v>535</v>
      </c>
      <c r="AT24" s="163"/>
      <c r="AU24" s="163"/>
      <c r="AV24" s="160"/>
      <c r="AW24" s="160">
        <v>108</v>
      </c>
      <c r="AX24" s="160">
        <v>10</v>
      </c>
      <c r="AY24" s="163" t="s">
        <v>522</v>
      </c>
      <c r="AZ24" s="160"/>
      <c r="BA24" s="160"/>
      <c r="BB24" s="160"/>
      <c r="BC24" s="160"/>
      <c r="BD24" s="163" t="s">
        <v>452</v>
      </c>
      <c r="BE24" s="166">
        <v>918.99</v>
      </c>
      <c r="BF24" s="127" t="s">
        <v>1062</v>
      </c>
      <c r="BG24" s="160" t="s">
        <v>1105</v>
      </c>
      <c r="BH24" s="163">
        <v>456</v>
      </c>
      <c r="BI24" s="160"/>
      <c r="BJ24" s="160"/>
      <c r="BK24" s="160"/>
      <c r="BL24" s="160"/>
      <c r="BM24" s="160"/>
      <c r="BN24" s="160"/>
      <c r="BO24" s="160"/>
      <c r="BP24" s="160"/>
      <c r="BQ24" s="160"/>
      <c r="BR24" s="160"/>
      <c r="BS24" s="160"/>
      <c r="BT24" s="160"/>
      <c r="BU24" s="160"/>
      <c r="BV24" s="160"/>
      <c r="BW24" s="160"/>
      <c r="BX24" s="160"/>
      <c r="BY24" s="160"/>
      <c r="BZ24" s="160"/>
      <c r="CA24" s="160"/>
      <c r="CB24" s="160"/>
      <c r="CC24" s="160"/>
      <c r="CD24" s="160"/>
      <c r="CE24" s="160"/>
      <c r="CF24" s="160"/>
      <c r="CG24" s="160"/>
      <c r="CH24" s="160"/>
      <c r="CI24" s="160"/>
      <c r="CJ24" s="160"/>
      <c r="CK24" s="160"/>
      <c r="CL24" s="160"/>
      <c r="CM24" s="160"/>
      <c r="CN24" s="160"/>
      <c r="CO24" s="160"/>
      <c r="CP24" s="160"/>
      <c r="CQ24" s="160"/>
      <c r="CR24" s="160"/>
      <c r="CS24" s="160"/>
      <c r="CT24" s="160"/>
      <c r="CU24" s="160"/>
      <c r="CV24" s="160"/>
      <c r="CW24" s="160"/>
      <c r="CX24" s="160"/>
      <c r="CY24" s="160"/>
      <c r="CZ24" s="160"/>
      <c r="DA24" s="160"/>
      <c r="DB24" s="160"/>
      <c r="DC24" s="160"/>
      <c r="DD24" s="160"/>
      <c r="DE24" s="160"/>
      <c r="DF24" s="160"/>
      <c r="DG24" s="160"/>
      <c r="DH24" s="160"/>
      <c r="DI24" s="160"/>
      <c r="DJ24" s="160"/>
      <c r="DK24" s="160"/>
      <c r="DL24" s="160"/>
      <c r="DM24" s="160"/>
      <c r="DN24" s="160"/>
      <c r="DO24" s="160"/>
      <c r="DP24" s="160"/>
      <c r="DQ24" s="160"/>
      <c r="DR24" s="160"/>
      <c r="DS24" s="160"/>
      <c r="DT24" s="160"/>
      <c r="DU24" s="160"/>
      <c r="DV24" s="160"/>
      <c r="DW24" s="160"/>
      <c r="DX24" s="160"/>
      <c r="DY24" s="160"/>
      <c r="DZ24" s="160"/>
      <c r="EA24" s="160"/>
      <c r="EB24" s="160"/>
      <c r="EC24" s="160"/>
      <c r="ED24" s="160"/>
      <c r="EE24" s="160"/>
      <c r="EF24" s="160"/>
      <c r="EG24" s="160"/>
      <c r="EH24" s="160"/>
      <c r="EI24" s="160"/>
      <c r="EJ24" s="160"/>
      <c r="EK24" s="160"/>
      <c r="EL24" s="142"/>
      <c r="EM24" s="160"/>
      <c r="EN24" s="160"/>
      <c r="EO24" s="109"/>
      <c r="EP24" s="109"/>
      <c r="EQ24" s="109"/>
      <c r="ER24" s="109"/>
      <c r="ES24" s="109"/>
      <c r="ET24" s="109"/>
      <c r="EU24" s="109"/>
      <c r="EV24" s="160"/>
      <c r="EW24" s="109"/>
      <c r="EX24" s="109"/>
      <c r="EY24" s="109"/>
      <c r="EZ24" s="109"/>
      <c r="FA24" s="109"/>
      <c r="FB24" s="109"/>
      <c r="FC24" s="109"/>
      <c r="FD24" s="109"/>
      <c r="FE24" s="109"/>
      <c r="FF24" s="109"/>
      <c r="FG24" s="109"/>
      <c r="FH24" s="109"/>
      <c r="FI24" s="109"/>
      <c r="FJ24" s="109"/>
      <c r="FK24" s="109"/>
      <c r="FL24" s="109"/>
      <c r="FM24" s="109"/>
      <c r="FN24" s="109"/>
      <c r="FO24" s="109"/>
      <c r="FP24" s="109"/>
      <c r="FQ24" s="109"/>
      <c r="FR24" s="109"/>
      <c r="FS24" s="109"/>
      <c r="FT24" s="109"/>
      <c r="FU24" s="109"/>
      <c r="FV24" s="109"/>
      <c r="FW24" s="109"/>
      <c r="FX24" s="109"/>
      <c r="FY24" s="109"/>
      <c r="FZ24" s="109"/>
      <c r="GA24" s="142"/>
      <c r="GB24" s="109"/>
      <c r="GC24" s="109"/>
      <c r="GD24" s="109"/>
      <c r="GE24" s="109"/>
      <c r="GF24" s="109"/>
      <c r="GG24" s="109"/>
      <c r="GH24" s="109"/>
      <c r="GI24" s="109"/>
      <c r="GJ24" s="109"/>
      <c r="GK24" s="109"/>
      <c r="GL24" s="109"/>
      <c r="GM24" s="109"/>
      <c r="GN24" s="109"/>
      <c r="GO24" s="109"/>
      <c r="GP24" s="109"/>
      <c r="GQ24" s="109"/>
      <c r="GR24" s="109"/>
      <c r="GS24" s="109"/>
      <c r="GT24" s="109"/>
      <c r="GU24" s="109"/>
      <c r="GV24" s="109"/>
      <c r="GW24" s="109"/>
      <c r="GX24" s="109"/>
      <c r="GY24" s="109"/>
      <c r="GZ24" s="109"/>
      <c r="HA24" s="109"/>
      <c r="HB24" s="160"/>
      <c r="HC24" s="160"/>
      <c r="HD24" s="160"/>
      <c r="HE24" s="160"/>
      <c r="HF24" s="160"/>
      <c r="HG24" s="160"/>
      <c r="HH24" s="160"/>
      <c r="HI24" s="160"/>
      <c r="HJ24" s="160"/>
      <c r="HK24" s="165" t="s">
        <v>83</v>
      </c>
      <c r="HL24" s="160">
        <v>800</v>
      </c>
      <c r="HM24" s="160" t="s">
        <v>84</v>
      </c>
      <c r="HN24" s="166">
        <v>899.99</v>
      </c>
      <c r="HO24" s="160" t="s">
        <v>450</v>
      </c>
      <c r="HP24" s="160"/>
      <c r="HQ24" s="160"/>
      <c r="HR24" s="160"/>
      <c r="HS24" s="160"/>
      <c r="HT24" s="160"/>
      <c r="HU24" s="160"/>
      <c r="HV24" s="160"/>
      <c r="HW24" s="160"/>
      <c r="HX24" s="160" t="s">
        <v>441</v>
      </c>
      <c r="HY24" s="160"/>
      <c r="HZ24" s="160"/>
      <c r="IA24" s="160"/>
      <c r="IB24" s="160"/>
      <c r="IC24" s="160"/>
      <c r="ID24" s="160"/>
      <c r="IE24" s="160"/>
      <c r="IF24" s="160"/>
      <c r="IG24" s="160"/>
      <c r="IH24" s="160"/>
      <c r="II24" s="160"/>
      <c r="IJ24" s="160"/>
      <c r="IK24" s="160"/>
      <c r="IL24" s="160"/>
      <c r="IM24" s="163" t="s">
        <v>451</v>
      </c>
      <c r="IN24" s="160"/>
      <c r="IO24" s="160"/>
      <c r="IP24" s="160"/>
      <c r="IQ24" s="160"/>
      <c r="IR24" s="160">
        <v>2021</v>
      </c>
      <c r="IS24" s="163" t="s">
        <v>452</v>
      </c>
      <c r="IT24" s="160"/>
      <c r="IU24" s="160"/>
      <c r="IV24" s="160"/>
      <c r="IW24" s="182">
        <v>41831.441620370373</v>
      </c>
      <c r="IX24" s="182">
        <v>41831.445763888885</v>
      </c>
      <c r="IY24" s="160" t="s">
        <v>1117</v>
      </c>
      <c r="IZ24" s="125" t="s">
        <v>1062</v>
      </c>
      <c r="JA24" s="160"/>
      <c r="JB24" s="160"/>
      <c r="JC24" s="160"/>
      <c r="JD24" s="160"/>
      <c r="JE24" s="160"/>
      <c r="JF24" s="160"/>
      <c r="JG24" s="160"/>
      <c r="JH24" s="160" t="s">
        <v>441</v>
      </c>
      <c r="JI24" s="160"/>
      <c r="JJ24" s="160"/>
      <c r="JK24" s="160"/>
      <c r="JL24" s="160"/>
      <c r="JM24" s="160"/>
      <c r="JN24" s="160"/>
      <c r="JO24" s="160"/>
      <c r="JP24" s="81" t="s">
        <v>531</v>
      </c>
      <c r="JQ24" s="81" t="s">
        <v>69</v>
      </c>
      <c r="JR24" s="173"/>
      <c r="JS24" s="142">
        <v>750</v>
      </c>
      <c r="JT24" s="142"/>
      <c r="JU24" s="174"/>
      <c r="JV24" s="142" t="s">
        <v>450</v>
      </c>
      <c r="JW24" s="142" t="s">
        <v>437</v>
      </c>
      <c r="JX24" s="81" t="s">
        <v>438</v>
      </c>
      <c r="JY24" s="81" t="s">
        <v>812</v>
      </c>
      <c r="JZ24" s="142"/>
      <c r="KA24" s="142"/>
      <c r="KB24" s="142"/>
      <c r="KC24" s="142"/>
      <c r="KD24" s="174"/>
      <c r="KE24" s="109"/>
      <c r="KF24" s="142" t="s">
        <v>439</v>
      </c>
      <c r="KG24" s="142" t="s">
        <v>1184</v>
      </c>
      <c r="KH24" s="142" t="s">
        <v>447</v>
      </c>
      <c r="KI24" s="160" t="s">
        <v>440</v>
      </c>
      <c r="KJ24" s="81" t="s">
        <v>444</v>
      </c>
      <c r="KK24" s="142" t="s">
        <v>445</v>
      </c>
      <c r="KL24" s="130">
        <v>1988</v>
      </c>
      <c r="KM24" s="142" t="s">
        <v>78</v>
      </c>
      <c r="KN24" s="81" t="s">
        <v>443</v>
      </c>
      <c r="KO24" s="142"/>
      <c r="KP24" s="142">
        <v>123456</v>
      </c>
      <c r="KQ24" s="142">
        <v>123456</v>
      </c>
      <c r="KR24" s="142">
        <v>11</v>
      </c>
      <c r="KS24" s="142" t="s">
        <v>446</v>
      </c>
      <c r="KT24" s="142">
        <v>2037</v>
      </c>
      <c r="KU24" s="142" t="s">
        <v>448</v>
      </c>
      <c r="KV24" s="81" t="s">
        <v>532</v>
      </c>
      <c r="KW24" s="81" t="s">
        <v>532</v>
      </c>
      <c r="KX24" s="81" t="s">
        <v>1113</v>
      </c>
      <c r="KY24" s="81" t="s">
        <v>1113</v>
      </c>
      <c r="KZ24" s="142" t="s">
        <v>449</v>
      </c>
      <c r="LA24" s="142" t="s">
        <v>533</v>
      </c>
      <c r="LB24" s="142" t="s">
        <v>533</v>
      </c>
      <c r="LC24" s="81" t="s">
        <v>518</v>
      </c>
      <c r="LD24" s="81" t="s">
        <v>535</v>
      </c>
      <c r="LE24" s="81"/>
      <c r="LF24" s="81"/>
      <c r="LG24" s="142"/>
      <c r="LH24" s="142" t="s">
        <v>441</v>
      </c>
      <c r="LI24" s="142">
        <v>108</v>
      </c>
      <c r="LJ24" s="142">
        <v>10</v>
      </c>
      <c r="LK24" s="142">
        <v>2021</v>
      </c>
      <c r="LL24" s="81" t="s">
        <v>452</v>
      </c>
      <c r="LM24" s="81" t="s">
        <v>522</v>
      </c>
      <c r="LN24" s="142"/>
      <c r="LO24" s="142"/>
      <c r="LP24" s="142"/>
      <c r="LQ24" s="142"/>
      <c r="LR24" s="81" t="s">
        <v>451</v>
      </c>
      <c r="LS24" s="81" t="s">
        <v>452</v>
      </c>
      <c r="LT24" s="232">
        <v>817.99</v>
      </c>
      <c r="LU24" s="160"/>
      <c r="LV24" t="s">
        <v>1455</v>
      </c>
      <c r="LW24" s="81">
        <v>456</v>
      </c>
      <c r="LX24" s="142" t="s">
        <v>58</v>
      </c>
      <c r="LY24" s="51" t="s">
        <v>351</v>
      </c>
      <c r="LZ24" s="142" t="s">
        <v>22</v>
      </c>
      <c r="MA24" s="109"/>
      <c r="MB24" s="109"/>
      <c r="MC24" s="109"/>
      <c r="MD24" s="109"/>
      <c r="ME24" s="109"/>
      <c r="MF24" s="109"/>
      <c r="MG24" s="109"/>
      <c r="MH24" s="109"/>
      <c r="MI24" s="109"/>
      <c r="MJ24" s="109"/>
      <c r="MK24" s="109"/>
      <c r="ML24" s="109"/>
      <c r="MM24" s="109"/>
      <c r="MN24" s="109"/>
      <c r="MO24" s="109"/>
      <c r="MP24" s="109"/>
      <c r="MQ24" s="109"/>
      <c r="MR24" s="109"/>
      <c r="MS24" s="109"/>
      <c r="MT24" s="109"/>
      <c r="MU24" s="109"/>
      <c r="MV24" s="109"/>
      <c r="MW24" s="109"/>
      <c r="MX24" s="109"/>
      <c r="MY24" s="109"/>
      <c r="MZ24" s="109"/>
      <c r="NA24" s="109"/>
      <c r="NB24" s="109"/>
      <c r="NC24" s="109"/>
      <c r="ND24" s="109"/>
      <c r="NE24" s="109"/>
      <c r="NF24" s="109"/>
      <c r="NG24" s="109"/>
      <c r="NH24" s="109"/>
      <c r="NI24" s="109"/>
      <c r="NJ24" s="109"/>
      <c r="NK24" s="109"/>
      <c r="NL24" s="109"/>
      <c r="NM24" s="109"/>
      <c r="NN24" s="109"/>
      <c r="NO24" s="109"/>
      <c r="NP24" s="109"/>
      <c r="NQ24" s="109"/>
      <c r="NR24" s="109"/>
      <c r="NS24" s="109"/>
      <c r="NT24" s="109"/>
      <c r="NU24" s="109"/>
      <c r="NV24" s="109"/>
      <c r="NW24" s="109"/>
      <c r="NX24" s="109"/>
      <c r="NY24" s="109"/>
      <c r="NZ24" s="109"/>
      <c r="OA24" s="109"/>
      <c r="OB24" s="109"/>
      <c r="OC24" s="109"/>
      <c r="OD24" s="109"/>
      <c r="OE24" s="109"/>
      <c r="OF24" s="109"/>
      <c r="OG24" s="109"/>
      <c r="OH24" s="109"/>
      <c r="OI24" s="109"/>
      <c r="OJ24" s="109"/>
      <c r="OK24" s="109"/>
      <c r="OL24" s="109"/>
      <c r="OM24" s="109"/>
      <c r="ON24" s="109"/>
      <c r="OO24" s="109"/>
      <c r="OP24" s="109"/>
      <c r="OQ24" s="109"/>
      <c r="OR24" s="109"/>
      <c r="OS24" s="109"/>
      <c r="OT24" s="109"/>
      <c r="OU24" s="109"/>
      <c r="OV24" s="109"/>
      <c r="OW24" s="109"/>
      <c r="OX24" s="109"/>
      <c r="OY24" s="109"/>
      <c r="OZ24" s="109"/>
      <c r="PA24" s="109"/>
      <c r="PB24" s="109"/>
      <c r="PC24" s="109"/>
      <c r="PD24" s="109"/>
      <c r="PE24" s="109"/>
      <c r="PF24" s="109"/>
      <c r="PG24" s="109"/>
      <c r="PH24" s="109"/>
      <c r="PI24" s="109"/>
      <c r="PJ24" s="109"/>
      <c r="PK24" s="109"/>
      <c r="PL24" s="109"/>
      <c r="PM24" s="109"/>
      <c r="PN24" s="109"/>
      <c r="PO24" s="109"/>
      <c r="PP24" s="109"/>
      <c r="PQ24" s="109"/>
      <c r="PR24" s="109"/>
      <c r="PS24" s="109"/>
      <c r="PT24" s="109"/>
      <c r="PU24" s="109"/>
      <c r="PV24" s="109"/>
      <c r="PW24" s="109"/>
      <c r="PX24" s="109"/>
      <c r="PY24" s="109"/>
      <c r="PZ24" s="109"/>
      <c r="QA24" s="109"/>
      <c r="QB24" s="109"/>
      <c r="QC24" s="109"/>
      <c r="QD24" s="109"/>
      <c r="QE24" s="109"/>
      <c r="QF24" s="109"/>
      <c r="QG24" s="109"/>
      <c r="QH24" s="109"/>
      <c r="QI24" s="109"/>
      <c r="QJ24" s="109"/>
      <c r="QK24" s="109"/>
      <c r="QL24" s="109"/>
      <c r="QM24" s="109"/>
      <c r="QN24" s="109"/>
      <c r="QO24" s="109"/>
      <c r="QP24" s="109"/>
      <c r="QQ24" s="109"/>
      <c r="QR24" s="109"/>
      <c r="QS24" s="109"/>
      <c r="QT24" s="109"/>
      <c r="QU24" s="109"/>
      <c r="QV24" s="109"/>
      <c r="QW24" s="109"/>
      <c r="QX24" s="109"/>
      <c r="QY24" s="109"/>
      <c r="QZ24" s="109"/>
      <c r="RA24" s="109"/>
      <c r="RB24" s="109"/>
      <c r="RC24" s="109"/>
      <c r="RD24" s="109"/>
      <c r="RE24" s="109"/>
      <c r="RF24" s="109"/>
      <c r="RG24" s="109"/>
      <c r="RH24" s="109"/>
      <c r="RI24" s="109"/>
      <c r="RJ24" s="109"/>
      <c r="RK24" s="109"/>
      <c r="RL24" s="109"/>
      <c r="RM24" s="109"/>
      <c r="RN24" s="109"/>
      <c r="RO24" s="109"/>
      <c r="RP24" s="109"/>
      <c r="RQ24" s="109"/>
      <c r="RR24" s="109"/>
      <c r="RS24" s="109"/>
      <c r="RT24" s="109"/>
      <c r="RU24" s="109"/>
      <c r="RV24" s="109"/>
      <c r="RW24" s="109"/>
      <c r="RX24" s="109"/>
      <c r="RY24" s="109"/>
      <c r="RZ24" s="109"/>
      <c r="SA24" s="109"/>
      <c r="SB24" s="109"/>
      <c r="SC24" s="109"/>
      <c r="SD24" s="109"/>
      <c r="SE24" s="109"/>
      <c r="SF24" s="109"/>
      <c r="SG24" s="109"/>
      <c r="SH24" s="109"/>
      <c r="SI24" s="109"/>
      <c r="SJ24" s="109"/>
      <c r="SK24" s="109"/>
      <c r="SL24" s="109"/>
      <c r="SM24" s="109"/>
      <c r="SN24" s="109"/>
      <c r="SO24" s="109"/>
      <c r="SP24" s="109"/>
      <c r="SQ24" s="109"/>
      <c r="SR24" s="109"/>
      <c r="SS24" s="109"/>
      <c r="ST24" s="109"/>
      <c r="SU24" s="109"/>
      <c r="SV24" s="109"/>
      <c r="SW24" s="109"/>
      <c r="SX24" s="109"/>
      <c r="SY24" s="109"/>
      <c r="SZ24" s="109"/>
      <c r="TA24" s="109"/>
      <c r="TB24" s="109"/>
      <c r="TC24" s="109"/>
      <c r="TD24" s="109"/>
      <c r="TE24" s="109"/>
      <c r="TF24" s="109"/>
      <c r="TG24" s="109"/>
      <c r="TH24" s="109"/>
      <c r="TI24" s="109"/>
      <c r="TJ24" s="109"/>
      <c r="TK24" s="109"/>
      <c r="TL24" s="109"/>
      <c r="TM24" s="109"/>
      <c r="TN24" s="109"/>
      <c r="TO24" s="109"/>
      <c r="TP24" s="109"/>
      <c r="TQ24" s="109"/>
      <c r="TR24" s="109"/>
      <c r="TS24" s="109"/>
      <c r="TT24" s="109"/>
      <c r="TU24" s="109"/>
      <c r="TV24" s="109"/>
      <c r="TW24" s="109"/>
      <c r="TX24" s="109"/>
      <c r="TY24" s="109"/>
      <c r="TZ24" s="109"/>
      <c r="UA24" s="109"/>
      <c r="UB24" s="109"/>
      <c r="UC24" s="109"/>
      <c r="UD24" s="109"/>
      <c r="UE24" s="109"/>
      <c r="UF24" s="109"/>
      <c r="UG24" s="109"/>
      <c r="UH24" s="109"/>
      <c r="UI24" s="109"/>
      <c r="UJ24" s="109"/>
      <c r="UK24" s="109"/>
      <c r="UL24" s="109"/>
      <c r="UM24" s="109"/>
      <c r="UN24" s="109"/>
      <c r="UO24" s="109"/>
      <c r="UP24" s="109"/>
      <c r="UQ24" s="109"/>
      <c r="UR24" s="109"/>
      <c r="US24" s="109"/>
      <c r="UT24" s="109"/>
      <c r="UU24" s="109"/>
      <c r="UV24" s="109"/>
      <c r="UW24" s="109"/>
      <c r="UX24" s="109"/>
      <c r="UY24" s="109"/>
      <c r="UZ24" s="109"/>
      <c r="VA24" s="109"/>
      <c r="VB24" s="109"/>
      <c r="VC24" s="109"/>
      <c r="VD24" s="109"/>
      <c r="VE24" s="109"/>
      <c r="VF24" s="109"/>
      <c r="VG24" s="109"/>
      <c r="VH24" s="109"/>
      <c r="VI24" s="109"/>
      <c r="VJ24" s="109"/>
      <c r="VK24" s="109"/>
      <c r="VL24" s="109"/>
      <c r="VM24" s="109"/>
      <c r="VN24" s="109"/>
      <c r="VO24" s="109"/>
      <c r="VP24" s="109"/>
      <c r="VQ24" s="109"/>
      <c r="VR24" s="109"/>
      <c r="VS24" s="109"/>
      <c r="VT24" s="109"/>
      <c r="VU24" s="109"/>
      <c r="VV24" s="109"/>
      <c r="VW24" s="109"/>
      <c r="VX24" s="109"/>
      <c r="VY24" s="109"/>
      <c r="VZ24" s="109"/>
      <c r="WA24" s="109"/>
      <c r="WB24" s="109"/>
      <c r="WC24" s="109"/>
      <c r="WD24" s="109"/>
      <c r="WE24" s="109"/>
      <c r="WF24" s="109"/>
      <c r="WG24" s="109"/>
      <c r="WH24" s="109"/>
      <c r="WI24" s="109"/>
      <c r="WJ24" s="109"/>
      <c r="WK24" s="109"/>
      <c r="WL24" s="109"/>
      <c r="WM24" s="109"/>
      <c r="WN24" s="109"/>
      <c r="WO24" s="109"/>
      <c r="WP24" s="109"/>
      <c r="WQ24" s="109"/>
      <c r="WR24" s="109"/>
      <c r="WS24" s="109"/>
      <c r="WT24" s="109"/>
      <c r="WU24" s="109"/>
      <c r="WV24" s="109"/>
      <c r="WW24" s="109"/>
      <c r="WX24" s="109"/>
      <c r="WY24" s="109"/>
      <c r="WZ24" s="109"/>
      <c r="XA24" s="109"/>
      <c r="XB24" s="109"/>
      <c r="XC24" s="109"/>
      <c r="XD24" s="109"/>
      <c r="XE24" s="109"/>
      <c r="XF24" s="109"/>
      <c r="XG24" s="109"/>
      <c r="XH24" s="109"/>
      <c r="XI24" s="109"/>
      <c r="XJ24" s="109"/>
      <c r="XK24" s="109"/>
      <c r="XL24" s="109"/>
      <c r="XM24" s="109"/>
      <c r="XN24" s="109"/>
      <c r="XO24" s="109"/>
      <c r="XP24" s="109"/>
      <c r="XQ24" s="109"/>
      <c r="XR24" s="109"/>
      <c r="XS24" s="109"/>
      <c r="XT24" s="109"/>
      <c r="XU24" s="109"/>
      <c r="XV24" s="109"/>
      <c r="XW24" s="109"/>
      <c r="XX24" s="109"/>
      <c r="XY24" s="109"/>
      <c r="XZ24" s="109"/>
      <c r="YA24" s="109"/>
      <c r="YB24" s="109"/>
      <c r="YC24" s="109"/>
      <c r="YD24" s="109"/>
      <c r="YE24" s="109"/>
      <c r="YF24" s="109"/>
      <c r="YG24" s="109"/>
      <c r="YH24" s="109"/>
      <c r="YI24" s="109"/>
      <c r="YJ24" s="109"/>
      <c r="YK24" s="109"/>
      <c r="YL24" s="109"/>
      <c r="YM24" s="109"/>
      <c r="YN24" s="109"/>
      <c r="YO24" s="109"/>
      <c r="YP24" s="109"/>
      <c r="YQ24" s="109"/>
      <c r="YR24" s="109"/>
      <c r="YS24" s="109"/>
      <c r="YT24" s="109"/>
      <c r="YU24" s="109"/>
      <c r="YV24" s="109"/>
      <c r="YW24" s="109"/>
      <c r="YX24" s="109"/>
      <c r="YY24" s="109"/>
      <c r="YZ24" s="109"/>
      <c r="ZA24" s="109"/>
      <c r="ZB24" s="109"/>
      <c r="ZC24" s="109"/>
      <c r="ZD24" s="109"/>
      <c r="ZE24" s="109"/>
      <c r="ZF24" s="109"/>
      <c r="ZG24" s="109"/>
      <c r="ZH24" s="109"/>
      <c r="ZI24" s="109"/>
      <c r="ZJ24" s="109"/>
      <c r="ZK24" s="109"/>
      <c r="ZL24" s="109"/>
      <c r="ZM24" s="109"/>
      <c r="ZN24" s="109"/>
      <c r="ZO24" s="109"/>
      <c r="ZP24" s="109"/>
      <c r="ZQ24" s="109"/>
      <c r="ZR24" s="109"/>
      <c r="ZS24" s="109"/>
      <c r="ZT24" s="109"/>
      <c r="ZU24" s="109"/>
      <c r="ZV24" s="109"/>
      <c r="ZW24" s="109"/>
      <c r="ZX24" s="109"/>
      <c r="ZY24" s="109"/>
      <c r="ZZ24" s="109"/>
      <c r="AAA24" s="109"/>
      <c r="AAB24" s="109"/>
      <c r="AAC24" s="109"/>
      <c r="AAD24" s="109"/>
      <c r="AAE24" s="109"/>
      <c r="AAF24" s="109"/>
      <c r="AAG24" s="109"/>
      <c r="AAH24" s="109"/>
      <c r="AAI24" s="109"/>
      <c r="AAJ24" s="109"/>
      <c r="AAK24" s="109"/>
      <c r="AAL24" s="109"/>
      <c r="AAM24" s="109"/>
      <c r="AAN24" s="109"/>
      <c r="AAO24" s="109"/>
      <c r="AAP24" s="109"/>
      <c r="AAQ24" s="109"/>
      <c r="AAR24" s="109"/>
      <c r="AAS24" s="109"/>
      <c r="AAT24" s="109"/>
      <c r="AAU24" s="109"/>
      <c r="AAV24" s="109"/>
      <c r="AAW24" s="109"/>
      <c r="AAX24" s="109"/>
      <c r="AAY24" s="109"/>
      <c r="AAZ24" s="109"/>
      <c r="ABA24" s="109"/>
      <c r="ABB24" s="109"/>
      <c r="ABC24" s="109"/>
      <c r="ABD24" s="109"/>
      <c r="ABE24" s="109"/>
      <c r="ABF24" s="109"/>
      <c r="ABG24" s="109"/>
      <c r="ABH24" s="109"/>
      <c r="ABI24" s="109"/>
      <c r="ABJ24" s="109"/>
      <c r="ABK24" s="109"/>
      <c r="ABL24" s="109"/>
      <c r="ABM24" s="109"/>
      <c r="ABN24" s="109"/>
      <c r="ABO24" s="109"/>
      <c r="ABP24" s="109"/>
      <c r="ABQ24" s="109"/>
      <c r="ABR24" s="109"/>
      <c r="ABS24" s="109"/>
      <c r="ABT24" s="109"/>
      <c r="ABU24" s="109"/>
      <c r="ABV24" s="109"/>
      <c r="ABW24" s="109"/>
      <c r="ABX24" s="109"/>
      <c r="ABY24" s="109"/>
      <c r="ABZ24" s="109"/>
      <c r="ACA24" s="109"/>
      <c r="ACB24" s="109"/>
      <c r="ACC24" s="109"/>
      <c r="ACD24" s="109"/>
      <c r="ACE24" s="109"/>
      <c r="ACF24" s="109"/>
      <c r="ACG24" s="109"/>
      <c r="ACH24" s="109"/>
      <c r="ACI24" s="109"/>
      <c r="ACJ24" s="109"/>
      <c r="ACK24" s="109"/>
      <c r="ACL24" s="109"/>
      <c r="ACM24" s="109"/>
      <c r="ACN24" s="109"/>
      <c r="ACO24" s="109"/>
      <c r="ACP24" s="109"/>
      <c r="ACQ24" s="109"/>
      <c r="ACR24" s="109"/>
      <c r="ACS24" s="109"/>
      <c r="ACT24" s="109"/>
      <c r="ACU24" s="109"/>
      <c r="ACV24" s="109"/>
      <c r="ACW24" s="109"/>
      <c r="ACX24" s="109"/>
      <c r="ACY24" s="109"/>
      <c r="ACZ24" s="109"/>
      <c r="ADA24" s="109"/>
      <c r="ADB24" s="109"/>
      <c r="ADC24" s="109"/>
      <c r="ADD24" s="109"/>
      <c r="ADE24" s="109"/>
      <c r="ADF24" s="109"/>
      <c r="ADG24" s="109"/>
      <c r="ADH24" s="109"/>
      <c r="ADI24" s="109"/>
      <c r="ADJ24" s="109"/>
      <c r="ADK24" s="109"/>
      <c r="ADL24" s="109"/>
      <c r="ADM24" s="109"/>
      <c r="ADN24" s="109"/>
      <c r="ADO24" s="109"/>
      <c r="ADP24" s="109"/>
      <c r="ADQ24" s="109"/>
      <c r="ADR24" s="109"/>
      <c r="ADS24" s="109"/>
      <c r="ADT24" s="109"/>
      <c r="ADU24" s="109"/>
      <c r="ADV24" s="109"/>
      <c r="ADW24" s="109"/>
      <c r="ADX24" s="109"/>
      <c r="ADY24" s="109"/>
      <c r="ADZ24" s="109"/>
      <c r="AEA24" s="109"/>
      <c r="AEB24" s="109"/>
      <c r="AEC24" s="109"/>
      <c r="AED24" s="109"/>
      <c r="AEE24" s="109"/>
      <c r="AEF24" s="109"/>
      <c r="AEG24" s="109"/>
      <c r="AEH24" s="109"/>
      <c r="AEI24" s="109"/>
      <c r="AEJ24" s="109"/>
      <c r="AEK24" s="109"/>
      <c r="AEL24" s="109"/>
      <c r="AEM24" s="109"/>
      <c r="AEN24" s="109"/>
      <c r="AEO24" s="109"/>
      <c r="AEP24" s="109"/>
      <c r="AEQ24" s="109"/>
      <c r="AER24" s="109"/>
      <c r="AES24" s="109"/>
      <c r="AET24" s="109"/>
      <c r="AEU24" s="109"/>
      <c r="AEV24" s="109"/>
      <c r="AEW24" s="109"/>
      <c r="AEX24" s="109"/>
      <c r="AEY24" s="109"/>
      <c r="AEZ24" s="109"/>
      <c r="AFA24" s="109"/>
      <c r="AFB24" s="109"/>
      <c r="AFC24" s="109"/>
      <c r="AFD24" s="109"/>
      <c r="AFE24" s="109"/>
      <c r="AFF24" s="109"/>
      <c r="AFG24" s="109"/>
      <c r="AFH24" s="109"/>
      <c r="AFI24" s="109"/>
      <c r="AFJ24" s="109"/>
      <c r="AFK24" s="109"/>
      <c r="AFL24" s="109"/>
      <c r="AFM24" s="109"/>
      <c r="AFN24" s="109"/>
      <c r="AFO24" s="109"/>
      <c r="AFP24" s="109"/>
      <c r="AFQ24" s="109"/>
      <c r="AFR24" s="109"/>
      <c r="AFS24" s="109"/>
      <c r="AFT24" s="109"/>
      <c r="AFU24" s="109"/>
      <c r="AFV24" s="109"/>
      <c r="AFW24" s="109"/>
      <c r="AFX24" s="109"/>
      <c r="AFY24" s="109"/>
      <c r="AFZ24" s="109"/>
      <c r="AGA24" s="109"/>
      <c r="AGB24" s="109"/>
      <c r="AGC24" s="109"/>
      <c r="AGD24" s="109"/>
      <c r="AGE24" s="109"/>
      <c r="AGF24" s="109"/>
      <c r="AGG24" s="109"/>
      <c r="AGH24" s="109"/>
      <c r="AGI24" s="109"/>
      <c r="AGJ24" s="109"/>
      <c r="AGK24" s="109"/>
      <c r="AGL24" s="109"/>
      <c r="AGM24" s="109"/>
      <c r="AGN24" s="109"/>
      <c r="AGO24" s="109"/>
      <c r="AGP24" s="109"/>
      <c r="AGQ24" s="109"/>
      <c r="AGR24" s="109"/>
      <c r="AGS24" s="109"/>
      <c r="AGT24" s="109"/>
      <c r="AGU24" s="109"/>
      <c r="AGV24" s="109"/>
      <c r="AGW24" s="109"/>
      <c r="AGX24" s="109"/>
      <c r="AGY24" s="109"/>
      <c r="AGZ24" s="109"/>
      <c r="AHA24" s="109"/>
      <c r="AHB24" s="109"/>
      <c r="AHC24" s="109"/>
      <c r="AHD24" s="109"/>
      <c r="AHE24" s="109"/>
      <c r="AHF24" s="109"/>
      <c r="AHG24" s="109"/>
      <c r="AHH24" s="109"/>
      <c r="AHI24" s="109"/>
      <c r="AHJ24" s="109"/>
      <c r="AHK24" s="109"/>
      <c r="AHL24" s="109"/>
      <c r="AHM24" s="109"/>
      <c r="AHN24" s="109"/>
      <c r="AHO24" s="109"/>
      <c r="AHP24" s="109"/>
      <c r="AHQ24" s="109"/>
      <c r="AHR24" s="109"/>
      <c r="AHS24" s="109"/>
      <c r="AHT24" s="109"/>
      <c r="AHU24" s="109"/>
      <c r="AHV24" s="109"/>
      <c r="AHW24" s="109"/>
      <c r="AHX24" s="109"/>
      <c r="AHY24" s="109"/>
      <c r="AHZ24" s="109"/>
      <c r="AIA24" s="109"/>
      <c r="AIB24" s="109"/>
      <c r="AIC24" s="109"/>
      <c r="AID24" s="109"/>
      <c r="AIE24" s="109"/>
      <c r="AIF24" s="109"/>
      <c r="AIG24" s="109"/>
      <c r="AIH24" s="109"/>
      <c r="AII24" s="109"/>
      <c r="AIJ24" s="109"/>
      <c r="AIK24" s="109"/>
      <c r="AIL24" s="109"/>
      <c r="AIM24" s="109"/>
      <c r="AIN24" s="109"/>
      <c r="AIO24" s="109"/>
      <c r="AIP24" s="109"/>
      <c r="AIQ24" s="109"/>
      <c r="AIR24" s="109"/>
      <c r="AIS24" s="109"/>
      <c r="AIT24" s="109"/>
      <c r="AIU24" s="109"/>
      <c r="AIV24" s="109"/>
      <c r="AIW24" s="109"/>
      <c r="AIX24" s="109"/>
      <c r="AIY24" s="109"/>
      <c r="AIZ24" s="109"/>
      <c r="AJA24" s="109"/>
      <c r="AJB24" s="109"/>
      <c r="AJC24" s="109"/>
      <c r="AJD24" s="109"/>
      <c r="AJE24" s="109"/>
      <c r="AJF24" s="109"/>
      <c r="AJG24" s="109"/>
      <c r="AJH24" s="109"/>
      <c r="AJI24" s="109"/>
      <c r="AJJ24" s="109"/>
      <c r="AJK24" s="109"/>
      <c r="AJL24" s="109"/>
      <c r="AJM24" s="109"/>
      <c r="AJN24" s="109"/>
      <c r="AJO24" s="109"/>
      <c r="AJP24" s="109"/>
      <c r="AJQ24" s="109"/>
      <c r="AJR24" s="109"/>
      <c r="AJS24" s="109"/>
      <c r="AJT24" s="109"/>
      <c r="AJU24" s="109"/>
      <c r="AJV24" s="109"/>
      <c r="AJW24" s="109"/>
      <c r="AJX24" s="109"/>
      <c r="AJY24" s="109"/>
      <c r="AJZ24" s="109"/>
      <c r="AKA24" s="109"/>
      <c r="AKB24" s="109"/>
      <c r="AKC24" s="109"/>
      <c r="AKD24" s="109"/>
      <c r="AKE24" s="109"/>
      <c r="AKF24" s="109"/>
      <c r="AKG24" s="109"/>
      <c r="AKH24" s="109"/>
      <c r="AKI24" s="109"/>
      <c r="AKJ24" s="109"/>
      <c r="AKK24" s="109"/>
      <c r="AKL24" s="109"/>
      <c r="AKM24" s="109"/>
      <c r="AKN24" s="109"/>
      <c r="AKO24" s="109"/>
      <c r="AKP24" s="109"/>
      <c r="AKQ24" s="109"/>
      <c r="AKR24" s="109"/>
      <c r="AKS24" s="109"/>
      <c r="AKT24" s="109"/>
      <c r="AKU24" s="109"/>
      <c r="AKV24" s="109"/>
      <c r="AKW24" s="109"/>
      <c r="AKX24" s="109"/>
      <c r="AKY24" s="109"/>
      <c r="AKZ24" s="109"/>
      <c r="ALA24" s="109"/>
      <c r="ALB24" s="109"/>
      <c r="ALC24" s="109"/>
      <c r="ALD24" s="109"/>
      <c r="ALE24" s="109"/>
      <c r="ALF24" s="109"/>
      <c r="ALG24" s="109"/>
      <c r="ALH24" s="109"/>
      <c r="ALI24" s="109"/>
      <c r="ALJ24" s="109"/>
      <c r="ALK24" s="109"/>
      <c r="ALL24" s="109"/>
      <c r="ALM24" s="109"/>
      <c r="ALN24" s="109"/>
      <c r="ALO24" s="109"/>
      <c r="ALP24" s="109"/>
      <c r="ALQ24" s="109"/>
      <c r="ALR24" s="109"/>
      <c r="ALS24" s="109"/>
      <c r="ALT24" s="109"/>
      <c r="ALU24" s="109"/>
      <c r="ALV24" s="109"/>
      <c r="ALW24" s="109"/>
      <c r="ALX24" s="109"/>
      <c r="ALY24" s="109"/>
      <c r="ALZ24" s="109"/>
      <c r="AMA24" s="109"/>
      <c r="AMB24" s="109"/>
      <c r="AMC24" s="109"/>
      <c r="AMD24" s="109"/>
      <c r="AME24" s="109"/>
      <c r="AMF24" s="109"/>
      <c r="AMG24" s="109"/>
      <c r="AMH24" s="109"/>
      <c r="AMI24" s="109"/>
      <c r="AMJ24" s="109"/>
      <c r="AMK24" s="109"/>
      <c r="AML24" s="109"/>
      <c r="AMM24" s="109"/>
      <c r="AMN24" s="109"/>
      <c r="AMO24" s="109"/>
      <c r="AMP24" s="109"/>
      <c r="AMQ24" s="109"/>
      <c r="AMR24" s="109"/>
      <c r="AMS24" s="109"/>
      <c r="AMT24" s="109"/>
      <c r="AMU24" s="109"/>
      <c r="AMV24" s="109"/>
      <c r="AMW24" s="109"/>
      <c r="AMX24" s="109"/>
      <c r="AMY24" s="109"/>
      <c r="AMZ24" s="109"/>
      <c r="ANA24" s="109"/>
      <c r="ANB24" s="109"/>
      <c r="ANC24" s="109"/>
      <c r="AND24" s="109"/>
      <c r="ANE24" s="109"/>
      <c r="ANF24" s="109"/>
      <c r="ANG24" s="109"/>
      <c r="ANH24" s="109"/>
      <c r="ANI24" s="109"/>
      <c r="ANJ24" s="109"/>
      <c r="ANK24" s="109"/>
      <c r="ANL24" s="109"/>
      <c r="ANM24" s="109"/>
      <c r="ANN24" s="109"/>
      <c r="ANO24" s="109"/>
      <c r="ANP24" s="109"/>
      <c r="ANQ24" s="109"/>
      <c r="ANR24" s="109"/>
      <c r="ANS24" s="109"/>
      <c r="ANT24" s="109"/>
      <c r="ANU24" s="109"/>
      <c r="ANV24" s="109"/>
      <c r="ANW24" s="109"/>
      <c r="ANX24" s="109"/>
      <c r="ANY24" s="109"/>
      <c r="ANZ24" s="109"/>
      <c r="AOA24" s="109"/>
      <c r="AOB24" s="109"/>
      <c r="AOC24" s="109"/>
      <c r="AOD24" s="109"/>
      <c r="AOE24" s="109"/>
      <c r="AOF24" s="109"/>
      <c r="AOG24" s="109"/>
      <c r="AOH24" s="109"/>
      <c r="AOI24" s="109"/>
      <c r="AOJ24" s="109"/>
      <c r="AOK24" s="109"/>
      <c r="AOL24" s="109"/>
      <c r="AOM24" s="109"/>
      <c r="AON24" s="109"/>
      <c r="AOO24" s="109"/>
      <c r="AOP24" s="109"/>
      <c r="AOQ24" s="109"/>
      <c r="AOR24" s="109"/>
      <c r="AOS24" s="109"/>
      <c r="AOT24" s="109"/>
      <c r="AOU24" s="109"/>
      <c r="AOV24" s="109"/>
      <c r="AOW24" s="109"/>
      <c r="AOX24" s="109"/>
      <c r="AOY24" s="109"/>
      <c r="AOZ24" s="109"/>
      <c r="APA24" s="109"/>
      <c r="APB24" s="109"/>
      <c r="APC24" s="109"/>
      <c r="APD24" s="109"/>
      <c r="APE24" s="109"/>
      <c r="APF24" s="109"/>
      <c r="APG24" s="109"/>
      <c r="APH24" s="109"/>
      <c r="API24" s="109"/>
      <c r="APJ24" s="109"/>
      <c r="APK24" s="109"/>
      <c r="APL24" s="109"/>
      <c r="APM24" s="109"/>
      <c r="APN24" s="109"/>
      <c r="APO24" s="109"/>
      <c r="APP24" s="109"/>
      <c r="APQ24" s="109"/>
      <c r="APR24" s="109"/>
      <c r="APS24" s="109"/>
      <c r="APT24" s="109"/>
      <c r="APU24" s="109"/>
      <c r="APV24" s="109"/>
      <c r="APW24" s="109"/>
      <c r="APX24" s="109"/>
      <c r="APY24" s="109"/>
      <c r="APZ24" s="109"/>
      <c r="AQA24" s="109"/>
      <c r="AQB24" s="109"/>
      <c r="AQC24" s="109"/>
      <c r="AQD24" s="109"/>
      <c r="AQE24" s="109"/>
      <c r="AQF24" s="109"/>
      <c r="AQG24" s="109"/>
      <c r="AQH24" s="109"/>
      <c r="AQI24" s="109"/>
      <c r="AQJ24" s="109"/>
      <c r="AQK24" s="109"/>
      <c r="AQL24" s="109"/>
      <c r="AQM24" s="109"/>
      <c r="AQN24" s="109"/>
      <c r="AQO24" s="109"/>
      <c r="AQP24" s="109"/>
      <c r="AQQ24" s="109"/>
      <c r="AQR24" s="109"/>
      <c r="AQS24" s="109"/>
      <c r="AQT24" s="109"/>
      <c r="AQU24" s="109"/>
      <c r="AQV24" s="109"/>
      <c r="AQW24" s="109"/>
      <c r="AQX24" s="109"/>
      <c r="AQY24" s="109"/>
      <c r="AQZ24" s="109"/>
      <c r="ARA24" s="109"/>
      <c r="ARB24" s="109"/>
      <c r="ARC24" s="109"/>
      <c r="ARD24" s="109"/>
      <c r="ARE24" s="109"/>
      <c r="ARF24" s="109"/>
      <c r="ARG24" s="109"/>
      <c r="ARH24" s="109"/>
      <c r="ARI24" s="109"/>
      <c r="ARJ24" s="109"/>
      <c r="ARK24" s="109"/>
      <c r="ARL24" s="109"/>
      <c r="ARM24" s="109"/>
      <c r="ARN24" s="109"/>
      <c r="ARO24" s="109"/>
      <c r="ARP24" s="109"/>
      <c r="ARQ24" s="109"/>
      <c r="ARR24" s="109"/>
      <c r="ARS24" s="109"/>
      <c r="ART24" s="109"/>
      <c r="ARU24" s="109"/>
      <c r="ARV24" s="109"/>
      <c r="ARW24" s="109"/>
      <c r="ARX24" s="109"/>
      <c r="ARY24" s="109"/>
      <c r="ARZ24" s="109"/>
      <c r="ASA24" s="109"/>
      <c r="ASB24" s="109"/>
      <c r="ASC24" s="109"/>
      <c r="ASD24" s="109"/>
      <c r="ASE24" s="109"/>
      <c r="ASF24" s="109"/>
      <c r="ASG24" s="109"/>
      <c r="ASH24" s="109"/>
      <c r="ASI24" s="109"/>
      <c r="ASJ24" s="109"/>
      <c r="ASK24" s="109"/>
      <c r="ASL24" s="109"/>
      <c r="ASM24" s="109"/>
      <c r="ASN24" s="109"/>
      <c r="ASO24" s="109"/>
      <c r="ASP24" s="109"/>
      <c r="ASQ24" s="109"/>
      <c r="ASR24" s="109"/>
      <c r="ASS24" s="109"/>
      <c r="AST24" s="109"/>
      <c r="ASU24" s="109"/>
      <c r="ASV24" s="109"/>
      <c r="ASW24" s="109"/>
      <c r="ASX24" s="109"/>
      <c r="ASY24" s="109"/>
      <c r="ASZ24" s="109"/>
      <c r="ATA24" s="109"/>
      <c r="ATB24" s="109"/>
      <c r="ATC24" s="109"/>
      <c r="ATD24" s="109"/>
      <c r="ATE24" s="109"/>
      <c r="ATF24" s="109"/>
      <c r="ATG24" s="109"/>
      <c r="ATH24" s="109"/>
      <c r="ATI24" s="109"/>
      <c r="ATJ24" s="109"/>
      <c r="ATK24" s="109"/>
      <c r="ATL24" s="109"/>
      <c r="ATM24" s="109"/>
      <c r="ATN24" s="109"/>
      <c r="ATO24" s="109"/>
      <c r="ATP24" s="109"/>
      <c r="ATQ24" s="109"/>
      <c r="ATR24" s="109"/>
      <c r="ATS24" s="109"/>
      <c r="ATT24" s="109"/>
      <c r="ATU24" s="109"/>
      <c r="ATV24" s="109"/>
      <c r="ATW24" s="109"/>
      <c r="ATX24" s="109"/>
      <c r="ATY24" s="109"/>
      <c r="ATZ24" s="109"/>
      <c r="AUA24" s="109"/>
      <c r="AUB24" s="109"/>
      <c r="AUC24" s="109"/>
      <c r="AUD24" s="109"/>
      <c r="AUE24" s="109"/>
      <c r="AUF24" s="109"/>
      <c r="AUG24" s="109"/>
      <c r="AUH24" s="109"/>
      <c r="AUI24" s="109"/>
      <c r="AUJ24" s="109"/>
      <c r="AUK24" s="109"/>
      <c r="AUL24" s="109"/>
      <c r="AUM24" s="109"/>
      <c r="AUN24" s="109"/>
      <c r="AUO24" s="109"/>
      <c r="AUP24" s="109"/>
      <c r="AUQ24" s="109"/>
      <c r="AUR24" s="109"/>
      <c r="AUS24" s="109"/>
      <c r="AUT24" s="109"/>
      <c r="AUU24" s="109"/>
      <c r="AUV24" s="109"/>
      <c r="AUW24" s="109"/>
      <c r="AUX24" s="109"/>
      <c r="AUY24" s="109"/>
      <c r="AUZ24" s="109"/>
      <c r="AVA24" s="109"/>
      <c r="AVB24" s="109"/>
      <c r="AVC24" s="109"/>
      <c r="AVD24" s="109"/>
      <c r="AVE24" s="109"/>
      <c r="AVF24" s="109"/>
      <c r="AVG24" s="109"/>
      <c r="AVH24" s="109"/>
      <c r="AVI24" s="109"/>
      <c r="AVJ24" s="109"/>
      <c r="AVK24" s="109"/>
      <c r="AVL24" s="109"/>
      <c r="AVM24" s="109"/>
      <c r="AVN24" s="109"/>
      <c r="AVO24" s="109"/>
      <c r="AVP24" s="109"/>
      <c r="AVQ24" s="109"/>
      <c r="AVR24" s="109"/>
      <c r="AVS24" s="109"/>
      <c r="AVT24" s="109"/>
      <c r="AVU24" s="109"/>
      <c r="AVV24" s="109"/>
      <c r="AVW24" s="109"/>
      <c r="AVX24" s="109"/>
      <c r="AVY24" s="109"/>
      <c r="AVZ24" s="109"/>
      <c r="AWA24" s="109"/>
      <c r="AWB24" s="109"/>
      <c r="AWC24" s="109"/>
      <c r="AWD24" s="109"/>
      <c r="AWE24" s="109"/>
      <c r="AWF24" s="109"/>
      <c r="AWG24" s="109"/>
      <c r="AWH24" s="109"/>
      <c r="AWI24" s="109"/>
      <c r="AWJ24" s="109"/>
      <c r="AWK24" s="109"/>
      <c r="AWL24" s="109"/>
      <c r="AWM24" s="109"/>
      <c r="AWN24" s="109"/>
      <c r="AWO24" s="109"/>
      <c r="AWP24" s="109"/>
      <c r="AWQ24" s="109"/>
      <c r="AWR24" s="109"/>
      <c r="AWS24" s="109"/>
      <c r="AWT24" s="109"/>
      <c r="AWU24" s="109"/>
      <c r="AWV24" s="109"/>
      <c r="AWW24" s="109"/>
      <c r="AWX24" s="109"/>
      <c r="AWY24" s="109"/>
      <c r="AWZ24" s="109"/>
      <c r="AXA24" s="109"/>
      <c r="AXB24" s="109"/>
      <c r="AXC24" s="109"/>
      <c r="AXD24" s="109"/>
      <c r="AXE24" s="109"/>
      <c r="AXF24" s="109"/>
      <c r="AXG24" s="109"/>
      <c r="AXH24" s="109"/>
      <c r="AXI24" s="109"/>
      <c r="AXJ24" s="109"/>
      <c r="AXK24" s="109"/>
      <c r="AXL24" s="109"/>
      <c r="AXM24" s="109"/>
      <c r="AXN24" s="109"/>
      <c r="AXO24" s="109"/>
      <c r="AXP24" s="109"/>
      <c r="AXQ24" s="109"/>
      <c r="AXR24" s="109"/>
      <c r="AXS24" s="109"/>
      <c r="AXT24" s="109"/>
      <c r="AXU24" s="109"/>
      <c r="AXV24" s="109"/>
      <c r="AXW24" s="109"/>
      <c r="AXX24" s="109"/>
      <c r="AXY24" s="109"/>
      <c r="AXZ24" s="109"/>
      <c r="AYA24" s="109"/>
      <c r="AYB24" s="109"/>
      <c r="AYC24" s="109"/>
      <c r="AYD24" s="109"/>
      <c r="AYE24" s="109"/>
      <c r="AYF24" s="109"/>
      <c r="AYG24" s="109"/>
      <c r="AYH24" s="109"/>
      <c r="AYI24" s="109"/>
      <c r="AYJ24" s="109"/>
      <c r="AYK24" s="109"/>
      <c r="AYL24" s="109"/>
      <c r="AYM24" s="109"/>
      <c r="AYN24" s="109"/>
      <c r="AYO24" s="109"/>
      <c r="AYP24" s="109"/>
      <c r="AYQ24" s="109"/>
      <c r="AYR24" s="109"/>
      <c r="AYS24" s="109"/>
      <c r="AYT24" s="109"/>
      <c r="AYU24" s="109"/>
      <c r="AYV24" s="109"/>
      <c r="AYW24" s="109"/>
      <c r="AYX24" s="109"/>
      <c r="AYY24" s="109"/>
      <c r="AYZ24" s="109"/>
      <c r="AZA24" s="109"/>
      <c r="AZB24" s="109"/>
      <c r="AZC24" s="109"/>
      <c r="AZD24" s="109"/>
      <c r="AZE24" s="109"/>
      <c r="AZF24" s="109"/>
      <c r="AZG24" s="109"/>
      <c r="AZH24" s="109"/>
      <c r="AZI24" s="109"/>
      <c r="AZJ24" s="109"/>
      <c r="AZK24" s="109"/>
      <c r="AZL24" s="109"/>
      <c r="AZM24" s="109"/>
      <c r="AZN24" s="109"/>
      <c r="AZO24" s="109"/>
      <c r="AZP24" s="109"/>
      <c r="AZQ24" s="109"/>
      <c r="AZR24" s="109"/>
      <c r="AZS24" s="109"/>
      <c r="AZT24" s="109"/>
      <c r="AZU24" s="109"/>
      <c r="AZV24" s="109"/>
      <c r="AZW24" s="109"/>
      <c r="AZX24" s="109"/>
      <c r="AZY24" s="109"/>
      <c r="AZZ24" s="109"/>
      <c r="BAA24" s="109"/>
      <c r="BAB24" s="109"/>
      <c r="BAC24" s="109"/>
      <c r="BAD24" s="109"/>
      <c r="BAE24" s="109"/>
      <c r="BAF24" s="109"/>
      <c r="BAG24" s="109"/>
      <c r="BAH24" s="109"/>
      <c r="BAI24" s="109"/>
      <c r="BAJ24" s="109"/>
      <c r="BAK24" s="109"/>
      <c r="BAL24" s="109"/>
      <c r="BAM24" s="109"/>
      <c r="BAN24" s="109"/>
      <c r="BAO24" s="109"/>
      <c r="BAP24" s="109"/>
      <c r="BAQ24" s="109"/>
      <c r="BAR24" s="109"/>
      <c r="BAS24" s="109"/>
      <c r="BAT24" s="109"/>
      <c r="BAU24" s="109"/>
      <c r="BAV24" s="109"/>
      <c r="BAW24" s="109"/>
      <c r="BAX24" s="109"/>
      <c r="BAY24" s="109"/>
      <c r="BAZ24" s="109"/>
      <c r="BBA24" s="109"/>
      <c r="BBB24" s="109"/>
      <c r="BBC24" s="109"/>
      <c r="BBD24" s="109"/>
      <c r="BBE24" s="109"/>
      <c r="BBF24" s="109"/>
      <c r="BBG24" s="109"/>
      <c r="BBH24" s="109"/>
      <c r="BBI24" s="109"/>
      <c r="BBJ24" s="109"/>
      <c r="BBK24" s="109"/>
      <c r="BBL24" s="109"/>
      <c r="BBM24" s="109"/>
      <c r="BBN24" s="109"/>
      <c r="BBO24" s="109"/>
      <c r="BBP24" s="109"/>
      <c r="BBQ24" s="109"/>
      <c r="BBR24" s="109"/>
      <c r="BBS24" s="109"/>
      <c r="BBT24" s="109"/>
      <c r="BBU24" s="109"/>
      <c r="BBV24" s="109"/>
      <c r="BBW24" s="109"/>
      <c r="BBX24" s="109"/>
      <c r="BBY24" s="109"/>
      <c r="BBZ24" s="109"/>
      <c r="BCA24" s="109"/>
      <c r="BCB24" s="109"/>
      <c r="BCC24" s="109"/>
      <c r="BCD24" s="109"/>
      <c r="BCE24" s="109"/>
      <c r="BCF24" s="109"/>
      <c r="BCG24" s="109"/>
      <c r="BCH24" s="109"/>
      <c r="BCI24" s="109"/>
      <c r="BCJ24" s="109"/>
      <c r="BCK24" s="109"/>
      <c r="BCL24" s="109"/>
      <c r="BCM24" s="109"/>
      <c r="BCN24" s="109"/>
      <c r="BCO24" s="109"/>
      <c r="BCP24" s="109"/>
      <c r="BCQ24" s="109"/>
      <c r="BCR24" s="109"/>
      <c r="BCS24" s="109"/>
      <c r="BCT24" s="109"/>
      <c r="BCU24" s="109"/>
      <c r="BCV24" s="109"/>
      <c r="BCW24" s="109"/>
      <c r="BCX24" s="109"/>
      <c r="BCY24" s="109"/>
      <c r="BCZ24" s="109"/>
      <c r="BDA24" s="109"/>
      <c r="BDB24" s="109"/>
      <c r="BDC24" s="109"/>
      <c r="BDD24" s="109"/>
      <c r="BDE24" s="109"/>
      <c r="BDF24" s="109"/>
      <c r="BDG24" s="109"/>
      <c r="BDH24" s="109"/>
      <c r="BDI24" s="109"/>
      <c r="BDJ24" s="109"/>
      <c r="BDK24" s="109"/>
      <c r="BDL24" s="109"/>
      <c r="BDM24" s="109"/>
      <c r="BDN24" s="109"/>
      <c r="BDO24" s="109"/>
      <c r="BDP24" s="109"/>
      <c r="BDQ24" s="109"/>
      <c r="BDR24" s="109"/>
      <c r="BDS24" s="109"/>
      <c r="BDT24" s="109"/>
      <c r="BDU24" s="109"/>
      <c r="BDV24" s="109"/>
      <c r="BDW24" s="109"/>
      <c r="BDX24" s="109"/>
      <c r="BDY24" s="109"/>
      <c r="BDZ24" s="109"/>
      <c r="BEA24" s="109"/>
      <c r="BEB24" s="109"/>
      <c r="BEC24" s="109"/>
      <c r="BED24" s="109"/>
      <c r="BEE24" s="109"/>
      <c r="BEF24" s="109"/>
      <c r="BEG24" s="109"/>
      <c r="BEH24" s="109"/>
      <c r="BEI24" s="109"/>
      <c r="BEJ24" s="109"/>
      <c r="BEK24" s="109"/>
      <c r="BEL24" s="109"/>
      <c r="BEM24" s="109"/>
      <c r="BEN24" s="109"/>
      <c r="BEO24" s="109"/>
      <c r="BEP24" s="109"/>
      <c r="BEQ24" s="109"/>
      <c r="BER24" s="109"/>
      <c r="BES24" s="109"/>
      <c r="BET24" s="109"/>
      <c r="BEU24" s="109"/>
      <c r="BEV24" s="109"/>
      <c r="BEW24" s="109"/>
      <c r="BEX24" s="109"/>
      <c r="BEY24" s="109"/>
      <c r="BEZ24" s="109"/>
      <c r="BFA24" s="109"/>
      <c r="BFB24" s="109"/>
      <c r="BFC24" s="109"/>
      <c r="BFD24" s="109"/>
      <c r="BFE24" s="109"/>
      <c r="BFF24" s="109"/>
      <c r="BFG24" s="109"/>
      <c r="BFH24" s="109"/>
      <c r="BFI24" s="109"/>
      <c r="BFJ24" s="109"/>
      <c r="BFK24" s="109"/>
      <c r="BFL24" s="109"/>
      <c r="BFM24" s="109"/>
      <c r="BFN24" s="109"/>
      <c r="BFO24" s="109"/>
      <c r="BFP24" s="109"/>
      <c r="BFQ24" s="109"/>
      <c r="BFR24" s="109"/>
      <c r="BFS24" s="109"/>
      <c r="BFT24" s="109"/>
      <c r="BFU24" s="109"/>
      <c r="BFV24" s="109"/>
      <c r="BFW24" s="109"/>
      <c r="BFX24" s="109"/>
      <c r="BFY24" s="109"/>
      <c r="BFZ24" s="109"/>
      <c r="BGA24" s="109"/>
      <c r="BGB24" s="109"/>
      <c r="BGC24" s="109"/>
      <c r="BGD24" s="109"/>
      <c r="BGE24" s="109"/>
      <c r="BGF24" s="109"/>
      <c r="BGG24" s="109"/>
      <c r="BGH24" s="109"/>
      <c r="BGI24" s="109"/>
      <c r="BGJ24" s="109"/>
      <c r="BGK24" s="109"/>
      <c r="BGL24" s="109"/>
      <c r="BGM24" s="109"/>
      <c r="BGN24" s="109"/>
      <c r="BGO24" s="109"/>
      <c r="BGP24" s="109"/>
      <c r="BGQ24" s="109"/>
      <c r="BGR24" s="109"/>
      <c r="BGS24" s="109"/>
      <c r="BGT24" s="109"/>
      <c r="BGU24" s="109"/>
      <c r="BGV24" s="109"/>
      <c r="BGW24" s="109"/>
      <c r="BGX24" s="109"/>
      <c r="BGY24" s="109"/>
      <c r="BGZ24" s="109"/>
      <c r="BHA24" s="109"/>
      <c r="BHB24" s="109"/>
      <c r="BHC24" s="109"/>
      <c r="BHD24" s="109"/>
      <c r="BHE24" s="109"/>
      <c r="BHF24" s="109"/>
      <c r="BHG24" s="109"/>
      <c r="BHH24" s="109"/>
      <c r="BHI24" s="109"/>
      <c r="BHJ24" s="109"/>
      <c r="BHK24" s="109"/>
      <c r="BHL24" s="109"/>
      <c r="BHM24" s="109"/>
      <c r="BHN24" s="109"/>
      <c r="BHO24" s="109"/>
      <c r="BHP24" s="109"/>
      <c r="BHQ24" s="109"/>
      <c r="BHR24" s="109"/>
      <c r="BHS24" s="109"/>
      <c r="BHT24" s="109"/>
      <c r="BHU24" s="109"/>
      <c r="BHV24" s="109"/>
      <c r="BHW24" s="109"/>
      <c r="BHX24" s="109"/>
      <c r="BHY24" s="109"/>
      <c r="BHZ24" s="109"/>
      <c r="BIA24" s="109"/>
      <c r="BIB24" s="109"/>
      <c r="BIC24" s="109"/>
      <c r="BID24" s="109"/>
      <c r="BIE24" s="109"/>
      <c r="BIF24" s="109"/>
      <c r="BIG24" s="109"/>
      <c r="BIH24" s="109"/>
      <c r="BII24" s="109"/>
      <c r="BIJ24" s="109"/>
      <c r="BIK24" s="109"/>
      <c r="BIL24" s="109"/>
      <c r="BIM24" s="109"/>
      <c r="BIN24" s="109"/>
      <c r="BIO24" s="109"/>
      <c r="BIP24" s="109"/>
      <c r="BIQ24" s="109"/>
      <c r="BIR24" s="109"/>
      <c r="BIS24" s="109"/>
      <c r="BIT24" s="109"/>
      <c r="BIU24" s="109"/>
      <c r="BIV24" s="109"/>
      <c r="BIW24" s="109"/>
      <c r="BIX24" s="109"/>
      <c r="BIY24" s="109"/>
      <c r="BIZ24" s="109"/>
      <c r="BJA24" s="109"/>
      <c r="BJB24" s="109"/>
      <c r="BJC24" s="109"/>
      <c r="BJD24" s="109"/>
      <c r="BJE24" s="109"/>
      <c r="BJF24" s="109"/>
      <c r="BJG24" s="109"/>
      <c r="BJH24" s="109"/>
      <c r="BJI24" s="109"/>
      <c r="BJJ24" s="109"/>
      <c r="BJK24" s="109"/>
      <c r="BJL24" s="109"/>
      <c r="BJM24" s="109"/>
      <c r="BJN24" s="109"/>
      <c r="BJO24" s="109"/>
      <c r="BJP24" s="109"/>
      <c r="BJQ24" s="109"/>
      <c r="BJR24" s="109"/>
      <c r="BJS24" s="109"/>
      <c r="BJT24" s="109"/>
      <c r="BJU24" s="109"/>
      <c r="BJV24" s="109"/>
      <c r="BJW24" s="109"/>
      <c r="BJX24" s="109"/>
      <c r="BJY24" s="109"/>
      <c r="BJZ24" s="109"/>
      <c r="BKA24" s="109"/>
      <c r="BKB24" s="109"/>
      <c r="BKC24" s="109"/>
      <c r="BKD24" s="109"/>
      <c r="BKE24" s="109"/>
      <c r="BKF24" s="109"/>
      <c r="BKG24" s="109"/>
      <c r="BKH24" s="109"/>
      <c r="BKI24" s="109"/>
      <c r="BKJ24" s="109"/>
      <c r="BKK24" s="109"/>
      <c r="BKL24" s="109"/>
      <c r="BKM24" s="109"/>
      <c r="BKN24" s="109"/>
      <c r="BKO24" s="109"/>
      <c r="BKP24" s="109"/>
      <c r="BKQ24" s="109"/>
      <c r="BKR24" s="109"/>
      <c r="BKS24" s="109"/>
      <c r="BKT24" s="109"/>
      <c r="BKU24" s="109"/>
      <c r="BKV24" s="109"/>
      <c r="BKW24" s="109"/>
      <c r="BKX24" s="109"/>
      <c r="BKY24" s="109"/>
      <c r="BKZ24" s="109"/>
      <c r="BLA24" s="109"/>
      <c r="BLB24" s="109"/>
      <c r="BLC24" s="109"/>
      <c r="BLD24" s="109"/>
      <c r="BLE24" s="109"/>
      <c r="BLF24" s="109"/>
      <c r="BLG24" s="109"/>
      <c r="BLH24" s="109"/>
      <c r="BLI24" s="109"/>
      <c r="BLJ24" s="109"/>
      <c r="BLK24" s="109"/>
      <c r="BLL24" s="109"/>
      <c r="BLM24" s="109"/>
      <c r="BLN24" s="109"/>
      <c r="BLO24" s="109"/>
      <c r="BLP24" s="109"/>
      <c r="BLQ24" s="109"/>
      <c r="BLR24" s="109"/>
      <c r="BLS24" s="109"/>
      <c r="BLT24" s="109"/>
      <c r="BLU24" s="109"/>
      <c r="BLV24" s="109"/>
      <c r="BLW24" s="109"/>
      <c r="BLX24" s="109"/>
      <c r="BLY24" s="109"/>
      <c r="BLZ24" s="109"/>
      <c r="BMA24" s="109"/>
      <c r="BMB24" s="109"/>
      <c r="BMC24" s="109"/>
      <c r="BMD24" s="109"/>
      <c r="BME24" s="109"/>
      <c r="BMF24" s="109"/>
      <c r="BMG24" s="109"/>
      <c r="BMH24" s="109"/>
      <c r="BMI24" s="109"/>
      <c r="BMJ24" s="109"/>
      <c r="BMK24" s="109"/>
      <c r="BML24" s="109"/>
      <c r="BMM24" s="109"/>
      <c r="BMN24" s="109"/>
      <c r="BMO24" s="109"/>
      <c r="BMP24" s="109"/>
      <c r="BMQ24" s="109"/>
      <c r="BMR24" s="109"/>
      <c r="BMS24" s="109"/>
      <c r="BMT24" s="109"/>
      <c r="BMU24" s="109"/>
      <c r="BMV24" s="109"/>
      <c r="BMW24" s="109"/>
      <c r="BMX24" s="109"/>
      <c r="BMY24" s="109"/>
      <c r="BMZ24" s="109"/>
      <c r="BNA24" s="109"/>
      <c r="BNB24" s="109"/>
      <c r="BNC24" s="109"/>
      <c r="BND24" s="109"/>
      <c r="BNE24" s="109"/>
      <c r="BNF24" s="109"/>
      <c r="BNG24" s="109"/>
      <c r="BNH24" s="109"/>
      <c r="BNI24" s="109"/>
      <c r="BNJ24" s="109"/>
      <c r="BNK24" s="109"/>
      <c r="BNL24" s="109"/>
      <c r="BNM24" s="109"/>
      <c r="BNN24" s="109"/>
      <c r="BNO24" s="109"/>
      <c r="BNP24" s="109"/>
      <c r="BNQ24" s="109"/>
      <c r="BNR24" s="109"/>
      <c r="BNS24" s="109"/>
      <c r="BNT24" s="109"/>
      <c r="BNU24" s="109"/>
      <c r="BNV24" s="109"/>
      <c r="BNW24" s="109"/>
      <c r="BNX24" s="109"/>
      <c r="BNY24" s="109"/>
      <c r="BNZ24" s="109"/>
      <c r="BOA24" s="109"/>
      <c r="BOB24" s="109"/>
      <c r="BOC24" s="109"/>
      <c r="BOD24" s="109"/>
      <c r="BOE24" s="109"/>
      <c r="BOF24" s="109"/>
      <c r="BOG24" s="109"/>
      <c r="BOH24" s="109"/>
      <c r="BOI24" s="109"/>
      <c r="BOJ24" s="109"/>
      <c r="BOK24" s="109"/>
      <c r="BOL24" s="109"/>
      <c r="BOM24" s="109"/>
      <c r="BON24" s="109"/>
      <c r="BOO24" s="109"/>
      <c r="BOP24" s="109"/>
      <c r="BOQ24" s="109"/>
      <c r="BOR24" s="109"/>
      <c r="BOS24" s="109"/>
      <c r="BOT24" s="109"/>
      <c r="BOU24" s="109"/>
      <c r="BOV24" s="109"/>
      <c r="BOW24" s="109"/>
      <c r="BOX24" s="109"/>
      <c r="BOY24" s="109"/>
      <c r="BOZ24" s="109"/>
      <c r="BPA24" s="109"/>
      <c r="BPB24" s="109"/>
      <c r="BPC24" s="109"/>
      <c r="BPD24" s="109"/>
      <c r="BPE24" s="109"/>
      <c r="BPF24" s="109"/>
      <c r="BPG24" s="109"/>
      <c r="BPH24" s="109"/>
      <c r="BPI24" s="109"/>
      <c r="BPJ24" s="109"/>
      <c r="BPK24" s="109"/>
      <c r="BPL24" s="109"/>
      <c r="BPM24" s="109"/>
      <c r="BPN24" s="109"/>
      <c r="BPO24" s="109"/>
      <c r="BPP24" s="109"/>
      <c r="BPQ24" s="109"/>
      <c r="BPR24" s="109"/>
      <c r="BPS24" s="109"/>
      <c r="BPT24" s="109"/>
      <c r="BPU24" s="109"/>
      <c r="BPV24" s="109"/>
      <c r="BPW24" s="109"/>
      <c r="BPX24" s="109"/>
      <c r="BPY24" s="109"/>
      <c r="BPZ24" s="109"/>
      <c r="BQA24" s="109"/>
      <c r="BQB24" s="109"/>
      <c r="BQC24" s="109"/>
      <c r="BQD24" s="109"/>
      <c r="BQE24" s="109"/>
      <c r="BQF24" s="109"/>
      <c r="BQG24" s="109"/>
      <c r="BQH24" s="109"/>
      <c r="BQI24" s="109"/>
      <c r="BQJ24" s="109"/>
      <c r="BQK24" s="109"/>
      <c r="BQL24" s="109"/>
      <c r="BQM24" s="109"/>
      <c r="BQN24" s="109"/>
      <c r="BQO24" s="109"/>
      <c r="BQP24" s="109"/>
      <c r="BQQ24" s="109"/>
      <c r="BQR24" s="109"/>
      <c r="BQS24" s="109"/>
      <c r="BQT24" s="109"/>
      <c r="BQU24" s="109"/>
      <c r="BQV24" s="109"/>
      <c r="BQW24" s="109"/>
      <c r="BQX24" s="109"/>
      <c r="BQY24" s="109"/>
      <c r="BQZ24" s="109"/>
      <c r="BRA24" s="109"/>
      <c r="BRB24" s="109"/>
      <c r="BRC24" s="109"/>
      <c r="BRD24" s="109"/>
      <c r="BRE24" s="109"/>
      <c r="BRF24" s="109"/>
      <c r="BRG24" s="109"/>
      <c r="BRH24" s="109"/>
      <c r="BRI24" s="109"/>
      <c r="BRJ24" s="109"/>
      <c r="BRK24" s="109"/>
      <c r="BRL24" s="109"/>
      <c r="BRM24" s="109"/>
      <c r="BRN24" s="109"/>
      <c r="BRO24" s="109"/>
      <c r="BRP24" s="109"/>
      <c r="BRQ24" s="109"/>
      <c r="BRR24" s="109"/>
      <c r="BRS24" s="109"/>
      <c r="BRT24" s="109"/>
      <c r="BRU24" s="109"/>
      <c r="BRV24" s="109"/>
      <c r="BRW24" s="109"/>
      <c r="BRX24" s="109"/>
      <c r="BRY24" s="109"/>
      <c r="BRZ24" s="109"/>
      <c r="BSA24" s="109"/>
      <c r="BSB24" s="109"/>
      <c r="BSC24" s="109"/>
      <c r="BSD24" s="109"/>
      <c r="BSE24" s="109"/>
      <c r="BSF24" s="109"/>
      <c r="BSG24" s="109"/>
      <c r="BSH24" s="109"/>
      <c r="BSI24" s="109"/>
      <c r="BSJ24" s="109"/>
      <c r="BSK24" s="109"/>
      <c r="BSL24" s="109"/>
      <c r="BSM24" s="109"/>
      <c r="BSN24" s="109"/>
      <c r="BSO24" s="109"/>
      <c r="BSP24" s="109"/>
      <c r="BSQ24" s="109"/>
      <c r="BSR24" s="109"/>
      <c r="BSS24" s="109"/>
      <c r="BST24" s="109"/>
      <c r="BSU24" s="109"/>
      <c r="BSV24" s="109"/>
      <c r="BSW24" s="109"/>
      <c r="BSX24" s="109"/>
      <c r="BSY24" s="109"/>
      <c r="BSZ24" s="109"/>
      <c r="BTA24" s="109"/>
      <c r="BTB24" s="109"/>
      <c r="BTC24" s="109"/>
      <c r="BTD24" s="109"/>
      <c r="BTE24" s="109"/>
      <c r="BTF24" s="109"/>
      <c r="BTG24" s="109"/>
      <c r="BTH24" s="109"/>
      <c r="BTI24" s="109"/>
      <c r="BTJ24" s="109"/>
      <c r="BTK24" s="109"/>
      <c r="BTL24" s="109"/>
      <c r="BTM24" s="109"/>
      <c r="BTN24" s="109"/>
      <c r="BTO24" s="109"/>
      <c r="BTP24" s="109"/>
      <c r="BTQ24" s="109"/>
      <c r="BTR24" s="109"/>
      <c r="BTS24" s="109"/>
      <c r="BTT24" s="109"/>
      <c r="BTU24" s="109"/>
      <c r="BTV24" s="109"/>
      <c r="BTW24" s="109"/>
      <c r="BTX24" s="109"/>
      <c r="BTY24" s="109"/>
      <c r="BTZ24" s="109"/>
      <c r="BUA24" s="109"/>
      <c r="BUB24" s="109"/>
      <c r="BUC24" s="109"/>
      <c r="BUD24" s="109"/>
      <c r="BUE24" s="109"/>
      <c r="BUF24" s="109"/>
      <c r="BUG24" s="109"/>
      <c r="BUH24" s="109"/>
      <c r="BUI24" s="109"/>
      <c r="BUJ24" s="109"/>
      <c r="BUK24" s="109"/>
      <c r="BUL24" s="109"/>
      <c r="BUM24" s="109"/>
      <c r="BUN24" s="109"/>
      <c r="BUO24" s="109"/>
      <c r="BUP24" s="109"/>
      <c r="BUQ24" s="109"/>
      <c r="BUR24" s="109"/>
      <c r="BUS24" s="109"/>
      <c r="BUT24" s="109"/>
      <c r="BUU24" s="109"/>
      <c r="BUV24" s="109"/>
      <c r="BUW24" s="109"/>
      <c r="BUX24" s="109"/>
      <c r="BUY24" s="109"/>
      <c r="BUZ24" s="109"/>
      <c r="BVA24" s="109"/>
      <c r="BVB24" s="109"/>
      <c r="BVC24" s="109"/>
      <c r="BVD24" s="109"/>
      <c r="BVE24" s="109"/>
      <c r="BVF24" s="109"/>
      <c r="BVG24" s="109"/>
      <c r="BVH24" s="109"/>
      <c r="BVI24" s="109"/>
      <c r="BVJ24" s="109"/>
      <c r="BVK24" s="109"/>
      <c r="BVL24" s="109"/>
      <c r="BVM24" s="109"/>
      <c r="BVN24" s="109"/>
      <c r="BVO24" s="109"/>
      <c r="BVP24" s="109"/>
      <c r="BVQ24" s="109"/>
      <c r="BVR24" s="109"/>
      <c r="BVS24" s="109"/>
      <c r="BVT24" s="109"/>
      <c r="BVU24" s="109"/>
      <c r="BVV24" s="109"/>
      <c r="BVW24" s="109"/>
      <c r="BVX24" s="109"/>
      <c r="BVY24" s="109"/>
      <c r="BVZ24" s="109"/>
      <c r="BWA24" s="109"/>
      <c r="BWB24" s="109"/>
      <c r="BWC24" s="109"/>
      <c r="BWD24" s="109"/>
      <c r="BWE24" s="109"/>
      <c r="BWF24" s="109"/>
      <c r="BWG24" s="109"/>
      <c r="BWH24" s="109"/>
      <c r="BWI24" s="109"/>
      <c r="BWJ24" s="109"/>
      <c r="BWK24" s="109"/>
      <c r="BWL24" s="109"/>
      <c r="BWM24" s="109"/>
      <c r="BWN24" s="109"/>
      <c r="BWO24" s="109"/>
      <c r="BWP24" s="109"/>
      <c r="BWQ24" s="109"/>
      <c r="BWR24" s="109"/>
      <c r="BWS24" s="109"/>
      <c r="BWT24" s="109"/>
      <c r="BWU24" s="109"/>
      <c r="BWV24" s="109"/>
      <c r="BWW24" s="109"/>
      <c r="BWX24" s="109"/>
      <c r="BWY24" s="109"/>
      <c r="BWZ24" s="109"/>
      <c r="BXA24" s="109"/>
      <c r="BXB24" s="109"/>
      <c r="BXC24" s="109"/>
      <c r="BXD24" s="109"/>
      <c r="BXE24" s="109"/>
      <c r="BXF24" s="109"/>
      <c r="BXG24" s="109"/>
      <c r="BXH24" s="109"/>
      <c r="BXI24" s="109"/>
      <c r="BXJ24" s="109"/>
      <c r="BXK24" s="109"/>
      <c r="BXL24" s="109"/>
      <c r="BXM24" s="109"/>
      <c r="BXN24" s="109"/>
      <c r="BXO24" s="109"/>
      <c r="BXP24" s="109"/>
      <c r="BXQ24" s="109"/>
      <c r="BXR24" s="109"/>
      <c r="BXS24" s="109"/>
      <c r="BXT24" s="109"/>
      <c r="BXU24" s="109"/>
      <c r="BXV24" s="109"/>
      <c r="BXW24" s="109"/>
      <c r="BXX24" s="109"/>
      <c r="BXY24" s="109"/>
      <c r="BXZ24" s="109"/>
      <c r="BYA24" s="109"/>
      <c r="BYB24" s="109"/>
      <c r="BYC24" s="109"/>
      <c r="BYD24" s="109"/>
      <c r="BYE24" s="109"/>
      <c r="BYF24" s="109"/>
      <c r="BYG24" s="109"/>
      <c r="BYH24" s="109"/>
      <c r="BYI24" s="109"/>
      <c r="BYJ24" s="109"/>
      <c r="BYK24" s="109"/>
      <c r="BYL24" s="109"/>
      <c r="BYM24" s="109"/>
      <c r="BYN24" s="109"/>
      <c r="BYO24" s="109"/>
      <c r="BYP24" s="109"/>
      <c r="BYQ24" s="109"/>
      <c r="BYR24" s="109"/>
      <c r="BYS24" s="109"/>
      <c r="BYT24" s="109"/>
      <c r="BYU24" s="109"/>
      <c r="BYV24" s="109"/>
      <c r="BYW24" s="109"/>
      <c r="BYX24" s="109"/>
      <c r="BYY24" s="109"/>
      <c r="BYZ24" s="109"/>
      <c r="BZA24" s="109"/>
      <c r="BZB24" s="109"/>
      <c r="BZC24" s="109"/>
      <c r="BZD24" s="109"/>
      <c r="BZE24" s="109"/>
      <c r="BZF24" s="109"/>
      <c r="BZG24" s="109"/>
      <c r="BZH24" s="109"/>
      <c r="BZI24" s="109"/>
      <c r="BZJ24" s="109"/>
      <c r="BZK24" s="109"/>
      <c r="BZL24" s="109"/>
      <c r="BZM24" s="109"/>
      <c r="BZN24" s="109"/>
      <c r="BZO24" s="109"/>
      <c r="BZP24" s="109"/>
      <c r="BZQ24" s="109"/>
      <c r="BZR24" s="109"/>
      <c r="BZS24" s="109"/>
      <c r="BZT24" s="109"/>
      <c r="BZU24" s="109"/>
      <c r="BZV24" s="109"/>
      <c r="BZW24" s="109"/>
      <c r="BZX24" s="109"/>
      <c r="BZY24" s="109"/>
      <c r="BZZ24" s="109"/>
      <c r="CAA24" s="109"/>
      <c r="CAB24" s="109"/>
      <c r="CAC24" s="109"/>
      <c r="CAD24" s="109"/>
      <c r="CAE24" s="109"/>
      <c r="CAF24" s="109"/>
      <c r="CAG24" s="109"/>
      <c r="CAH24" s="109"/>
      <c r="CAI24" s="109"/>
      <c r="CAJ24" s="109"/>
      <c r="CAK24" s="109"/>
      <c r="CAL24" s="109"/>
      <c r="CAM24" s="109"/>
      <c r="CAN24" s="109"/>
      <c r="CAO24" s="109"/>
      <c r="CAP24" s="109"/>
      <c r="CAQ24" s="109"/>
      <c r="CAR24" s="109"/>
      <c r="CAS24" s="109"/>
      <c r="CAT24" s="109"/>
      <c r="CAU24" s="109"/>
      <c r="CAV24" s="109"/>
      <c r="CAW24" s="109"/>
      <c r="CAX24" s="109"/>
      <c r="CAY24" s="109"/>
      <c r="CAZ24" s="109"/>
      <c r="CBA24" s="109"/>
      <c r="CBB24" s="109"/>
      <c r="CBC24" s="109"/>
      <c r="CBD24" s="109"/>
      <c r="CBE24" s="109"/>
      <c r="CBF24" s="109"/>
      <c r="CBG24" s="109"/>
      <c r="CBH24" s="109"/>
      <c r="CBI24" s="109"/>
      <c r="CBJ24" s="109"/>
      <c r="CBK24" s="109"/>
      <c r="CBL24" s="109"/>
      <c r="CBM24" s="109"/>
      <c r="CBN24" s="109"/>
      <c r="CBO24" s="109"/>
      <c r="CBP24" s="109"/>
      <c r="CBQ24" s="109"/>
      <c r="CBR24" s="109"/>
      <c r="CBS24" s="109"/>
      <c r="CBT24" s="109"/>
      <c r="CBU24" s="109"/>
      <c r="CBV24" s="109"/>
      <c r="CBW24" s="109"/>
      <c r="CBX24" s="109"/>
      <c r="CBY24" s="109"/>
      <c r="CBZ24" s="109"/>
      <c r="CCA24" s="109"/>
      <c r="CCB24" s="109"/>
      <c r="CCC24" s="109"/>
      <c r="CCD24" s="109"/>
      <c r="CCE24" s="109"/>
      <c r="CCF24" s="109"/>
      <c r="CCG24" s="109"/>
      <c r="CCH24" s="109"/>
      <c r="CCI24" s="109"/>
      <c r="CCJ24" s="109"/>
      <c r="CCK24" s="109"/>
      <c r="CCL24" s="109"/>
      <c r="CCM24" s="109"/>
      <c r="CCN24" s="109"/>
      <c r="CCO24" s="109"/>
      <c r="CCP24" s="109"/>
      <c r="CCQ24" s="109"/>
      <c r="CCR24" s="109"/>
      <c r="CCS24" s="109"/>
      <c r="CCT24" s="109"/>
      <c r="CCU24" s="109"/>
      <c r="CCV24" s="109"/>
      <c r="CCW24" s="109"/>
      <c r="CCX24" s="109"/>
      <c r="CCY24" s="109"/>
      <c r="CCZ24" s="109"/>
      <c r="CDA24" s="109"/>
      <c r="CDB24" s="109"/>
      <c r="CDC24" s="109"/>
      <c r="CDD24" s="109"/>
      <c r="CDE24" s="109"/>
      <c r="CDF24" s="109"/>
      <c r="CDG24" s="109"/>
      <c r="CDH24" s="109"/>
      <c r="CDI24" s="109"/>
      <c r="CDJ24" s="109"/>
      <c r="CDK24" s="109"/>
      <c r="CDL24" s="109"/>
      <c r="CDM24" s="109"/>
      <c r="CDN24" s="109"/>
      <c r="CDO24" s="109"/>
      <c r="CDP24" s="109"/>
      <c r="CDQ24" s="109"/>
      <c r="CDR24" s="109"/>
      <c r="CDS24" s="109"/>
      <c r="CDT24" s="109"/>
      <c r="CDU24" s="109"/>
      <c r="CDV24" s="109"/>
      <c r="CDW24" s="109"/>
      <c r="CDX24" s="109"/>
      <c r="CDY24" s="109"/>
      <c r="CDZ24" s="109"/>
      <c r="CEA24" s="109"/>
      <c r="CEB24" s="109"/>
      <c r="CEC24" s="109"/>
      <c r="CED24" s="109"/>
      <c r="CEE24" s="109"/>
      <c r="CEF24" s="109"/>
      <c r="CEG24" s="109"/>
      <c r="CEH24" s="109"/>
      <c r="CEI24" s="109"/>
      <c r="CEJ24" s="109"/>
      <c r="CEK24" s="109"/>
      <c r="CEL24" s="109"/>
      <c r="CEM24" s="109"/>
      <c r="CEN24" s="109"/>
      <c r="CEO24" s="109"/>
      <c r="CEP24" s="109"/>
      <c r="CEQ24" s="109"/>
      <c r="CER24" s="109"/>
      <c r="CES24" s="109"/>
      <c r="CET24" s="109"/>
      <c r="CEU24" s="109"/>
      <c r="CEV24" s="109"/>
      <c r="CEW24" s="109"/>
      <c r="CEX24" s="109"/>
      <c r="CEY24" s="109"/>
      <c r="CEZ24" s="109"/>
      <c r="CFA24" s="109"/>
      <c r="CFB24" s="109"/>
      <c r="CFC24" s="109"/>
      <c r="CFD24" s="109"/>
      <c r="CFE24" s="109"/>
      <c r="CFF24" s="109"/>
      <c r="CFG24" s="109"/>
      <c r="CFH24" s="109"/>
      <c r="CFI24" s="109"/>
      <c r="CFJ24" s="109"/>
      <c r="CFK24" s="109"/>
      <c r="CFL24" s="109"/>
      <c r="CFM24" s="109"/>
      <c r="CFN24" s="109"/>
      <c r="CFO24" s="109"/>
      <c r="CFP24" s="109"/>
      <c r="CFQ24" s="109"/>
      <c r="CFR24" s="109"/>
      <c r="CFS24" s="109"/>
      <c r="CFT24" s="109"/>
      <c r="CFU24" s="109"/>
      <c r="CFV24" s="109"/>
      <c r="CFW24" s="109"/>
      <c r="CFX24" s="109"/>
      <c r="CFY24" s="109"/>
      <c r="CFZ24" s="109"/>
      <c r="CGA24" s="109"/>
      <c r="CGB24" s="109"/>
      <c r="CGC24" s="109"/>
      <c r="CGD24" s="109"/>
      <c r="CGE24" s="109"/>
      <c r="CGF24" s="109"/>
      <c r="CGG24" s="109"/>
      <c r="CGH24" s="109"/>
      <c r="CGI24" s="109"/>
      <c r="CGJ24" s="109"/>
      <c r="CGK24" s="109"/>
      <c r="CGL24" s="109"/>
      <c r="CGM24" s="109"/>
      <c r="CGN24" s="109"/>
      <c r="CGO24" s="109"/>
      <c r="CGP24" s="109"/>
      <c r="CGQ24" s="109"/>
      <c r="CGR24" s="109"/>
      <c r="CGS24" s="109"/>
      <c r="CGT24" s="109"/>
      <c r="CGU24" s="109"/>
      <c r="CGV24" s="109"/>
      <c r="CGW24" s="109"/>
      <c r="CGX24" s="109"/>
      <c r="CGY24" s="109"/>
      <c r="CGZ24" s="109"/>
      <c r="CHA24" s="109"/>
      <c r="CHB24" s="109"/>
      <c r="CHC24" s="109"/>
      <c r="CHD24" s="109"/>
      <c r="CHE24" s="109"/>
      <c r="CHF24" s="109"/>
      <c r="CHG24" s="109"/>
      <c r="CHH24" s="109"/>
      <c r="CHI24" s="109"/>
      <c r="CHJ24" s="109"/>
      <c r="CHK24" s="109"/>
      <c r="CHL24" s="109"/>
      <c r="CHM24" s="109"/>
      <c r="CHN24" s="109"/>
      <c r="CHO24" s="109"/>
      <c r="CHP24" s="109"/>
      <c r="CHQ24" s="109"/>
      <c r="CHR24" s="109"/>
      <c r="CHS24" s="109"/>
      <c r="CHT24" s="109"/>
      <c r="CHU24" s="109"/>
      <c r="CHV24" s="109"/>
      <c r="CHW24" s="109"/>
      <c r="CHX24" s="109"/>
      <c r="CHY24" s="109"/>
      <c r="CHZ24" s="109"/>
      <c r="CIA24" s="109"/>
      <c r="CIB24" s="109"/>
      <c r="CIC24" s="109"/>
      <c r="CID24" s="109"/>
      <c r="CIE24" s="109"/>
      <c r="CIF24" s="109"/>
      <c r="CIG24" s="109"/>
      <c r="CIH24" s="109"/>
      <c r="CII24" s="109"/>
      <c r="CIJ24" s="109"/>
      <c r="CIK24" s="109"/>
      <c r="CIL24" s="109"/>
      <c r="CIM24" s="109"/>
      <c r="CIN24" s="109"/>
      <c r="CIO24" s="109"/>
      <c r="CIP24" s="109"/>
      <c r="CIQ24" s="109"/>
      <c r="CIR24" s="109"/>
      <c r="CIS24" s="109"/>
      <c r="CIT24" s="109"/>
      <c r="CIU24" s="109"/>
      <c r="CIV24" s="109"/>
      <c r="CIW24" s="109"/>
      <c r="CIX24" s="109"/>
      <c r="CIY24" s="109"/>
      <c r="CIZ24" s="109"/>
      <c r="CJA24" s="109"/>
      <c r="CJB24" s="109"/>
      <c r="CJC24" s="109"/>
      <c r="CJD24" s="109"/>
      <c r="CJE24" s="109"/>
      <c r="CJF24" s="109"/>
      <c r="CJG24" s="109"/>
      <c r="CJH24" s="109"/>
      <c r="CJI24" s="109"/>
      <c r="CJJ24" s="109"/>
      <c r="CJK24" s="109"/>
      <c r="CJL24" s="109"/>
      <c r="CJM24" s="109"/>
      <c r="CJN24" s="109"/>
      <c r="CJO24" s="109"/>
      <c r="CJP24" s="109"/>
      <c r="CJQ24" s="109"/>
      <c r="CJR24" s="109"/>
      <c r="CJS24" s="109"/>
      <c r="CJT24" s="109"/>
      <c r="CJU24" s="109"/>
      <c r="CJV24" s="109"/>
      <c r="CJW24" s="109"/>
      <c r="CJX24" s="109"/>
      <c r="CJY24" s="109"/>
      <c r="CJZ24" s="109"/>
      <c r="CKA24" s="109"/>
      <c r="CKB24" s="109"/>
      <c r="CKC24" s="109"/>
      <c r="CKD24" s="109"/>
      <c r="CKE24" s="109"/>
      <c r="CKF24" s="109"/>
      <c r="CKG24" s="109"/>
      <c r="CKH24" s="109"/>
      <c r="CKI24" s="109"/>
      <c r="CKJ24" s="109"/>
      <c r="CKK24" s="109"/>
      <c r="CKL24" s="109"/>
      <c r="CKM24" s="109"/>
      <c r="CKN24" s="109"/>
      <c r="CKO24" s="109"/>
      <c r="CKP24" s="109"/>
      <c r="CKQ24" s="109"/>
      <c r="CKR24" s="109"/>
      <c r="CKS24" s="109"/>
      <c r="CKT24" s="109"/>
      <c r="CKU24" s="109"/>
      <c r="CKV24" s="109"/>
      <c r="CKW24" s="109"/>
      <c r="CKX24" s="109"/>
      <c r="CKY24" s="109"/>
      <c r="CKZ24" s="109"/>
      <c r="CLA24" s="109"/>
      <c r="CLB24" s="109"/>
      <c r="CLC24" s="109"/>
      <c r="CLD24" s="109"/>
      <c r="CLE24" s="109"/>
      <c r="CLF24" s="109"/>
      <c r="CLG24" s="109"/>
      <c r="CLH24" s="109"/>
      <c r="CLI24" s="109"/>
      <c r="CLJ24" s="109"/>
      <c r="CLK24" s="109"/>
      <c r="CLL24" s="109"/>
      <c r="CLM24" s="109"/>
      <c r="CLN24" s="109"/>
      <c r="CLO24" s="109"/>
      <c r="CLP24" s="109"/>
      <c r="CLQ24" s="109"/>
      <c r="CLR24" s="109"/>
      <c r="CLS24" s="109"/>
      <c r="CLT24" s="109"/>
      <c r="CLU24" s="109"/>
      <c r="CLV24" s="109"/>
      <c r="CLW24" s="109"/>
      <c r="CLX24" s="109"/>
      <c r="CLY24" s="109"/>
      <c r="CLZ24" s="109"/>
      <c r="CMA24" s="109"/>
      <c r="CMB24" s="109"/>
      <c r="CMC24" s="109"/>
      <c r="CMD24" s="109"/>
      <c r="CME24" s="109"/>
      <c r="CMF24" s="109"/>
      <c r="CMG24" s="109"/>
      <c r="CMH24" s="109"/>
      <c r="CMI24" s="109"/>
      <c r="CMJ24" s="109"/>
      <c r="CMK24" s="109"/>
      <c r="CML24" s="109"/>
      <c r="CMM24" s="109"/>
      <c r="CMN24" s="109"/>
      <c r="CMO24" s="109"/>
      <c r="CMP24" s="109"/>
      <c r="CMQ24" s="109"/>
      <c r="CMR24" s="109"/>
      <c r="CMS24" s="109"/>
      <c r="CMT24" s="109"/>
      <c r="CMU24" s="109"/>
      <c r="CMV24" s="109"/>
      <c r="CMW24" s="109"/>
      <c r="CMX24" s="109"/>
      <c r="CMY24" s="109"/>
      <c r="CMZ24" s="109"/>
      <c r="CNA24" s="109"/>
      <c r="CNB24" s="109"/>
      <c r="CNC24" s="109"/>
      <c r="CND24" s="109"/>
      <c r="CNE24" s="109"/>
      <c r="CNF24" s="109"/>
      <c r="CNG24" s="109"/>
      <c r="CNH24" s="109"/>
      <c r="CNI24" s="109"/>
      <c r="CNJ24" s="109"/>
      <c r="CNK24" s="109"/>
      <c r="CNL24" s="109"/>
      <c r="CNM24" s="109"/>
      <c r="CNN24" s="109"/>
      <c r="CNO24" s="109"/>
      <c r="CNP24" s="109"/>
      <c r="CNQ24" s="109"/>
      <c r="CNR24" s="109"/>
      <c r="CNS24" s="109"/>
      <c r="CNT24" s="109"/>
      <c r="CNU24" s="109"/>
      <c r="CNV24" s="109"/>
      <c r="CNW24" s="109"/>
      <c r="CNX24" s="109"/>
      <c r="CNY24" s="109"/>
      <c r="CNZ24" s="109"/>
      <c r="COA24" s="109"/>
      <c r="COB24" s="109"/>
      <c r="COC24" s="109"/>
      <c r="COD24" s="109"/>
      <c r="COE24" s="109"/>
      <c r="COF24" s="109"/>
      <c r="COG24" s="109"/>
      <c r="COH24" s="109"/>
      <c r="COI24" s="109"/>
      <c r="COJ24" s="109"/>
      <c r="COK24" s="109"/>
      <c r="COL24" s="109"/>
      <c r="COM24" s="109"/>
      <c r="CON24" s="109"/>
      <c r="COO24" s="109"/>
      <c r="COP24" s="109"/>
      <c r="COQ24" s="109"/>
      <c r="COR24" s="109"/>
      <c r="COS24" s="109"/>
      <c r="COT24" s="109"/>
      <c r="COU24" s="109"/>
      <c r="COV24" s="109"/>
      <c r="COW24" s="109"/>
      <c r="COX24" s="109"/>
      <c r="COY24" s="109"/>
      <c r="COZ24" s="109"/>
      <c r="CPA24" s="109"/>
      <c r="CPB24" s="109"/>
      <c r="CPC24" s="109"/>
      <c r="CPD24" s="109"/>
      <c r="CPE24" s="109"/>
      <c r="CPF24" s="109"/>
      <c r="CPG24" s="109"/>
      <c r="CPH24" s="109"/>
      <c r="CPI24" s="109"/>
      <c r="CPJ24" s="109"/>
      <c r="CPK24" s="109"/>
      <c r="CPL24" s="109"/>
      <c r="CPM24" s="109"/>
      <c r="CPN24" s="109"/>
      <c r="CPO24" s="109"/>
      <c r="CPP24" s="109"/>
      <c r="CPQ24" s="109"/>
      <c r="CPR24" s="109"/>
      <c r="CPS24" s="109"/>
      <c r="CPT24" s="109"/>
      <c r="CPU24" s="109"/>
      <c r="CPV24" s="109"/>
      <c r="CPW24" s="109"/>
      <c r="CPX24" s="109"/>
      <c r="CPY24" s="109"/>
      <c r="CPZ24" s="109"/>
      <c r="CQA24" s="109"/>
      <c r="CQB24" s="109"/>
      <c r="CQC24" s="109"/>
      <c r="CQD24" s="109"/>
      <c r="CQE24" s="109"/>
      <c r="CQF24" s="109"/>
      <c r="CQG24" s="109"/>
      <c r="CQH24" s="109"/>
      <c r="CQI24" s="109"/>
      <c r="CQJ24" s="109"/>
      <c r="CQK24" s="109"/>
      <c r="CQL24" s="109"/>
      <c r="CQM24" s="109"/>
      <c r="CQN24" s="109"/>
      <c r="CQO24" s="109"/>
      <c r="CQP24" s="109"/>
      <c r="CQQ24" s="109"/>
      <c r="CQR24" s="109"/>
      <c r="CQS24" s="109"/>
      <c r="CQT24" s="109"/>
      <c r="CQU24" s="109"/>
      <c r="CQV24" s="109"/>
      <c r="CQW24" s="109"/>
      <c r="CQX24" s="109"/>
      <c r="CQY24" s="109"/>
      <c r="CQZ24" s="109"/>
      <c r="CRA24" s="109"/>
      <c r="CRB24" s="109"/>
      <c r="CRC24" s="109"/>
      <c r="CRD24" s="109"/>
      <c r="CRE24" s="109"/>
      <c r="CRF24" s="109"/>
      <c r="CRG24" s="109"/>
      <c r="CRH24" s="109"/>
      <c r="CRI24" s="109"/>
      <c r="CRJ24" s="109"/>
      <c r="CRK24" s="109"/>
      <c r="CRL24" s="109"/>
      <c r="CRM24" s="109"/>
      <c r="CRN24" s="109"/>
      <c r="CRO24" s="109"/>
      <c r="CRP24" s="109"/>
      <c r="CRQ24" s="109"/>
      <c r="CRR24" s="109"/>
      <c r="CRS24" s="109"/>
      <c r="CRT24" s="109"/>
      <c r="CRU24" s="109"/>
      <c r="CRV24" s="109"/>
      <c r="CRW24" s="109"/>
      <c r="CRX24" s="109"/>
      <c r="CRY24" s="109"/>
      <c r="CRZ24" s="109"/>
      <c r="CSA24" s="109"/>
      <c r="CSB24" s="109"/>
      <c r="CSC24" s="109"/>
      <c r="CSD24" s="109"/>
      <c r="CSE24" s="109"/>
      <c r="CSF24" s="109"/>
      <c r="CSG24" s="109"/>
      <c r="CSH24" s="109"/>
      <c r="CSI24" s="109"/>
      <c r="CSJ24" s="109"/>
      <c r="CSK24" s="109"/>
      <c r="CSL24" s="109"/>
      <c r="CSM24" s="109"/>
      <c r="CSN24" s="109"/>
      <c r="CSO24" s="109"/>
      <c r="CSP24" s="109"/>
      <c r="CSQ24" s="109"/>
      <c r="CSR24" s="109"/>
      <c r="CSS24" s="109"/>
      <c r="CST24" s="109"/>
      <c r="CSU24" s="109"/>
      <c r="CSV24" s="109"/>
      <c r="CSW24" s="109"/>
      <c r="CSX24" s="109"/>
      <c r="CSY24" s="109"/>
      <c r="CSZ24" s="109"/>
      <c r="CTA24" s="109"/>
      <c r="CTB24" s="109"/>
      <c r="CTC24" s="109"/>
      <c r="CTD24" s="109"/>
      <c r="CTE24" s="109"/>
      <c r="CTF24" s="109"/>
      <c r="CTG24" s="109"/>
      <c r="CTH24" s="109"/>
      <c r="CTI24" s="109"/>
      <c r="CTJ24" s="109"/>
      <c r="CTK24" s="109"/>
      <c r="CTL24" s="109"/>
      <c r="CTM24" s="109"/>
      <c r="CTN24" s="109"/>
      <c r="CTO24" s="109"/>
      <c r="CTP24" s="109"/>
      <c r="CTQ24" s="109"/>
      <c r="CTR24" s="109"/>
      <c r="CTS24" s="109"/>
      <c r="CTT24" s="109"/>
      <c r="CTU24" s="109"/>
      <c r="CTV24" s="109"/>
      <c r="CTW24" s="109"/>
      <c r="CTX24" s="109"/>
      <c r="CTY24" s="109"/>
      <c r="CTZ24" s="109"/>
      <c r="CUA24" s="109"/>
      <c r="CUB24" s="109"/>
      <c r="CUC24" s="109"/>
      <c r="CUD24" s="109"/>
      <c r="CUE24" s="109"/>
      <c r="CUF24" s="109"/>
      <c r="CUG24" s="109"/>
      <c r="CUH24" s="109"/>
      <c r="CUI24" s="109"/>
      <c r="CUJ24" s="109"/>
      <c r="CUK24" s="109"/>
      <c r="CUL24" s="109"/>
      <c r="CUM24" s="109"/>
      <c r="CUN24" s="109"/>
      <c r="CUO24" s="109"/>
      <c r="CUP24" s="109"/>
      <c r="CUQ24" s="109"/>
      <c r="CUR24" s="109"/>
      <c r="CUS24" s="109"/>
      <c r="CUT24" s="109"/>
      <c r="CUU24" s="109"/>
      <c r="CUV24" s="109"/>
      <c r="CUW24" s="109"/>
      <c r="CUX24" s="109"/>
      <c r="CUY24" s="109"/>
      <c r="CUZ24" s="109"/>
      <c r="CVA24" s="109"/>
      <c r="CVB24" s="109"/>
      <c r="CVC24" s="109"/>
      <c r="CVD24" s="109"/>
      <c r="CVE24" s="109"/>
      <c r="CVF24" s="109"/>
      <c r="CVG24" s="109"/>
      <c r="CVH24" s="109"/>
      <c r="CVI24" s="109"/>
      <c r="CVJ24" s="109"/>
      <c r="CVK24" s="109"/>
      <c r="CVL24" s="109"/>
      <c r="CVM24" s="109"/>
      <c r="CVN24" s="109"/>
      <c r="CVO24" s="109"/>
      <c r="CVP24" s="109"/>
      <c r="CVQ24" s="109"/>
      <c r="CVR24" s="109"/>
      <c r="CVS24" s="109"/>
      <c r="CVT24" s="109"/>
      <c r="CVU24" s="109"/>
      <c r="CVV24" s="109"/>
      <c r="CVW24" s="109"/>
      <c r="CVX24" s="109"/>
      <c r="CVY24" s="109"/>
      <c r="CVZ24" s="109"/>
      <c r="CWA24" s="109"/>
      <c r="CWB24" s="109"/>
      <c r="CWC24" s="109"/>
      <c r="CWD24" s="109"/>
      <c r="CWE24" s="109"/>
      <c r="CWF24" s="109"/>
      <c r="CWG24" s="109"/>
      <c r="CWH24" s="109"/>
      <c r="CWI24" s="109"/>
      <c r="CWJ24" s="109"/>
      <c r="CWK24" s="109"/>
      <c r="CWL24" s="109"/>
      <c r="CWM24" s="109"/>
      <c r="CWN24" s="109"/>
      <c r="CWO24" s="109"/>
      <c r="CWP24" s="109"/>
      <c r="CWQ24" s="109"/>
      <c r="CWR24" s="109"/>
      <c r="CWS24" s="109"/>
      <c r="CWT24" s="109"/>
      <c r="CWU24" s="109"/>
      <c r="CWV24" s="109"/>
      <c r="CWW24" s="109"/>
      <c r="CWX24" s="109"/>
      <c r="CWY24" s="109"/>
      <c r="CWZ24" s="109"/>
      <c r="CXA24" s="109"/>
      <c r="CXB24" s="109"/>
      <c r="CXC24" s="109"/>
      <c r="CXD24" s="109"/>
      <c r="CXE24" s="109"/>
      <c r="CXF24" s="109"/>
      <c r="CXG24" s="109"/>
      <c r="CXH24" s="109"/>
      <c r="CXI24" s="109"/>
      <c r="CXJ24" s="109"/>
      <c r="CXK24" s="109"/>
      <c r="CXL24" s="109"/>
      <c r="CXM24" s="109"/>
      <c r="CXN24" s="109"/>
      <c r="CXO24" s="109"/>
      <c r="CXP24" s="109"/>
      <c r="CXQ24" s="109"/>
      <c r="CXR24" s="109"/>
      <c r="CXS24" s="109"/>
      <c r="CXT24" s="109"/>
      <c r="CXU24" s="109"/>
      <c r="CXV24" s="109"/>
      <c r="CXW24" s="109"/>
      <c r="CXX24" s="109"/>
      <c r="CXY24" s="109"/>
      <c r="CXZ24" s="109"/>
      <c r="CYA24" s="109"/>
      <c r="CYB24" s="109"/>
      <c r="CYC24" s="109"/>
      <c r="CYD24" s="109"/>
      <c r="CYE24" s="109"/>
      <c r="CYF24" s="109"/>
      <c r="CYG24" s="109"/>
      <c r="CYH24" s="109"/>
      <c r="CYI24" s="109"/>
      <c r="CYJ24" s="109"/>
      <c r="CYK24" s="109"/>
      <c r="CYL24" s="109"/>
      <c r="CYM24" s="109"/>
      <c r="CYN24" s="109"/>
      <c r="CYO24" s="109"/>
      <c r="CYP24" s="109"/>
      <c r="CYQ24" s="109"/>
      <c r="CYR24" s="109"/>
      <c r="CYS24" s="109"/>
      <c r="CYT24" s="109"/>
      <c r="CYU24" s="109"/>
      <c r="CYV24" s="109"/>
      <c r="CYW24" s="109"/>
      <c r="CYX24" s="109"/>
      <c r="CYY24" s="109"/>
      <c r="CYZ24" s="109"/>
      <c r="CZA24" s="109"/>
      <c r="CZB24" s="109"/>
      <c r="CZC24" s="109"/>
      <c r="CZD24" s="109"/>
      <c r="CZE24" s="109"/>
      <c r="CZF24" s="109"/>
      <c r="CZG24" s="109"/>
      <c r="CZH24" s="109"/>
      <c r="CZI24" s="109"/>
      <c r="CZJ24" s="109"/>
      <c r="CZK24" s="109"/>
      <c r="CZL24" s="109"/>
      <c r="CZM24" s="109"/>
      <c r="CZN24" s="109"/>
      <c r="CZO24" s="109"/>
      <c r="CZP24" s="109"/>
      <c r="CZQ24" s="109"/>
      <c r="CZR24" s="109"/>
      <c r="CZS24" s="109"/>
      <c r="CZT24" s="109"/>
      <c r="CZU24" s="109"/>
      <c r="CZV24" s="109"/>
      <c r="CZW24" s="109"/>
      <c r="CZX24" s="109"/>
      <c r="CZY24" s="109"/>
      <c r="CZZ24" s="109"/>
      <c r="DAA24" s="109"/>
      <c r="DAB24" s="109"/>
      <c r="DAC24" s="109"/>
      <c r="DAD24" s="109"/>
      <c r="DAE24" s="109"/>
      <c r="DAF24" s="109"/>
      <c r="DAG24" s="109"/>
      <c r="DAH24" s="109"/>
      <c r="DAI24" s="109"/>
      <c r="DAJ24" s="109"/>
      <c r="DAK24" s="109"/>
      <c r="DAL24" s="109"/>
      <c r="DAM24" s="109"/>
      <c r="DAN24" s="109"/>
      <c r="DAO24" s="109"/>
      <c r="DAP24" s="109"/>
      <c r="DAQ24" s="109"/>
      <c r="DAR24" s="109"/>
      <c r="DAS24" s="109"/>
      <c r="DAT24" s="109"/>
      <c r="DAU24" s="109"/>
      <c r="DAV24" s="109"/>
      <c r="DAW24" s="109"/>
      <c r="DAX24" s="109"/>
      <c r="DAY24" s="109"/>
      <c r="DAZ24" s="109"/>
      <c r="DBA24" s="109"/>
      <c r="DBB24" s="109"/>
      <c r="DBC24" s="109"/>
      <c r="DBD24" s="109"/>
      <c r="DBE24" s="109"/>
      <c r="DBF24" s="109"/>
      <c r="DBG24" s="109"/>
      <c r="DBH24" s="109"/>
      <c r="DBI24" s="109"/>
      <c r="DBJ24" s="109"/>
      <c r="DBK24" s="109"/>
      <c r="DBL24" s="109"/>
      <c r="DBM24" s="109"/>
      <c r="DBN24" s="109"/>
      <c r="DBO24" s="109"/>
      <c r="DBP24" s="109"/>
      <c r="DBQ24" s="109"/>
      <c r="DBR24" s="109"/>
      <c r="DBS24" s="109"/>
      <c r="DBT24" s="109"/>
      <c r="DBU24" s="109"/>
      <c r="DBV24" s="109"/>
      <c r="DBW24" s="109"/>
      <c r="DBX24" s="109"/>
      <c r="DBY24" s="109"/>
      <c r="DBZ24" s="109"/>
      <c r="DCA24" s="109"/>
      <c r="DCB24" s="109"/>
      <c r="DCC24" s="109"/>
      <c r="DCD24" s="109"/>
      <c r="DCE24" s="109"/>
      <c r="DCF24" s="109"/>
      <c r="DCG24" s="109"/>
      <c r="DCH24" s="109"/>
      <c r="DCI24" s="109"/>
      <c r="DCJ24" s="109"/>
      <c r="DCK24" s="109"/>
      <c r="DCL24" s="109"/>
      <c r="DCM24" s="109"/>
      <c r="DCN24" s="109"/>
      <c r="DCO24" s="109"/>
      <c r="DCP24" s="109"/>
      <c r="DCQ24" s="109"/>
      <c r="DCR24" s="109"/>
      <c r="DCS24" s="109"/>
      <c r="DCT24" s="109"/>
      <c r="DCU24" s="109"/>
      <c r="DCV24" s="109"/>
      <c r="DCW24" s="109"/>
      <c r="DCX24" s="109"/>
      <c r="DCY24" s="109"/>
      <c r="DCZ24" s="109"/>
      <c r="DDA24" s="109"/>
      <c r="DDB24" s="109"/>
      <c r="DDC24" s="109"/>
      <c r="DDD24" s="109"/>
      <c r="DDE24" s="109"/>
      <c r="DDF24" s="109"/>
      <c r="DDG24" s="109"/>
      <c r="DDH24" s="109"/>
      <c r="DDI24" s="109"/>
      <c r="DDJ24" s="109"/>
      <c r="DDK24" s="109"/>
      <c r="DDL24" s="109"/>
      <c r="DDM24" s="109"/>
      <c r="DDN24" s="109"/>
      <c r="DDO24" s="109"/>
      <c r="DDP24" s="109"/>
      <c r="DDQ24" s="109"/>
      <c r="DDR24" s="109"/>
      <c r="DDS24" s="109"/>
      <c r="DDT24" s="109"/>
      <c r="DDU24" s="109"/>
      <c r="DDV24" s="109"/>
      <c r="DDW24" s="109"/>
      <c r="DDX24" s="109"/>
      <c r="DDY24" s="109"/>
      <c r="DDZ24" s="109"/>
      <c r="DEA24" s="109"/>
      <c r="DEB24" s="109"/>
      <c r="DEC24" s="109"/>
      <c r="DED24" s="109"/>
      <c r="DEE24" s="109"/>
      <c r="DEF24" s="109"/>
      <c r="DEG24" s="109"/>
      <c r="DEH24" s="109"/>
      <c r="DEI24" s="109"/>
      <c r="DEJ24" s="109"/>
      <c r="DEK24" s="109"/>
      <c r="DEL24" s="109"/>
      <c r="DEM24" s="109"/>
      <c r="DEN24" s="109"/>
      <c r="DEO24" s="109"/>
      <c r="DEP24" s="109"/>
      <c r="DEQ24" s="109"/>
      <c r="DER24" s="109"/>
      <c r="DES24" s="109"/>
      <c r="DET24" s="109"/>
      <c r="DEU24" s="109"/>
      <c r="DEV24" s="109"/>
      <c r="DEW24" s="109"/>
      <c r="DEX24" s="109"/>
      <c r="DEY24" s="109"/>
      <c r="DEZ24" s="109"/>
      <c r="DFA24" s="109"/>
      <c r="DFB24" s="109"/>
      <c r="DFC24" s="109"/>
      <c r="DFD24" s="109"/>
      <c r="DFE24" s="109"/>
      <c r="DFF24" s="109"/>
      <c r="DFG24" s="109"/>
      <c r="DFH24" s="109"/>
      <c r="DFI24" s="109"/>
      <c r="DFJ24" s="109"/>
      <c r="DFK24" s="109"/>
      <c r="DFL24" s="109"/>
      <c r="DFM24" s="109"/>
      <c r="DFN24" s="109"/>
      <c r="DFO24" s="109"/>
      <c r="DFP24" s="109"/>
      <c r="DFQ24" s="109"/>
      <c r="DFR24" s="109"/>
      <c r="DFS24" s="109"/>
      <c r="DFT24" s="109"/>
      <c r="DFU24" s="109"/>
      <c r="DFV24" s="109"/>
      <c r="DFW24" s="109"/>
      <c r="DFX24" s="109"/>
      <c r="DFY24" s="109"/>
      <c r="DFZ24" s="109"/>
      <c r="DGA24" s="109"/>
      <c r="DGB24" s="109"/>
      <c r="DGC24" s="109"/>
      <c r="DGD24" s="109"/>
      <c r="DGE24" s="109"/>
      <c r="DGF24" s="109"/>
      <c r="DGG24" s="109"/>
      <c r="DGH24" s="109"/>
      <c r="DGI24" s="109"/>
      <c r="DGJ24" s="109"/>
      <c r="DGK24" s="109"/>
      <c r="DGL24" s="109"/>
      <c r="DGM24" s="109"/>
      <c r="DGN24" s="109"/>
      <c r="DGO24" s="109"/>
      <c r="DGP24" s="109"/>
      <c r="DGQ24" s="109"/>
      <c r="DGR24" s="109"/>
      <c r="DGS24" s="109"/>
      <c r="DGT24" s="109"/>
      <c r="DGU24" s="109"/>
      <c r="DGV24" s="109"/>
      <c r="DGW24" s="109"/>
      <c r="DGX24" s="109"/>
      <c r="DGY24" s="109"/>
      <c r="DGZ24" s="109"/>
      <c r="DHA24" s="109"/>
      <c r="DHB24" s="109"/>
      <c r="DHC24" s="109"/>
      <c r="DHD24" s="109"/>
      <c r="DHE24" s="109"/>
      <c r="DHF24" s="109"/>
      <c r="DHG24" s="109"/>
      <c r="DHH24" s="109"/>
      <c r="DHI24" s="109"/>
      <c r="DHJ24" s="109"/>
      <c r="DHK24" s="109"/>
      <c r="DHL24" s="109"/>
      <c r="DHM24" s="109"/>
      <c r="DHN24" s="109"/>
      <c r="DHO24" s="109"/>
      <c r="DHP24" s="109"/>
      <c r="DHQ24" s="109"/>
      <c r="DHR24" s="109"/>
      <c r="DHS24" s="109"/>
      <c r="DHT24" s="109"/>
      <c r="DHU24" s="109"/>
      <c r="DHV24" s="109"/>
      <c r="DHW24" s="109"/>
      <c r="DHX24" s="109"/>
      <c r="DHY24" s="109"/>
      <c r="DHZ24" s="109"/>
      <c r="DIA24" s="109"/>
      <c r="DIB24" s="109"/>
      <c r="DIC24" s="109"/>
      <c r="DID24" s="109"/>
      <c r="DIE24" s="109"/>
      <c r="DIF24" s="109"/>
      <c r="DIG24" s="109"/>
      <c r="DIH24" s="109"/>
      <c r="DII24" s="109"/>
      <c r="DIJ24" s="109"/>
      <c r="DIK24" s="109"/>
      <c r="DIL24" s="109"/>
      <c r="DIM24" s="109"/>
      <c r="DIN24" s="109"/>
      <c r="DIO24" s="109"/>
      <c r="DIP24" s="109"/>
      <c r="DIQ24" s="109"/>
      <c r="DIR24" s="109"/>
      <c r="DIS24" s="109"/>
      <c r="DIT24" s="109"/>
      <c r="DIU24" s="109"/>
      <c r="DIV24" s="109"/>
      <c r="DIW24" s="109"/>
      <c r="DIX24" s="109"/>
      <c r="DIY24" s="109"/>
      <c r="DIZ24" s="109"/>
      <c r="DJA24" s="109"/>
      <c r="DJB24" s="109"/>
      <c r="DJC24" s="109"/>
      <c r="DJD24" s="109"/>
      <c r="DJE24" s="109"/>
      <c r="DJF24" s="109"/>
      <c r="DJG24" s="109"/>
      <c r="DJH24" s="109"/>
      <c r="DJI24" s="109"/>
      <c r="DJJ24" s="109"/>
      <c r="DJK24" s="109"/>
      <c r="DJL24" s="109"/>
      <c r="DJM24" s="109"/>
      <c r="DJN24" s="109"/>
      <c r="DJO24" s="109"/>
      <c r="DJP24" s="109"/>
      <c r="DJQ24" s="109"/>
      <c r="DJR24" s="109"/>
      <c r="DJS24" s="109"/>
      <c r="DJT24" s="109"/>
      <c r="DJU24" s="109"/>
      <c r="DJV24" s="109"/>
      <c r="DJW24" s="109"/>
      <c r="DJX24" s="109"/>
      <c r="DJY24" s="109"/>
      <c r="DJZ24" s="109"/>
      <c r="DKA24" s="109"/>
      <c r="DKB24" s="109"/>
      <c r="DKC24" s="109"/>
      <c r="DKD24" s="109"/>
      <c r="DKE24" s="109"/>
      <c r="DKF24" s="109"/>
      <c r="DKG24" s="109"/>
      <c r="DKH24" s="109"/>
      <c r="DKI24" s="109"/>
      <c r="DKJ24" s="109"/>
      <c r="DKK24" s="109"/>
      <c r="DKL24" s="109"/>
      <c r="DKM24" s="109"/>
      <c r="DKN24" s="109"/>
      <c r="DKO24" s="109"/>
      <c r="DKP24" s="109"/>
      <c r="DKQ24" s="109"/>
      <c r="DKR24" s="109"/>
      <c r="DKS24" s="109"/>
      <c r="DKT24" s="109"/>
      <c r="DKU24" s="109"/>
      <c r="DKV24" s="109"/>
      <c r="DKW24" s="109"/>
      <c r="DKX24" s="109"/>
      <c r="DKY24" s="109"/>
      <c r="DKZ24" s="109"/>
      <c r="DLA24" s="109"/>
      <c r="DLB24" s="109"/>
      <c r="DLC24" s="109"/>
      <c r="DLD24" s="109"/>
      <c r="DLE24" s="109"/>
      <c r="DLF24" s="109"/>
      <c r="DLG24" s="109"/>
      <c r="DLH24" s="109"/>
      <c r="DLI24" s="109"/>
      <c r="DLJ24" s="109"/>
      <c r="DLK24" s="109"/>
      <c r="DLL24" s="109"/>
      <c r="DLM24" s="109"/>
      <c r="DLN24" s="109"/>
      <c r="DLO24" s="109"/>
      <c r="DLP24" s="109"/>
      <c r="DLQ24" s="109"/>
      <c r="DLR24" s="109"/>
      <c r="DLS24" s="109"/>
      <c r="DLT24" s="109"/>
      <c r="DLU24" s="109"/>
      <c r="DLV24" s="109"/>
      <c r="DLW24" s="109"/>
      <c r="DLX24" s="109"/>
      <c r="DLY24" s="109"/>
      <c r="DLZ24" s="109"/>
      <c r="DMA24" s="109"/>
      <c r="DMB24" s="109"/>
      <c r="DMC24" s="109"/>
      <c r="DMD24" s="109"/>
      <c r="DME24" s="109"/>
      <c r="DMF24" s="109"/>
      <c r="DMG24" s="109"/>
      <c r="DMH24" s="109"/>
      <c r="DMI24" s="109"/>
      <c r="DMJ24" s="109"/>
      <c r="DMK24" s="109"/>
      <c r="DML24" s="109"/>
      <c r="DMM24" s="109"/>
      <c r="DMN24" s="109"/>
      <c r="DMO24" s="109"/>
      <c r="DMP24" s="109"/>
      <c r="DMQ24" s="109"/>
      <c r="DMR24" s="109"/>
      <c r="DMS24" s="109"/>
      <c r="DMT24" s="109"/>
      <c r="DMU24" s="109"/>
      <c r="DMV24" s="109"/>
      <c r="DMW24" s="109"/>
      <c r="DMX24" s="109"/>
      <c r="DMY24" s="109"/>
      <c r="DMZ24" s="109"/>
      <c r="DNA24" s="109"/>
      <c r="DNB24" s="109"/>
      <c r="DNC24" s="109"/>
      <c r="DND24" s="109"/>
      <c r="DNE24" s="109"/>
      <c r="DNF24" s="109"/>
      <c r="DNG24" s="109"/>
      <c r="DNH24" s="109"/>
      <c r="DNI24" s="109"/>
      <c r="DNJ24" s="109"/>
      <c r="DNK24" s="109"/>
      <c r="DNL24" s="109"/>
      <c r="DNM24" s="109"/>
      <c r="DNN24" s="109"/>
      <c r="DNO24" s="109"/>
      <c r="DNP24" s="109"/>
      <c r="DNQ24" s="109"/>
      <c r="DNR24" s="109"/>
      <c r="DNS24" s="109"/>
      <c r="DNT24" s="109"/>
      <c r="DNU24" s="109"/>
      <c r="DNV24" s="109"/>
      <c r="DNW24" s="109"/>
      <c r="DNX24" s="109"/>
      <c r="DNY24" s="109"/>
      <c r="DNZ24" s="109"/>
      <c r="DOA24" s="109"/>
      <c r="DOB24" s="109"/>
      <c r="DOC24" s="109"/>
      <c r="DOD24" s="109"/>
      <c r="DOE24" s="109"/>
      <c r="DOF24" s="109"/>
      <c r="DOG24" s="109"/>
      <c r="DOH24" s="109"/>
      <c r="DOI24" s="109"/>
      <c r="DOJ24" s="109"/>
      <c r="DOK24" s="109"/>
      <c r="DOL24" s="109"/>
      <c r="DOM24" s="109"/>
      <c r="DON24" s="109"/>
      <c r="DOO24" s="109"/>
      <c r="DOP24" s="109"/>
      <c r="DOQ24" s="109"/>
      <c r="DOR24" s="109"/>
      <c r="DOS24" s="109"/>
      <c r="DOT24" s="109"/>
      <c r="DOU24" s="109"/>
      <c r="DOV24" s="109"/>
      <c r="DOW24" s="109"/>
      <c r="DOX24" s="109"/>
      <c r="DOY24" s="109"/>
      <c r="DOZ24" s="109"/>
      <c r="DPA24" s="109"/>
      <c r="DPB24" s="109"/>
      <c r="DPC24" s="109"/>
      <c r="DPD24" s="109"/>
      <c r="DPE24" s="109"/>
      <c r="DPF24" s="109"/>
      <c r="DPG24" s="109"/>
      <c r="DPH24" s="109"/>
      <c r="DPI24" s="109"/>
      <c r="DPJ24" s="109"/>
      <c r="DPK24" s="109"/>
      <c r="DPL24" s="109"/>
      <c r="DPM24" s="109"/>
      <c r="DPN24" s="109"/>
      <c r="DPO24" s="109"/>
      <c r="DPP24" s="109"/>
      <c r="DPQ24" s="109"/>
      <c r="DPR24" s="109"/>
      <c r="DPS24" s="109"/>
      <c r="DPT24" s="109"/>
      <c r="DPU24" s="109"/>
      <c r="DPV24" s="109"/>
      <c r="DPW24" s="109"/>
      <c r="DPX24" s="109"/>
      <c r="DPY24" s="109"/>
      <c r="DPZ24" s="109"/>
      <c r="DQA24" s="109"/>
      <c r="DQB24" s="109"/>
      <c r="DQC24" s="109"/>
      <c r="DQD24" s="109"/>
      <c r="DQE24" s="109"/>
      <c r="DQF24" s="109"/>
      <c r="DQG24" s="109"/>
      <c r="DQH24" s="109"/>
      <c r="DQI24" s="109"/>
      <c r="DQJ24" s="109"/>
      <c r="DQK24" s="109"/>
      <c r="DQL24" s="109"/>
      <c r="DQM24" s="109"/>
      <c r="DQN24" s="109"/>
      <c r="DQO24" s="109"/>
      <c r="DQP24" s="109"/>
      <c r="DQQ24" s="109"/>
      <c r="DQR24" s="109"/>
      <c r="DQS24" s="109"/>
      <c r="DQT24" s="109"/>
      <c r="DQU24" s="109"/>
      <c r="DQV24" s="109"/>
      <c r="DQW24" s="109"/>
      <c r="DQX24" s="109"/>
      <c r="DQY24" s="109"/>
      <c r="DQZ24" s="109"/>
      <c r="DRA24" s="109"/>
      <c r="DRB24" s="109"/>
      <c r="DRC24" s="109"/>
      <c r="DRD24" s="109"/>
      <c r="DRE24" s="109"/>
      <c r="DRF24" s="109"/>
      <c r="DRG24" s="109"/>
      <c r="DRH24" s="109"/>
      <c r="DRI24" s="109"/>
      <c r="DRJ24" s="109"/>
      <c r="DRK24" s="109"/>
      <c r="DRL24" s="109"/>
      <c r="DRM24" s="109"/>
      <c r="DRN24" s="109"/>
      <c r="DRO24" s="109"/>
      <c r="DRP24" s="109"/>
      <c r="DRQ24" s="109"/>
      <c r="DRR24" s="109"/>
      <c r="DRS24" s="109"/>
      <c r="DRT24" s="109"/>
      <c r="DRU24" s="109"/>
      <c r="DRV24" s="109"/>
      <c r="DRW24" s="109"/>
      <c r="DRX24" s="109"/>
      <c r="DRY24" s="109"/>
      <c r="DRZ24" s="109"/>
      <c r="DSA24" s="109"/>
      <c r="DSB24" s="109"/>
      <c r="DSC24" s="109"/>
      <c r="DSD24" s="109"/>
      <c r="DSE24" s="109"/>
      <c r="DSF24" s="109"/>
      <c r="DSG24" s="109"/>
      <c r="DSH24" s="109"/>
      <c r="DSI24" s="109"/>
      <c r="DSJ24" s="109"/>
      <c r="DSK24" s="109"/>
      <c r="DSL24" s="109"/>
      <c r="DSM24" s="109"/>
      <c r="DSN24" s="109"/>
      <c r="DSO24" s="109"/>
      <c r="DSP24" s="109"/>
      <c r="DSQ24" s="109"/>
      <c r="DSR24" s="109"/>
      <c r="DSS24" s="109"/>
      <c r="DST24" s="109"/>
      <c r="DSU24" s="109"/>
      <c r="DSV24" s="109"/>
      <c r="DSW24" s="109"/>
      <c r="DSX24" s="109"/>
      <c r="DSY24" s="109"/>
      <c r="DSZ24" s="109"/>
      <c r="DTA24" s="109"/>
      <c r="DTB24" s="109"/>
      <c r="DTC24" s="109"/>
      <c r="DTD24" s="109"/>
      <c r="DTE24" s="109"/>
      <c r="DTF24" s="109"/>
      <c r="DTG24" s="109"/>
      <c r="DTH24" s="109"/>
      <c r="DTI24" s="109"/>
      <c r="DTJ24" s="109"/>
      <c r="DTK24" s="109"/>
      <c r="DTL24" s="109"/>
      <c r="DTM24" s="109"/>
      <c r="DTN24" s="109"/>
      <c r="DTO24" s="109"/>
      <c r="DTP24" s="109"/>
      <c r="DTQ24" s="109"/>
      <c r="DTR24" s="109"/>
      <c r="DTS24" s="109"/>
      <c r="DTT24" s="109"/>
      <c r="DTU24" s="109"/>
      <c r="DTV24" s="109"/>
      <c r="DTW24" s="109"/>
      <c r="DTX24" s="109"/>
      <c r="DTY24" s="109"/>
      <c r="DTZ24" s="109"/>
      <c r="DUA24" s="109"/>
      <c r="DUB24" s="109"/>
      <c r="DUC24" s="109"/>
      <c r="DUD24" s="109"/>
      <c r="DUE24" s="109"/>
      <c r="DUF24" s="109"/>
      <c r="DUG24" s="109"/>
      <c r="DUH24" s="109"/>
      <c r="DUI24" s="109"/>
      <c r="DUJ24" s="109"/>
      <c r="DUK24" s="109"/>
      <c r="DUL24" s="109"/>
      <c r="DUM24" s="109"/>
      <c r="DUN24" s="109"/>
      <c r="DUO24" s="109"/>
      <c r="DUP24" s="109"/>
      <c r="DUQ24" s="109"/>
      <c r="DUR24" s="109"/>
      <c r="DUS24" s="109"/>
      <c r="DUT24" s="109"/>
      <c r="DUU24" s="109"/>
      <c r="DUV24" s="109"/>
      <c r="DUW24" s="109"/>
      <c r="DUX24" s="109"/>
      <c r="DUY24" s="109"/>
      <c r="DUZ24" s="109"/>
      <c r="DVA24" s="109"/>
      <c r="DVB24" s="109"/>
      <c r="DVC24" s="109"/>
      <c r="DVD24" s="109"/>
      <c r="DVE24" s="109"/>
      <c r="DVF24" s="109"/>
      <c r="DVG24" s="109"/>
      <c r="DVH24" s="109"/>
      <c r="DVI24" s="109"/>
      <c r="DVJ24" s="109"/>
      <c r="DVK24" s="109"/>
      <c r="DVL24" s="109"/>
      <c r="DVM24" s="109"/>
      <c r="DVN24" s="109"/>
      <c r="DVO24" s="109"/>
      <c r="DVP24" s="109"/>
      <c r="DVQ24" s="109"/>
      <c r="DVR24" s="109"/>
      <c r="DVS24" s="109"/>
      <c r="DVT24" s="109"/>
      <c r="DVU24" s="109"/>
      <c r="DVV24" s="109"/>
      <c r="DVW24" s="109"/>
      <c r="DVX24" s="109"/>
      <c r="DVY24" s="109"/>
      <c r="DVZ24" s="109"/>
      <c r="DWA24" s="109"/>
      <c r="DWB24" s="109"/>
      <c r="DWC24" s="109"/>
      <c r="DWD24" s="109"/>
      <c r="DWE24" s="109"/>
      <c r="DWF24" s="109"/>
      <c r="DWG24" s="109"/>
      <c r="DWH24" s="109"/>
      <c r="DWI24" s="109"/>
      <c r="DWJ24" s="109"/>
      <c r="DWK24" s="109"/>
      <c r="DWL24" s="109"/>
      <c r="DWM24" s="109"/>
      <c r="DWN24" s="109"/>
      <c r="DWO24" s="109"/>
      <c r="DWP24" s="109"/>
      <c r="DWQ24" s="109"/>
      <c r="DWR24" s="109"/>
      <c r="DWS24" s="109"/>
      <c r="DWT24" s="109"/>
      <c r="DWU24" s="109"/>
      <c r="DWV24" s="109"/>
      <c r="DWW24" s="109"/>
      <c r="DWX24" s="109"/>
      <c r="DWY24" s="109"/>
      <c r="DWZ24" s="109"/>
      <c r="DXA24" s="109"/>
      <c r="DXB24" s="109"/>
      <c r="DXC24" s="109"/>
      <c r="DXD24" s="109"/>
      <c r="DXE24" s="109"/>
      <c r="DXF24" s="109"/>
      <c r="DXG24" s="109"/>
      <c r="DXH24" s="109"/>
      <c r="DXI24" s="109"/>
      <c r="DXJ24" s="109"/>
      <c r="DXK24" s="109"/>
      <c r="DXL24" s="109"/>
      <c r="DXM24" s="109"/>
      <c r="DXN24" s="109"/>
      <c r="DXO24" s="109"/>
      <c r="DXP24" s="109"/>
      <c r="DXQ24" s="109"/>
      <c r="DXR24" s="109"/>
      <c r="DXS24" s="109"/>
      <c r="DXT24" s="109"/>
      <c r="DXU24" s="109"/>
      <c r="DXV24" s="109"/>
      <c r="DXW24" s="109"/>
      <c r="DXX24" s="109"/>
      <c r="DXY24" s="109"/>
      <c r="DXZ24" s="109"/>
      <c r="DYA24" s="109"/>
      <c r="DYB24" s="109"/>
      <c r="DYC24" s="109"/>
      <c r="DYD24" s="109"/>
      <c r="DYE24" s="109"/>
      <c r="DYF24" s="109"/>
      <c r="DYG24" s="109"/>
      <c r="DYH24" s="109"/>
      <c r="DYI24" s="109"/>
      <c r="DYJ24" s="109"/>
      <c r="DYK24" s="109"/>
      <c r="DYL24" s="109"/>
      <c r="DYM24" s="109"/>
      <c r="DYN24" s="109"/>
      <c r="DYO24" s="109"/>
      <c r="DYP24" s="109"/>
      <c r="DYQ24" s="109"/>
      <c r="DYR24" s="109"/>
      <c r="DYS24" s="109"/>
      <c r="DYT24" s="109"/>
      <c r="DYU24" s="109"/>
      <c r="DYV24" s="109"/>
      <c r="DYW24" s="109"/>
      <c r="DYX24" s="109"/>
      <c r="DYY24" s="109"/>
      <c r="DYZ24" s="109"/>
      <c r="DZA24" s="109"/>
      <c r="DZB24" s="109"/>
      <c r="DZC24" s="109"/>
      <c r="DZD24" s="109"/>
      <c r="DZE24" s="109"/>
      <c r="DZF24" s="109"/>
      <c r="DZG24" s="109"/>
      <c r="DZH24" s="109"/>
      <c r="DZI24" s="109"/>
      <c r="DZJ24" s="109"/>
      <c r="DZK24" s="109"/>
      <c r="DZL24" s="109"/>
      <c r="DZM24" s="109"/>
      <c r="DZN24" s="109"/>
      <c r="DZO24" s="109"/>
      <c r="DZP24" s="109"/>
      <c r="DZQ24" s="109"/>
      <c r="DZR24" s="109"/>
      <c r="DZS24" s="109"/>
      <c r="DZT24" s="109"/>
      <c r="DZU24" s="109"/>
      <c r="DZV24" s="109"/>
      <c r="DZW24" s="109"/>
      <c r="DZX24" s="109"/>
      <c r="DZY24" s="109"/>
      <c r="DZZ24" s="109"/>
      <c r="EAA24" s="109"/>
      <c r="EAB24" s="109"/>
      <c r="EAC24" s="109"/>
      <c r="EAD24" s="109"/>
      <c r="EAE24" s="109"/>
      <c r="EAF24" s="109"/>
      <c r="EAG24" s="109"/>
      <c r="EAH24" s="109"/>
      <c r="EAI24" s="109"/>
      <c r="EAJ24" s="109"/>
      <c r="EAK24" s="109"/>
      <c r="EAL24" s="109"/>
      <c r="EAM24" s="109"/>
      <c r="EAN24" s="109"/>
      <c r="EAO24" s="109"/>
      <c r="EAP24" s="109"/>
      <c r="EAQ24" s="109"/>
      <c r="EAR24" s="109"/>
      <c r="EAS24" s="109"/>
      <c r="EAT24" s="109"/>
      <c r="EAU24" s="109"/>
      <c r="EAV24" s="109"/>
      <c r="EAW24" s="109"/>
      <c r="EAX24" s="109"/>
      <c r="EAY24" s="109"/>
      <c r="EAZ24" s="109"/>
      <c r="EBA24" s="109"/>
      <c r="EBB24" s="109"/>
      <c r="EBC24" s="109"/>
      <c r="EBD24" s="109"/>
      <c r="EBE24" s="109"/>
      <c r="EBF24" s="109"/>
      <c r="EBG24" s="109"/>
      <c r="EBH24" s="109"/>
      <c r="EBI24" s="109"/>
      <c r="EBJ24" s="109"/>
      <c r="EBK24" s="109"/>
      <c r="EBL24" s="109"/>
      <c r="EBM24" s="109"/>
      <c r="EBN24" s="109"/>
      <c r="EBO24" s="109"/>
      <c r="EBP24" s="109"/>
      <c r="EBQ24" s="109"/>
      <c r="EBR24" s="109"/>
      <c r="EBS24" s="109"/>
      <c r="EBT24" s="109"/>
      <c r="EBU24" s="109"/>
      <c r="EBV24" s="109"/>
      <c r="EBW24" s="109"/>
      <c r="EBX24" s="109"/>
      <c r="EBY24" s="109"/>
      <c r="EBZ24" s="109"/>
      <c r="ECA24" s="109"/>
      <c r="ECB24" s="109"/>
      <c r="ECC24" s="109"/>
      <c r="ECD24" s="109"/>
      <c r="ECE24" s="109"/>
      <c r="ECF24" s="109"/>
      <c r="ECG24" s="109"/>
      <c r="ECH24" s="109"/>
      <c r="ECI24" s="109"/>
      <c r="ECJ24" s="109"/>
      <c r="ECK24" s="109"/>
      <c r="ECL24" s="109"/>
      <c r="ECM24" s="109"/>
      <c r="ECN24" s="109"/>
      <c r="ECO24" s="109"/>
      <c r="ECP24" s="109"/>
      <c r="ECQ24" s="109"/>
      <c r="ECR24" s="109"/>
      <c r="ECS24" s="109"/>
      <c r="ECT24" s="109"/>
      <c r="ECU24" s="109"/>
      <c r="ECV24" s="109"/>
      <c r="ECW24" s="109"/>
      <c r="ECX24" s="109"/>
      <c r="ECY24" s="109"/>
      <c r="ECZ24" s="109"/>
      <c r="EDA24" s="109"/>
      <c r="EDB24" s="109"/>
      <c r="EDC24" s="109"/>
      <c r="EDD24" s="109"/>
      <c r="EDE24" s="109"/>
      <c r="EDF24" s="109"/>
      <c r="EDG24" s="109"/>
      <c r="EDH24" s="109"/>
      <c r="EDI24" s="109"/>
      <c r="EDJ24" s="109"/>
      <c r="EDK24" s="109"/>
      <c r="EDL24" s="109"/>
      <c r="EDM24" s="109"/>
      <c r="EDN24" s="109"/>
      <c r="EDO24" s="109"/>
      <c r="EDP24" s="109"/>
      <c r="EDQ24" s="109"/>
      <c r="EDR24" s="109"/>
      <c r="EDS24" s="109"/>
      <c r="EDT24" s="109"/>
      <c r="EDU24" s="109"/>
      <c r="EDV24" s="109"/>
      <c r="EDW24" s="109"/>
      <c r="EDX24" s="109"/>
      <c r="EDY24" s="109"/>
      <c r="EDZ24" s="109"/>
      <c r="EEA24" s="109"/>
      <c r="EEB24" s="109"/>
      <c r="EEC24" s="109"/>
      <c r="EED24" s="109"/>
      <c r="EEE24" s="109"/>
      <c r="EEF24" s="109"/>
      <c r="EEG24" s="109"/>
      <c r="EEH24" s="109"/>
      <c r="EEI24" s="109"/>
      <c r="EEJ24" s="109"/>
      <c r="EEK24" s="109"/>
      <c r="EEL24" s="109"/>
      <c r="EEM24" s="109"/>
      <c r="EEN24" s="109"/>
      <c r="EEO24" s="109"/>
      <c r="EEP24" s="109"/>
      <c r="EEQ24" s="109"/>
      <c r="EER24" s="109"/>
      <c r="EES24" s="109"/>
      <c r="EET24" s="109"/>
      <c r="EEU24" s="109"/>
      <c r="EEV24" s="109"/>
      <c r="EEW24" s="109"/>
      <c r="EEX24" s="109"/>
      <c r="EEY24" s="109"/>
      <c r="EEZ24" s="109"/>
      <c r="EFA24" s="109"/>
      <c r="EFB24" s="109"/>
      <c r="EFC24" s="109"/>
      <c r="EFD24" s="109"/>
      <c r="EFE24" s="109"/>
      <c r="EFF24" s="109"/>
      <c r="EFG24" s="109"/>
      <c r="EFH24" s="109"/>
      <c r="EFI24" s="109"/>
      <c r="EFJ24" s="109"/>
      <c r="EFK24" s="109"/>
      <c r="EFL24" s="109"/>
      <c r="EFM24" s="109"/>
      <c r="EFN24" s="109"/>
      <c r="EFO24" s="109"/>
      <c r="EFP24" s="109"/>
      <c r="EFQ24" s="109"/>
      <c r="EFR24" s="109"/>
      <c r="EFS24" s="109"/>
      <c r="EFT24" s="109"/>
      <c r="EFU24" s="109"/>
      <c r="EFV24" s="109"/>
      <c r="EFW24" s="109"/>
      <c r="EFX24" s="109"/>
      <c r="EFY24" s="109"/>
      <c r="EFZ24" s="109"/>
      <c r="EGA24" s="109"/>
      <c r="EGB24" s="109"/>
      <c r="EGC24" s="109"/>
      <c r="EGD24" s="109"/>
      <c r="EGE24" s="109"/>
      <c r="EGF24" s="109"/>
      <c r="EGG24" s="109"/>
      <c r="EGH24" s="109"/>
      <c r="EGI24" s="109"/>
      <c r="EGJ24" s="109"/>
      <c r="EGK24" s="109"/>
      <c r="EGL24" s="109"/>
      <c r="EGM24" s="109"/>
      <c r="EGN24" s="109"/>
      <c r="EGO24" s="109"/>
      <c r="EGP24" s="109"/>
      <c r="EGQ24" s="109"/>
      <c r="EGR24" s="109"/>
      <c r="EGS24" s="109"/>
      <c r="EGT24" s="109"/>
      <c r="EGU24" s="109"/>
      <c r="EGV24" s="109"/>
      <c r="EGW24" s="109"/>
      <c r="EGX24" s="109"/>
      <c r="EGY24" s="109"/>
      <c r="EGZ24" s="109"/>
      <c r="EHA24" s="109"/>
      <c r="EHB24" s="109"/>
      <c r="EHC24" s="109"/>
      <c r="EHD24" s="109"/>
      <c r="EHE24" s="109"/>
      <c r="EHF24" s="109"/>
      <c r="EHG24" s="109"/>
      <c r="EHH24" s="109"/>
      <c r="EHI24" s="109"/>
      <c r="EHJ24" s="109"/>
      <c r="EHK24" s="109"/>
      <c r="EHL24" s="109"/>
      <c r="EHM24" s="109"/>
      <c r="EHN24" s="109"/>
      <c r="EHO24" s="109"/>
      <c r="EHP24" s="109"/>
      <c r="EHQ24" s="109"/>
      <c r="EHR24" s="109"/>
      <c r="EHS24" s="109"/>
      <c r="EHT24" s="109"/>
      <c r="EHU24" s="109"/>
      <c r="EHV24" s="109"/>
      <c r="EHW24" s="109"/>
      <c r="EHX24" s="109"/>
      <c r="EHY24" s="109"/>
      <c r="EHZ24" s="109"/>
      <c r="EIA24" s="109"/>
      <c r="EIB24" s="109"/>
      <c r="EIC24" s="109"/>
      <c r="EID24" s="109"/>
      <c r="EIE24" s="109"/>
      <c r="EIF24" s="109"/>
      <c r="EIG24" s="109"/>
      <c r="EIH24" s="109"/>
      <c r="EII24" s="109"/>
      <c r="EIJ24" s="109"/>
      <c r="EIK24" s="109"/>
      <c r="EIL24" s="109"/>
      <c r="EIM24" s="109"/>
      <c r="EIN24" s="109"/>
      <c r="EIO24" s="109"/>
      <c r="EIP24" s="109"/>
      <c r="EIQ24" s="109"/>
      <c r="EIR24" s="109"/>
      <c r="EIS24" s="109"/>
      <c r="EIT24" s="109"/>
      <c r="EIU24" s="109"/>
      <c r="EIV24" s="109"/>
      <c r="EIW24" s="109"/>
      <c r="EIX24" s="109"/>
      <c r="EIY24" s="109"/>
      <c r="EIZ24" s="109"/>
      <c r="EJA24" s="109"/>
      <c r="EJB24" s="109"/>
      <c r="EJC24" s="109"/>
      <c r="EJD24" s="109"/>
      <c r="EJE24" s="109"/>
      <c r="EJF24" s="109"/>
      <c r="EJG24" s="109"/>
      <c r="EJH24" s="109"/>
      <c r="EJI24" s="109"/>
      <c r="EJJ24" s="109"/>
      <c r="EJK24" s="109"/>
      <c r="EJL24" s="109"/>
      <c r="EJM24" s="109"/>
      <c r="EJN24" s="109"/>
      <c r="EJO24" s="109"/>
      <c r="EJP24" s="109"/>
      <c r="EJQ24" s="109"/>
      <c r="EJR24" s="109"/>
      <c r="EJS24" s="109"/>
      <c r="EJT24" s="109"/>
      <c r="EJU24" s="109"/>
      <c r="EJV24" s="109"/>
      <c r="EJW24" s="109"/>
      <c r="EJX24" s="109"/>
      <c r="EJY24" s="109"/>
      <c r="EJZ24" s="109"/>
      <c r="EKA24" s="109"/>
      <c r="EKB24" s="109"/>
      <c r="EKC24" s="109"/>
      <c r="EKD24" s="109"/>
      <c r="EKE24" s="109"/>
      <c r="EKF24" s="109"/>
      <c r="EKG24" s="109"/>
      <c r="EKH24" s="109"/>
      <c r="EKI24" s="109"/>
      <c r="EKJ24" s="109"/>
      <c r="EKK24" s="109"/>
      <c r="EKL24" s="109"/>
      <c r="EKM24" s="109"/>
      <c r="EKN24" s="109"/>
      <c r="EKO24" s="109"/>
      <c r="EKP24" s="109"/>
      <c r="EKQ24" s="109"/>
      <c r="EKR24" s="109"/>
      <c r="EKS24" s="109"/>
      <c r="EKT24" s="109"/>
      <c r="EKU24" s="109"/>
      <c r="EKV24" s="109"/>
      <c r="EKW24" s="109"/>
      <c r="EKX24" s="109"/>
      <c r="EKY24" s="109"/>
      <c r="EKZ24" s="109"/>
      <c r="ELA24" s="109"/>
      <c r="ELB24" s="109"/>
      <c r="ELC24" s="109"/>
      <c r="ELD24" s="109"/>
      <c r="ELE24" s="109"/>
      <c r="ELF24" s="109"/>
      <c r="ELG24" s="109"/>
      <c r="ELH24" s="109"/>
      <c r="ELI24" s="109"/>
      <c r="ELJ24" s="109"/>
      <c r="ELK24" s="109"/>
      <c r="ELL24" s="109"/>
      <c r="ELM24" s="109"/>
      <c r="ELN24" s="109"/>
      <c r="ELO24" s="109"/>
      <c r="ELP24" s="109"/>
      <c r="ELQ24" s="109"/>
      <c r="ELR24" s="109"/>
      <c r="ELS24" s="109"/>
      <c r="ELT24" s="109"/>
      <c r="ELU24" s="109"/>
      <c r="ELV24" s="109"/>
      <c r="ELW24" s="109"/>
      <c r="ELX24" s="109"/>
      <c r="ELY24" s="109"/>
      <c r="ELZ24" s="109"/>
      <c r="EMA24" s="109"/>
      <c r="EMB24" s="109"/>
      <c r="EMC24" s="109"/>
      <c r="EMD24" s="109"/>
      <c r="EME24" s="109"/>
      <c r="EMF24" s="109"/>
      <c r="EMG24" s="109"/>
      <c r="EMH24" s="109"/>
      <c r="EMI24" s="109"/>
      <c r="EMJ24" s="109"/>
      <c r="EMK24" s="109"/>
      <c r="EML24" s="109"/>
      <c r="EMM24" s="109"/>
      <c r="EMN24" s="109"/>
      <c r="EMO24" s="109"/>
      <c r="EMP24" s="109"/>
      <c r="EMQ24" s="109"/>
      <c r="EMR24" s="109"/>
      <c r="EMS24" s="109"/>
      <c r="EMT24" s="109"/>
      <c r="EMU24" s="109"/>
      <c r="EMV24" s="109"/>
      <c r="EMW24" s="109"/>
      <c r="EMX24" s="109"/>
      <c r="EMY24" s="109"/>
      <c r="EMZ24" s="109"/>
      <c r="ENA24" s="109"/>
      <c r="ENB24" s="109"/>
      <c r="ENC24" s="109"/>
      <c r="END24" s="109"/>
      <c r="ENE24" s="109"/>
      <c r="ENF24" s="109"/>
      <c r="ENG24" s="109"/>
      <c r="ENH24" s="109"/>
      <c r="ENI24" s="109"/>
      <c r="ENJ24" s="109"/>
      <c r="ENK24" s="109"/>
      <c r="ENL24" s="109"/>
      <c r="ENM24" s="109"/>
      <c r="ENN24" s="109"/>
      <c r="ENO24" s="109"/>
      <c r="ENP24" s="109"/>
      <c r="ENQ24" s="109"/>
      <c r="ENR24" s="109"/>
      <c r="ENS24" s="109"/>
      <c r="ENT24" s="109"/>
      <c r="ENU24" s="109"/>
      <c r="ENV24" s="109"/>
      <c r="ENW24" s="109"/>
      <c r="ENX24" s="109"/>
      <c r="ENY24" s="109"/>
      <c r="ENZ24" s="109"/>
      <c r="EOA24" s="109"/>
      <c r="EOB24" s="109"/>
      <c r="EOC24" s="109"/>
      <c r="EOD24" s="109"/>
      <c r="EOE24" s="109"/>
      <c r="EOF24" s="109"/>
      <c r="EOG24" s="109"/>
      <c r="EOH24" s="109"/>
      <c r="EOI24" s="109"/>
      <c r="EOJ24" s="109"/>
      <c r="EOK24" s="109"/>
      <c r="EOL24" s="109"/>
      <c r="EOM24" s="109"/>
      <c r="EON24" s="109"/>
      <c r="EOO24" s="109"/>
      <c r="EOP24" s="109"/>
      <c r="EOQ24" s="109"/>
      <c r="EOR24" s="109"/>
      <c r="EOS24" s="109"/>
      <c r="EOT24" s="109"/>
      <c r="EOU24" s="109"/>
      <c r="EOV24" s="109"/>
      <c r="EOW24" s="109"/>
      <c r="EOX24" s="109"/>
      <c r="EOY24" s="109"/>
      <c r="EOZ24" s="109"/>
      <c r="EPA24" s="109"/>
      <c r="EPB24" s="109"/>
      <c r="EPC24" s="109"/>
      <c r="EPD24" s="109"/>
      <c r="EPE24" s="109"/>
      <c r="EPF24" s="109"/>
      <c r="EPG24" s="109"/>
      <c r="EPH24" s="109"/>
      <c r="EPI24" s="109"/>
      <c r="EPJ24" s="109"/>
      <c r="EPK24" s="109"/>
      <c r="EPL24" s="109"/>
      <c r="EPM24" s="109"/>
      <c r="EPN24" s="109"/>
      <c r="EPO24" s="109"/>
      <c r="EPP24" s="109"/>
      <c r="EPQ24" s="109"/>
      <c r="EPR24" s="109"/>
      <c r="EPS24" s="109"/>
      <c r="EPT24" s="109"/>
      <c r="EPU24" s="109"/>
      <c r="EPV24" s="109"/>
      <c r="EPW24" s="109"/>
      <c r="EPX24" s="109"/>
      <c r="EPY24" s="109"/>
      <c r="EPZ24" s="109"/>
      <c r="EQA24" s="109"/>
      <c r="EQB24" s="109"/>
      <c r="EQC24" s="109"/>
      <c r="EQD24" s="109"/>
      <c r="EQE24" s="109"/>
      <c r="EQF24" s="109"/>
      <c r="EQG24" s="109"/>
      <c r="EQH24" s="109"/>
      <c r="EQI24" s="109"/>
      <c r="EQJ24" s="109"/>
      <c r="EQK24" s="109"/>
      <c r="EQL24" s="109"/>
      <c r="EQM24" s="109"/>
      <c r="EQN24" s="109"/>
      <c r="EQO24" s="109"/>
      <c r="EQP24" s="109"/>
      <c r="EQQ24" s="109"/>
      <c r="EQR24" s="109"/>
      <c r="EQS24" s="109"/>
      <c r="EQT24" s="109"/>
      <c r="EQU24" s="109"/>
      <c r="EQV24" s="109"/>
      <c r="EQW24" s="109"/>
      <c r="EQX24" s="109"/>
      <c r="EQY24" s="109"/>
      <c r="EQZ24" s="109"/>
      <c r="ERA24" s="109"/>
      <c r="ERB24" s="109"/>
      <c r="ERC24" s="109"/>
      <c r="ERD24" s="109"/>
      <c r="ERE24" s="109"/>
      <c r="ERF24" s="109"/>
      <c r="ERG24" s="109"/>
      <c r="ERH24" s="109"/>
      <c r="ERI24" s="109"/>
      <c r="ERJ24" s="109"/>
      <c r="ERK24" s="109"/>
      <c r="ERL24" s="109"/>
      <c r="ERM24" s="109"/>
      <c r="ERN24" s="109"/>
      <c r="ERO24" s="109"/>
      <c r="ERP24" s="109"/>
      <c r="ERQ24" s="109"/>
      <c r="ERR24" s="109"/>
      <c r="ERS24" s="109"/>
      <c r="ERT24" s="109"/>
      <c r="ERU24" s="109"/>
      <c r="ERV24" s="109"/>
      <c r="ERW24" s="109"/>
      <c r="ERX24" s="109"/>
      <c r="ERY24" s="109"/>
      <c r="ERZ24" s="109"/>
      <c r="ESA24" s="109"/>
      <c r="ESB24" s="109"/>
      <c r="ESC24" s="109"/>
      <c r="ESD24" s="109"/>
      <c r="ESE24" s="109"/>
      <c r="ESF24" s="109"/>
      <c r="ESG24" s="109"/>
      <c r="ESH24" s="109"/>
      <c r="ESI24" s="109"/>
      <c r="ESJ24" s="109"/>
      <c r="ESK24" s="109"/>
      <c r="ESL24" s="109"/>
      <c r="ESM24" s="109"/>
      <c r="ESN24" s="109"/>
      <c r="ESO24" s="109"/>
      <c r="ESP24" s="109"/>
      <c r="ESQ24" s="109"/>
      <c r="ESR24" s="109"/>
      <c r="ESS24" s="109"/>
      <c r="EST24" s="109"/>
      <c r="ESU24" s="109"/>
      <c r="ESV24" s="109"/>
      <c r="ESW24" s="109"/>
      <c r="ESX24" s="109"/>
      <c r="ESY24" s="109"/>
      <c r="ESZ24" s="109"/>
      <c r="ETA24" s="109"/>
      <c r="ETB24" s="109"/>
      <c r="ETC24" s="109"/>
      <c r="ETD24" s="109"/>
      <c r="ETE24" s="109"/>
      <c r="ETF24" s="109"/>
      <c r="ETG24" s="109"/>
      <c r="ETH24" s="109"/>
      <c r="ETI24" s="109"/>
      <c r="ETJ24" s="109"/>
      <c r="ETK24" s="109"/>
      <c r="ETL24" s="109"/>
      <c r="ETM24" s="109"/>
      <c r="ETN24" s="109"/>
      <c r="ETO24" s="109"/>
      <c r="ETP24" s="109"/>
      <c r="ETQ24" s="109"/>
      <c r="ETR24" s="109"/>
      <c r="ETS24" s="109"/>
      <c r="ETT24" s="109"/>
      <c r="ETU24" s="109"/>
      <c r="ETV24" s="109"/>
      <c r="ETW24" s="109"/>
      <c r="ETX24" s="109"/>
      <c r="ETY24" s="109"/>
      <c r="ETZ24" s="109"/>
      <c r="EUA24" s="109"/>
      <c r="EUB24" s="109"/>
      <c r="EUC24" s="109"/>
      <c r="EUD24" s="109"/>
      <c r="EUE24" s="109"/>
      <c r="EUF24" s="109"/>
      <c r="EUG24" s="109"/>
      <c r="EUH24" s="109"/>
      <c r="EUI24" s="109"/>
      <c r="EUJ24" s="109"/>
      <c r="EUK24" s="109"/>
      <c r="EUL24" s="109"/>
      <c r="EUM24" s="109"/>
      <c r="EUN24" s="109"/>
      <c r="EUO24" s="109"/>
      <c r="EUP24" s="109"/>
      <c r="EUQ24" s="109"/>
      <c r="EUR24" s="109"/>
      <c r="EUS24" s="109"/>
      <c r="EUT24" s="109"/>
      <c r="EUU24" s="109"/>
      <c r="EUV24" s="109"/>
      <c r="EUW24" s="109"/>
      <c r="EUX24" s="109"/>
      <c r="EUY24" s="109"/>
      <c r="EUZ24" s="109"/>
      <c r="EVA24" s="109"/>
      <c r="EVB24" s="109"/>
      <c r="EVC24" s="109"/>
      <c r="EVD24" s="109"/>
      <c r="EVE24" s="109"/>
      <c r="EVF24" s="109"/>
      <c r="EVG24" s="109"/>
      <c r="EVH24" s="109"/>
      <c r="EVI24" s="109"/>
      <c r="EVJ24" s="109"/>
      <c r="EVK24" s="109"/>
      <c r="EVL24" s="109"/>
      <c r="EVM24" s="109"/>
      <c r="EVN24" s="109"/>
      <c r="EVO24" s="109"/>
      <c r="EVP24" s="109"/>
      <c r="EVQ24" s="109"/>
      <c r="EVR24" s="109"/>
      <c r="EVS24" s="109"/>
      <c r="EVT24" s="109"/>
      <c r="EVU24" s="109"/>
      <c r="EVV24" s="109"/>
      <c r="EVW24" s="109"/>
      <c r="EVX24" s="109"/>
      <c r="EVY24" s="109"/>
      <c r="EVZ24" s="109"/>
      <c r="EWA24" s="109"/>
      <c r="EWB24" s="109"/>
      <c r="EWC24" s="109"/>
      <c r="EWD24" s="109"/>
      <c r="EWE24" s="109"/>
      <c r="EWF24" s="109"/>
      <c r="EWG24" s="109"/>
      <c r="EWH24" s="109"/>
      <c r="EWI24" s="109"/>
      <c r="EWJ24" s="109"/>
      <c r="EWK24" s="109"/>
      <c r="EWL24" s="109"/>
      <c r="EWM24" s="109"/>
      <c r="EWN24" s="109"/>
      <c r="EWO24" s="109"/>
      <c r="EWP24" s="109"/>
      <c r="EWQ24" s="109"/>
      <c r="EWR24" s="109"/>
      <c r="EWS24" s="109"/>
      <c r="EWT24" s="109"/>
      <c r="EWU24" s="109"/>
      <c r="EWV24" s="109"/>
      <c r="EWW24" s="109"/>
      <c r="EWX24" s="109"/>
      <c r="EWY24" s="109"/>
      <c r="EWZ24" s="109"/>
      <c r="EXA24" s="109"/>
      <c r="EXB24" s="109"/>
      <c r="EXC24" s="109"/>
      <c r="EXD24" s="109"/>
      <c r="EXE24" s="109"/>
      <c r="EXF24" s="109"/>
      <c r="EXG24" s="109"/>
      <c r="EXH24" s="109"/>
      <c r="EXI24" s="109"/>
      <c r="EXJ24" s="109"/>
      <c r="EXK24" s="109"/>
      <c r="EXL24" s="109"/>
      <c r="EXM24" s="109"/>
      <c r="EXN24" s="109"/>
      <c r="EXO24" s="109"/>
      <c r="EXP24" s="109"/>
      <c r="EXQ24" s="109"/>
      <c r="EXR24" s="109"/>
      <c r="EXS24" s="109"/>
      <c r="EXT24" s="109"/>
      <c r="EXU24" s="109"/>
      <c r="EXV24" s="109"/>
      <c r="EXW24" s="109"/>
      <c r="EXX24" s="109"/>
      <c r="EXY24" s="109"/>
      <c r="EXZ24" s="109"/>
      <c r="EYA24" s="109"/>
      <c r="EYB24" s="109"/>
      <c r="EYC24" s="109"/>
      <c r="EYD24" s="109"/>
      <c r="EYE24" s="109"/>
      <c r="EYF24" s="109"/>
      <c r="EYG24" s="109"/>
      <c r="EYH24" s="109"/>
      <c r="EYI24" s="109"/>
      <c r="EYJ24" s="109"/>
      <c r="EYK24" s="109"/>
      <c r="EYL24" s="109"/>
      <c r="EYM24" s="109"/>
      <c r="EYN24" s="109"/>
      <c r="EYO24" s="109"/>
      <c r="EYP24" s="109"/>
      <c r="EYQ24" s="109"/>
      <c r="EYR24" s="109"/>
      <c r="EYS24" s="109"/>
      <c r="EYT24" s="109"/>
      <c r="EYU24" s="109"/>
      <c r="EYV24" s="109"/>
      <c r="EYW24" s="109"/>
      <c r="EYX24" s="109"/>
      <c r="EYY24" s="109"/>
      <c r="EYZ24" s="109"/>
      <c r="EZA24" s="109"/>
      <c r="EZB24" s="109"/>
      <c r="EZC24" s="109"/>
      <c r="EZD24" s="109"/>
      <c r="EZE24" s="109"/>
      <c r="EZF24" s="109"/>
      <c r="EZG24" s="109"/>
      <c r="EZH24" s="109"/>
      <c r="EZI24" s="109"/>
      <c r="EZJ24" s="109"/>
      <c r="EZK24" s="109"/>
      <c r="EZL24" s="109"/>
      <c r="EZM24" s="109"/>
      <c r="EZN24" s="109"/>
      <c r="EZO24" s="109"/>
      <c r="EZP24" s="109"/>
      <c r="EZQ24" s="109"/>
      <c r="EZR24" s="109"/>
      <c r="EZS24" s="109"/>
      <c r="EZT24" s="109"/>
      <c r="EZU24" s="109"/>
      <c r="EZV24" s="109"/>
      <c r="EZW24" s="109"/>
      <c r="EZX24" s="109"/>
      <c r="EZY24" s="109"/>
      <c r="EZZ24" s="109"/>
      <c r="FAA24" s="109"/>
      <c r="FAB24" s="109"/>
      <c r="FAC24" s="109"/>
      <c r="FAD24" s="109"/>
      <c r="FAE24" s="109"/>
      <c r="FAF24" s="109"/>
      <c r="FAG24" s="109"/>
      <c r="FAH24" s="109"/>
      <c r="FAI24" s="109"/>
      <c r="FAJ24" s="109"/>
      <c r="FAK24" s="109"/>
      <c r="FAL24" s="109"/>
      <c r="FAM24" s="109"/>
      <c r="FAN24" s="109"/>
      <c r="FAO24" s="109"/>
      <c r="FAP24" s="109"/>
      <c r="FAQ24" s="109"/>
      <c r="FAR24" s="109"/>
      <c r="FAS24" s="109"/>
      <c r="FAT24" s="109"/>
      <c r="FAU24" s="109"/>
      <c r="FAV24" s="109"/>
      <c r="FAW24" s="109"/>
      <c r="FAX24" s="109"/>
      <c r="FAY24" s="109"/>
      <c r="FAZ24" s="109"/>
      <c r="FBA24" s="109"/>
      <c r="FBB24" s="109"/>
      <c r="FBC24" s="109"/>
      <c r="FBD24" s="109"/>
      <c r="FBE24" s="109"/>
      <c r="FBF24" s="109"/>
      <c r="FBG24" s="109"/>
      <c r="FBH24" s="109"/>
      <c r="FBI24" s="109"/>
      <c r="FBJ24" s="109"/>
      <c r="FBK24" s="109"/>
      <c r="FBL24" s="109"/>
      <c r="FBM24" s="109"/>
      <c r="FBN24" s="109"/>
      <c r="FBO24" s="109"/>
      <c r="FBP24" s="109"/>
      <c r="FBQ24" s="109"/>
      <c r="FBR24" s="109"/>
      <c r="FBS24" s="109"/>
      <c r="FBT24" s="109"/>
      <c r="FBU24" s="109"/>
      <c r="FBV24" s="109"/>
      <c r="FBW24" s="109"/>
      <c r="FBX24" s="109"/>
      <c r="FBY24" s="109"/>
      <c r="FBZ24" s="109"/>
      <c r="FCA24" s="109"/>
      <c r="FCB24" s="109"/>
      <c r="FCC24" s="109"/>
      <c r="FCD24" s="109"/>
      <c r="FCE24" s="109"/>
      <c r="FCF24" s="109"/>
      <c r="FCG24" s="109"/>
      <c r="FCH24" s="109"/>
      <c r="FCI24" s="109"/>
      <c r="FCJ24" s="109"/>
      <c r="FCK24" s="109"/>
      <c r="FCL24" s="109"/>
      <c r="FCM24" s="109"/>
      <c r="FCN24" s="109"/>
      <c r="FCO24" s="109"/>
      <c r="FCP24" s="109"/>
      <c r="FCQ24" s="109"/>
      <c r="FCR24" s="109"/>
      <c r="FCS24" s="109"/>
      <c r="FCT24" s="109"/>
      <c r="FCU24" s="109"/>
      <c r="FCV24" s="109"/>
      <c r="FCW24" s="109"/>
      <c r="FCX24" s="109"/>
      <c r="FCY24" s="109"/>
      <c r="FCZ24" s="109"/>
      <c r="FDA24" s="109"/>
      <c r="FDB24" s="109"/>
      <c r="FDC24" s="109"/>
      <c r="FDD24" s="109"/>
      <c r="FDE24" s="109"/>
      <c r="FDF24" s="109"/>
      <c r="FDG24" s="109"/>
      <c r="FDH24" s="109"/>
      <c r="FDI24" s="109"/>
      <c r="FDJ24" s="109"/>
      <c r="FDK24" s="109"/>
      <c r="FDL24" s="109"/>
      <c r="FDM24" s="109"/>
      <c r="FDN24" s="109"/>
      <c r="FDO24" s="109"/>
      <c r="FDP24" s="109"/>
      <c r="FDQ24" s="109"/>
      <c r="FDR24" s="109"/>
      <c r="FDS24" s="109"/>
      <c r="FDT24" s="109"/>
      <c r="FDU24" s="109"/>
      <c r="FDV24" s="109"/>
      <c r="FDW24" s="109"/>
      <c r="FDX24" s="109"/>
      <c r="FDY24" s="109"/>
      <c r="FDZ24" s="109"/>
      <c r="FEA24" s="109"/>
      <c r="FEB24" s="109"/>
      <c r="FEC24" s="109"/>
      <c r="FED24" s="109"/>
      <c r="FEE24" s="109"/>
      <c r="FEF24" s="109"/>
      <c r="FEG24" s="109"/>
      <c r="FEH24" s="109"/>
      <c r="FEI24" s="109"/>
      <c r="FEJ24" s="109"/>
      <c r="FEK24" s="109"/>
      <c r="FEL24" s="109"/>
      <c r="FEM24" s="109"/>
      <c r="FEN24" s="109"/>
      <c r="FEO24" s="109"/>
      <c r="FEP24" s="109"/>
      <c r="FEQ24" s="109"/>
      <c r="FER24" s="109"/>
      <c r="FES24" s="109"/>
      <c r="FET24" s="109"/>
      <c r="FEU24" s="109"/>
      <c r="FEV24" s="109"/>
      <c r="FEW24" s="109"/>
      <c r="FEX24" s="109"/>
      <c r="FEY24" s="109"/>
      <c r="FEZ24" s="109"/>
      <c r="FFA24" s="109"/>
      <c r="FFB24" s="109"/>
      <c r="FFC24" s="109"/>
      <c r="FFD24" s="109"/>
      <c r="FFE24" s="109"/>
      <c r="FFF24" s="109"/>
      <c r="FFG24" s="109"/>
      <c r="FFH24" s="109"/>
      <c r="FFI24" s="109"/>
      <c r="FFJ24" s="109"/>
      <c r="FFK24" s="109"/>
      <c r="FFL24" s="109"/>
      <c r="FFM24" s="109"/>
      <c r="FFN24" s="109"/>
      <c r="FFO24" s="109"/>
      <c r="FFP24" s="109"/>
      <c r="FFQ24" s="109"/>
      <c r="FFR24" s="109"/>
      <c r="FFS24" s="109"/>
      <c r="FFT24" s="109"/>
      <c r="FFU24" s="109"/>
      <c r="FFV24" s="109"/>
      <c r="FFW24" s="109"/>
      <c r="FFX24" s="109"/>
      <c r="FFY24" s="109"/>
      <c r="FFZ24" s="109"/>
      <c r="FGA24" s="109"/>
      <c r="FGB24" s="109"/>
      <c r="FGC24" s="109"/>
      <c r="FGD24" s="109"/>
      <c r="FGE24" s="109"/>
      <c r="FGF24" s="109"/>
      <c r="FGG24" s="109"/>
      <c r="FGH24" s="109"/>
      <c r="FGI24" s="109"/>
      <c r="FGJ24" s="109"/>
      <c r="FGK24" s="109"/>
      <c r="FGL24" s="109"/>
      <c r="FGM24" s="109"/>
      <c r="FGN24" s="109"/>
      <c r="FGO24" s="109"/>
      <c r="FGP24" s="109"/>
      <c r="FGQ24" s="109"/>
      <c r="FGR24" s="109"/>
      <c r="FGS24" s="109"/>
      <c r="FGT24" s="109"/>
      <c r="FGU24" s="109"/>
      <c r="FGV24" s="109"/>
      <c r="FGW24" s="109"/>
      <c r="FGX24" s="109"/>
      <c r="FGY24" s="109"/>
      <c r="FGZ24" s="109"/>
      <c r="FHA24" s="109"/>
      <c r="FHB24" s="109"/>
      <c r="FHC24" s="109"/>
      <c r="FHD24" s="109"/>
      <c r="FHE24" s="109"/>
      <c r="FHF24" s="109"/>
      <c r="FHG24" s="109"/>
      <c r="FHH24" s="109"/>
      <c r="FHI24" s="109"/>
      <c r="FHJ24" s="109"/>
      <c r="FHK24" s="109"/>
      <c r="FHL24" s="109"/>
      <c r="FHM24" s="109"/>
      <c r="FHN24" s="109"/>
      <c r="FHO24" s="109"/>
      <c r="FHP24" s="109"/>
      <c r="FHQ24" s="109"/>
      <c r="FHR24" s="109"/>
      <c r="FHS24" s="109"/>
      <c r="FHT24" s="109"/>
      <c r="FHU24" s="109"/>
      <c r="FHV24" s="109"/>
      <c r="FHW24" s="109"/>
      <c r="FHX24" s="109"/>
      <c r="FHY24" s="109"/>
      <c r="FHZ24" s="109"/>
      <c r="FIA24" s="109"/>
      <c r="FIB24" s="109"/>
      <c r="FIC24" s="109"/>
      <c r="FID24" s="109"/>
      <c r="FIE24" s="109"/>
      <c r="FIF24" s="109"/>
      <c r="FIG24" s="109"/>
      <c r="FIH24" s="109"/>
      <c r="FII24" s="109"/>
      <c r="FIJ24" s="109"/>
      <c r="FIK24" s="109"/>
      <c r="FIL24" s="109"/>
      <c r="FIM24" s="109"/>
      <c r="FIN24" s="109"/>
      <c r="FIO24" s="109"/>
      <c r="FIP24" s="109"/>
      <c r="FIQ24" s="109"/>
      <c r="FIR24" s="109"/>
      <c r="FIS24" s="109"/>
      <c r="FIT24" s="109"/>
      <c r="FIU24" s="109"/>
      <c r="FIV24" s="109"/>
      <c r="FIW24" s="109"/>
      <c r="FIX24" s="109"/>
      <c r="FIY24" s="109"/>
      <c r="FIZ24" s="109"/>
      <c r="FJA24" s="109"/>
      <c r="FJB24" s="109"/>
      <c r="FJC24" s="109"/>
      <c r="FJD24" s="109"/>
      <c r="FJE24" s="109"/>
      <c r="FJF24" s="109"/>
      <c r="FJG24" s="109"/>
      <c r="FJH24" s="109"/>
      <c r="FJI24" s="109"/>
      <c r="FJJ24" s="109"/>
      <c r="FJK24" s="109"/>
      <c r="FJL24" s="109"/>
      <c r="FJM24" s="109"/>
      <c r="FJN24" s="109"/>
      <c r="FJO24" s="109"/>
      <c r="FJP24" s="109"/>
      <c r="FJQ24" s="109"/>
      <c r="FJR24" s="109"/>
      <c r="FJS24" s="109"/>
      <c r="FJT24" s="109"/>
      <c r="FJU24" s="109"/>
      <c r="FJV24" s="109"/>
      <c r="FJW24" s="109"/>
      <c r="FJX24" s="109"/>
      <c r="FJY24" s="109"/>
      <c r="FJZ24" s="109"/>
      <c r="FKA24" s="109"/>
      <c r="FKB24" s="109"/>
      <c r="FKC24" s="109"/>
      <c r="FKD24" s="109"/>
      <c r="FKE24" s="109"/>
      <c r="FKF24" s="109"/>
      <c r="FKG24" s="109"/>
      <c r="FKH24" s="109"/>
      <c r="FKI24" s="109"/>
      <c r="FKJ24" s="109"/>
      <c r="FKK24" s="109"/>
      <c r="FKL24" s="109"/>
      <c r="FKM24" s="109"/>
      <c r="FKN24" s="109"/>
      <c r="FKO24" s="109"/>
      <c r="FKP24" s="109"/>
      <c r="FKQ24" s="109"/>
      <c r="FKR24" s="109"/>
      <c r="FKS24" s="109"/>
      <c r="FKT24" s="109"/>
      <c r="FKU24" s="109"/>
      <c r="FKV24" s="109"/>
      <c r="FKW24" s="109"/>
      <c r="FKX24" s="109"/>
      <c r="FKY24" s="109"/>
      <c r="FKZ24" s="109"/>
      <c r="FLA24" s="109"/>
      <c r="FLB24" s="109"/>
      <c r="FLC24" s="109"/>
      <c r="FLD24" s="109"/>
      <c r="FLE24" s="109"/>
      <c r="FLF24" s="109"/>
      <c r="FLG24" s="109"/>
      <c r="FLH24" s="109"/>
      <c r="FLI24" s="109"/>
      <c r="FLJ24" s="109"/>
      <c r="FLK24" s="109"/>
      <c r="FLL24" s="109"/>
      <c r="FLM24" s="109"/>
      <c r="FLN24" s="109"/>
      <c r="FLO24" s="109"/>
      <c r="FLP24" s="109"/>
      <c r="FLQ24" s="109"/>
      <c r="FLR24" s="109"/>
      <c r="FLS24" s="109"/>
      <c r="FLT24" s="109"/>
      <c r="FLU24" s="109"/>
      <c r="FLV24" s="109"/>
      <c r="FLW24" s="109"/>
      <c r="FLX24" s="109"/>
      <c r="FLY24" s="109"/>
      <c r="FLZ24" s="109"/>
      <c r="FMA24" s="109"/>
      <c r="FMB24" s="109"/>
      <c r="FMC24" s="109"/>
      <c r="FMD24" s="109"/>
      <c r="FME24" s="109"/>
      <c r="FMF24" s="109"/>
      <c r="FMG24" s="109"/>
      <c r="FMH24" s="109"/>
      <c r="FMI24" s="109"/>
      <c r="FMJ24" s="109"/>
      <c r="FMK24" s="109"/>
      <c r="FML24" s="109"/>
      <c r="FMM24" s="109"/>
      <c r="FMN24" s="109"/>
      <c r="FMO24" s="109"/>
      <c r="FMP24" s="109"/>
      <c r="FMQ24" s="109"/>
      <c r="FMR24" s="109"/>
      <c r="FMS24" s="109"/>
      <c r="FMT24" s="109"/>
      <c r="FMU24" s="109"/>
      <c r="FMV24" s="109"/>
      <c r="FMW24" s="109"/>
      <c r="FMX24" s="109"/>
      <c r="FMY24" s="109"/>
      <c r="FMZ24" s="109"/>
      <c r="FNA24" s="109"/>
      <c r="FNB24" s="109"/>
      <c r="FNC24" s="109"/>
      <c r="FND24" s="109"/>
      <c r="FNE24" s="109"/>
      <c r="FNF24" s="109"/>
      <c r="FNG24" s="109"/>
      <c r="FNH24" s="109"/>
      <c r="FNI24" s="109"/>
      <c r="FNJ24" s="109"/>
      <c r="FNK24" s="109"/>
      <c r="FNL24" s="109"/>
      <c r="FNM24" s="109"/>
      <c r="FNN24" s="109"/>
      <c r="FNO24" s="109"/>
      <c r="FNP24" s="109"/>
      <c r="FNQ24" s="109"/>
      <c r="FNR24" s="109"/>
      <c r="FNS24" s="109"/>
      <c r="FNT24" s="109"/>
      <c r="FNU24" s="109"/>
      <c r="FNV24" s="109"/>
      <c r="FNW24" s="109"/>
      <c r="FNX24" s="109"/>
      <c r="FNY24" s="109"/>
      <c r="FNZ24" s="109"/>
      <c r="FOA24" s="109"/>
      <c r="FOB24" s="109"/>
      <c r="FOC24" s="109"/>
      <c r="FOD24" s="109"/>
      <c r="FOE24" s="109"/>
      <c r="FOF24" s="109"/>
      <c r="FOG24" s="109"/>
      <c r="FOH24" s="109"/>
      <c r="FOI24" s="109"/>
      <c r="FOJ24" s="109"/>
      <c r="FOK24" s="109"/>
      <c r="FOL24" s="109"/>
      <c r="FOM24" s="109"/>
      <c r="FON24" s="109"/>
      <c r="FOO24" s="109"/>
      <c r="FOP24" s="109"/>
      <c r="FOQ24" s="109"/>
      <c r="FOR24" s="109"/>
      <c r="FOS24" s="109"/>
      <c r="FOT24" s="109"/>
      <c r="FOU24" s="109"/>
      <c r="FOV24" s="109"/>
      <c r="FOW24" s="109"/>
      <c r="FOX24" s="109"/>
      <c r="FOY24" s="109"/>
      <c r="FOZ24" s="109"/>
      <c r="FPA24" s="109"/>
      <c r="FPB24" s="109"/>
      <c r="FPC24" s="109"/>
      <c r="FPD24" s="109"/>
      <c r="FPE24" s="109"/>
      <c r="FPF24" s="109"/>
      <c r="FPG24" s="109"/>
      <c r="FPH24" s="109"/>
      <c r="FPI24" s="109"/>
      <c r="FPJ24" s="109"/>
      <c r="FPK24" s="109"/>
      <c r="FPL24" s="109"/>
      <c r="FPM24" s="109"/>
      <c r="FPN24" s="109"/>
      <c r="FPO24" s="109"/>
      <c r="FPP24" s="109"/>
      <c r="FPQ24" s="109"/>
      <c r="FPR24" s="109"/>
      <c r="FPS24" s="109"/>
      <c r="FPT24" s="109"/>
      <c r="FPU24" s="109"/>
      <c r="FPV24" s="109"/>
      <c r="FPW24" s="109"/>
      <c r="FPX24" s="109"/>
      <c r="FPY24" s="109"/>
      <c r="FPZ24" s="109"/>
      <c r="FQA24" s="109"/>
      <c r="FQB24" s="109"/>
      <c r="FQC24" s="109"/>
      <c r="FQD24" s="109"/>
      <c r="FQE24" s="109"/>
      <c r="FQF24" s="109"/>
      <c r="FQG24" s="109"/>
      <c r="FQH24" s="109"/>
      <c r="FQI24" s="109"/>
      <c r="FQJ24" s="109"/>
      <c r="FQK24" s="109"/>
      <c r="FQL24" s="109"/>
      <c r="FQM24" s="109"/>
      <c r="FQN24" s="109"/>
      <c r="FQO24" s="109"/>
      <c r="FQP24" s="109"/>
      <c r="FQQ24" s="109"/>
      <c r="FQR24" s="109"/>
      <c r="FQS24" s="109"/>
      <c r="FQT24" s="109"/>
      <c r="FQU24" s="109"/>
      <c r="FQV24" s="109"/>
      <c r="FQW24" s="109"/>
      <c r="FQX24" s="109"/>
      <c r="FQY24" s="109"/>
      <c r="FQZ24" s="109"/>
      <c r="FRA24" s="109"/>
      <c r="FRB24" s="109"/>
      <c r="FRC24" s="109"/>
      <c r="FRD24" s="109"/>
      <c r="FRE24" s="109"/>
      <c r="FRF24" s="109"/>
      <c r="FRG24" s="109"/>
      <c r="FRH24" s="109"/>
      <c r="FRI24" s="109"/>
      <c r="FRJ24" s="109"/>
      <c r="FRK24" s="109"/>
      <c r="FRL24" s="109"/>
      <c r="FRM24" s="109"/>
      <c r="FRN24" s="109"/>
      <c r="FRO24" s="109"/>
      <c r="FRP24" s="109"/>
      <c r="FRQ24" s="109"/>
      <c r="FRR24" s="109"/>
      <c r="FRS24" s="109"/>
      <c r="FRT24" s="109"/>
      <c r="FRU24" s="109"/>
      <c r="FRV24" s="109"/>
      <c r="FRW24" s="109"/>
      <c r="FRX24" s="109"/>
      <c r="FRY24" s="109"/>
      <c r="FRZ24" s="109"/>
      <c r="FSA24" s="109"/>
      <c r="FSB24" s="109"/>
      <c r="FSC24" s="109"/>
      <c r="FSD24" s="109"/>
      <c r="FSE24" s="109"/>
      <c r="FSF24" s="109"/>
      <c r="FSG24" s="109"/>
      <c r="FSH24" s="109"/>
      <c r="FSI24" s="109"/>
      <c r="FSJ24" s="109"/>
      <c r="FSK24" s="109"/>
      <c r="FSL24" s="109"/>
      <c r="FSM24" s="109"/>
      <c r="FSN24" s="109"/>
      <c r="FSO24" s="109"/>
      <c r="FSP24" s="109"/>
      <c r="FSQ24" s="109"/>
      <c r="FSR24" s="109"/>
      <c r="FSS24" s="109"/>
      <c r="FST24" s="109"/>
      <c r="FSU24" s="109"/>
      <c r="FSV24" s="109"/>
      <c r="FSW24" s="109"/>
      <c r="FSX24" s="109"/>
      <c r="FSY24" s="109"/>
      <c r="FSZ24" s="109"/>
      <c r="FTA24" s="109"/>
      <c r="FTB24" s="109"/>
      <c r="FTC24" s="109"/>
      <c r="FTD24" s="109"/>
      <c r="FTE24" s="109"/>
      <c r="FTF24" s="109"/>
      <c r="FTG24" s="109"/>
      <c r="FTH24" s="109"/>
      <c r="FTI24" s="109"/>
      <c r="FTJ24" s="109"/>
      <c r="FTK24" s="109"/>
      <c r="FTL24" s="109"/>
      <c r="FTM24" s="109"/>
      <c r="FTN24" s="109"/>
      <c r="FTO24" s="109"/>
      <c r="FTP24" s="109"/>
      <c r="FTQ24" s="109"/>
      <c r="FTR24" s="109"/>
      <c r="FTS24" s="109"/>
      <c r="FTT24" s="109"/>
      <c r="FTU24" s="109"/>
      <c r="FTV24" s="109"/>
      <c r="FTW24" s="109"/>
      <c r="FTX24" s="109"/>
      <c r="FTY24" s="109"/>
      <c r="FTZ24" s="109"/>
      <c r="FUA24" s="109"/>
      <c r="FUB24" s="109"/>
      <c r="FUC24" s="109"/>
      <c r="FUD24" s="109"/>
      <c r="FUE24" s="109"/>
      <c r="FUF24" s="109"/>
      <c r="FUG24" s="109"/>
      <c r="FUH24" s="109"/>
      <c r="FUI24" s="109"/>
      <c r="FUJ24" s="109"/>
      <c r="FUK24" s="109"/>
      <c r="FUL24" s="109"/>
      <c r="FUM24" s="109"/>
      <c r="FUN24" s="109"/>
      <c r="FUO24" s="109"/>
      <c r="FUP24" s="109"/>
      <c r="FUQ24" s="109"/>
      <c r="FUR24" s="109"/>
      <c r="FUS24" s="109"/>
      <c r="FUT24" s="109"/>
      <c r="FUU24" s="109"/>
      <c r="FUV24" s="109"/>
      <c r="FUW24" s="109"/>
      <c r="FUX24" s="109"/>
      <c r="FUY24" s="109"/>
      <c r="FUZ24" s="109"/>
      <c r="FVA24" s="109"/>
      <c r="FVB24" s="109"/>
      <c r="FVC24" s="109"/>
      <c r="FVD24" s="109"/>
      <c r="FVE24" s="109"/>
      <c r="FVF24" s="109"/>
      <c r="FVG24" s="109"/>
      <c r="FVH24" s="109"/>
      <c r="FVI24" s="109"/>
      <c r="FVJ24" s="109"/>
      <c r="FVK24" s="109"/>
      <c r="FVL24" s="109"/>
      <c r="FVM24" s="109"/>
      <c r="FVN24" s="109"/>
      <c r="FVO24" s="109"/>
      <c r="FVP24" s="109"/>
      <c r="FVQ24" s="109"/>
      <c r="FVR24" s="109"/>
      <c r="FVS24" s="109"/>
      <c r="FVT24" s="109"/>
      <c r="FVU24" s="109"/>
      <c r="FVV24" s="109"/>
      <c r="FVW24" s="109"/>
      <c r="FVX24" s="109"/>
      <c r="FVY24" s="109"/>
      <c r="FVZ24" s="109"/>
      <c r="FWA24" s="109"/>
      <c r="FWB24" s="109"/>
      <c r="FWC24" s="109"/>
      <c r="FWD24" s="109"/>
      <c r="FWE24" s="109"/>
      <c r="FWF24" s="109"/>
      <c r="FWG24" s="109"/>
      <c r="FWH24" s="109"/>
      <c r="FWI24" s="109"/>
      <c r="FWJ24" s="109"/>
      <c r="FWK24" s="109"/>
      <c r="FWL24" s="109"/>
      <c r="FWM24" s="109"/>
      <c r="FWN24" s="109"/>
      <c r="FWO24" s="109"/>
      <c r="FWP24" s="109"/>
      <c r="FWQ24" s="109"/>
      <c r="FWR24" s="109"/>
      <c r="FWS24" s="109"/>
      <c r="FWT24" s="109"/>
      <c r="FWU24" s="109"/>
      <c r="FWV24" s="109"/>
      <c r="FWW24" s="109"/>
      <c r="FWX24" s="109"/>
      <c r="FWY24" s="109"/>
      <c r="FWZ24" s="109"/>
      <c r="FXA24" s="109"/>
      <c r="FXB24" s="109"/>
      <c r="FXC24" s="109"/>
      <c r="FXD24" s="109"/>
      <c r="FXE24" s="109"/>
      <c r="FXF24" s="109"/>
      <c r="FXG24" s="109"/>
      <c r="FXH24" s="109"/>
      <c r="FXI24" s="109"/>
      <c r="FXJ24" s="109"/>
      <c r="FXK24" s="109"/>
      <c r="FXL24" s="109"/>
      <c r="FXM24" s="109"/>
      <c r="FXN24" s="109"/>
      <c r="FXO24" s="109"/>
      <c r="FXP24" s="109"/>
      <c r="FXQ24" s="109"/>
      <c r="FXR24" s="109"/>
      <c r="FXS24" s="109"/>
      <c r="FXT24" s="109"/>
      <c r="FXU24" s="109"/>
      <c r="FXV24" s="109"/>
      <c r="FXW24" s="109"/>
      <c r="FXX24" s="109"/>
      <c r="FXY24" s="109"/>
      <c r="FXZ24" s="109"/>
      <c r="FYA24" s="109"/>
      <c r="FYB24" s="109"/>
      <c r="FYC24" s="109"/>
      <c r="FYD24" s="109"/>
      <c r="FYE24" s="109"/>
      <c r="FYF24" s="109"/>
      <c r="FYG24" s="109"/>
      <c r="FYH24" s="109"/>
      <c r="FYI24" s="109"/>
      <c r="FYJ24" s="109"/>
      <c r="FYK24" s="109"/>
      <c r="FYL24" s="109"/>
      <c r="FYM24" s="109"/>
      <c r="FYN24" s="109"/>
      <c r="FYO24" s="109"/>
      <c r="FYP24" s="109"/>
      <c r="FYQ24" s="109"/>
      <c r="FYR24" s="109"/>
      <c r="FYS24" s="109"/>
      <c r="FYT24" s="109"/>
      <c r="FYU24" s="109"/>
      <c r="FYV24" s="109"/>
      <c r="FYW24" s="109"/>
      <c r="FYX24" s="109"/>
      <c r="FYY24" s="109"/>
      <c r="FYZ24" s="109"/>
      <c r="FZA24" s="109"/>
      <c r="FZB24" s="109"/>
      <c r="FZC24" s="109"/>
      <c r="FZD24" s="109"/>
      <c r="FZE24" s="109"/>
      <c r="FZF24" s="109"/>
      <c r="FZG24" s="109"/>
      <c r="FZH24" s="109"/>
      <c r="FZI24" s="109"/>
      <c r="FZJ24" s="109"/>
      <c r="FZK24" s="109"/>
      <c r="FZL24" s="109"/>
      <c r="FZM24" s="109"/>
      <c r="FZN24" s="109"/>
      <c r="FZO24" s="109"/>
      <c r="FZP24" s="109"/>
      <c r="FZQ24" s="109"/>
      <c r="FZR24" s="109"/>
      <c r="FZS24" s="109"/>
      <c r="FZT24" s="109"/>
      <c r="FZU24" s="109"/>
      <c r="FZV24" s="109"/>
      <c r="FZW24" s="109"/>
      <c r="FZX24" s="109"/>
      <c r="FZY24" s="109"/>
      <c r="FZZ24" s="109"/>
      <c r="GAA24" s="109"/>
      <c r="GAB24" s="109"/>
      <c r="GAC24" s="109"/>
      <c r="GAD24" s="109"/>
      <c r="GAE24" s="109"/>
      <c r="GAF24" s="109"/>
      <c r="GAG24" s="109"/>
      <c r="GAH24" s="109"/>
      <c r="GAI24" s="109"/>
      <c r="GAJ24" s="109"/>
      <c r="GAK24" s="109"/>
      <c r="GAL24" s="109"/>
      <c r="GAM24" s="109"/>
      <c r="GAN24" s="109"/>
      <c r="GAO24" s="109"/>
      <c r="GAP24" s="109"/>
      <c r="GAQ24" s="109"/>
      <c r="GAR24" s="109"/>
      <c r="GAS24" s="109"/>
      <c r="GAT24" s="109"/>
      <c r="GAU24" s="109"/>
      <c r="GAV24" s="109"/>
      <c r="GAW24" s="109"/>
      <c r="GAX24" s="109"/>
      <c r="GAY24" s="109"/>
      <c r="GAZ24" s="109"/>
      <c r="GBA24" s="109"/>
      <c r="GBB24" s="109"/>
      <c r="GBC24" s="109"/>
      <c r="GBD24" s="109"/>
      <c r="GBE24" s="109"/>
      <c r="GBF24" s="109"/>
      <c r="GBG24" s="109"/>
      <c r="GBH24" s="109"/>
      <c r="GBI24" s="109"/>
      <c r="GBJ24" s="109"/>
      <c r="GBK24" s="109"/>
      <c r="GBL24" s="109"/>
      <c r="GBM24" s="109"/>
      <c r="GBN24" s="109"/>
      <c r="GBO24" s="109"/>
      <c r="GBP24" s="109"/>
      <c r="GBQ24" s="109"/>
      <c r="GBR24" s="109"/>
      <c r="GBS24" s="109"/>
      <c r="GBT24" s="109"/>
      <c r="GBU24" s="109"/>
      <c r="GBV24" s="109"/>
      <c r="GBW24" s="109"/>
      <c r="GBX24" s="109"/>
      <c r="GBY24" s="109"/>
      <c r="GBZ24" s="109"/>
      <c r="GCA24" s="109"/>
      <c r="GCB24" s="109"/>
      <c r="GCC24" s="109"/>
      <c r="GCD24" s="109"/>
      <c r="GCE24" s="109"/>
      <c r="GCF24" s="109"/>
      <c r="GCG24" s="109"/>
      <c r="GCH24" s="109"/>
      <c r="GCI24" s="109"/>
      <c r="GCJ24" s="109"/>
      <c r="GCK24" s="109"/>
      <c r="GCL24" s="109"/>
      <c r="GCM24" s="109"/>
      <c r="GCN24" s="109"/>
      <c r="GCO24" s="109"/>
      <c r="GCP24" s="109"/>
      <c r="GCQ24" s="109"/>
      <c r="GCR24" s="109"/>
      <c r="GCS24" s="109"/>
      <c r="GCT24" s="109"/>
      <c r="GCU24" s="109"/>
      <c r="GCV24" s="109"/>
      <c r="GCW24" s="109"/>
      <c r="GCX24" s="109"/>
      <c r="GCY24" s="109"/>
      <c r="GCZ24" s="109"/>
      <c r="GDA24" s="109"/>
      <c r="GDB24" s="109"/>
      <c r="GDC24" s="109"/>
      <c r="GDD24" s="109"/>
      <c r="GDE24" s="109"/>
      <c r="GDF24" s="109"/>
      <c r="GDG24" s="109"/>
      <c r="GDH24" s="109"/>
      <c r="GDI24" s="109"/>
      <c r="GDJ24" s="109"/>
      <c r="GDK24" s="109"/>
      <c r="GDL24" s="109"/>
      <c r="GDM24" s="109"/>
      <c r="GDN24" s="109"/>
      <c r="GDO24" s="109"/>
      <c r="GDP24" s="109"/>
      <c r="GDQ24" s="109"/>
      <c r="GDR24" s="109"/>
      <c r="GDS24" s="109"/>
      <c r="GDT24" s="109"/>
      <c r="GDU24" s="109"/>
      <c r="GDV24" s="109"/>
      <c r="GDW24" s="109"/>
      <c r="GDX24" s="109"/>
      <c r="GDY24" s="109"/>
      <c r="GDZ24" s="109"/>
      <c r="GEA24" s="109"/>
      <c r="GEB24" s="109"/>
      <c r="GEC24" s="109"/>
      <c r="GED24" s="109"/>
      <c r="GEE24" s="109"/>
      <c r="GEF24" s="109"/>
      <c r="GEG24" s="109"/>
      <c r="GEH24" s="109"/>
      <c r="GEI24" s="109"/>
      <c r="GEJ24" s="109"/>
      <c r="GEK24" s="109"/>
      <c r="GEL24" s="109"/>
      <c r="GEM24" s="109"/>
      <c r="GEN24" s="109"/>
      <c r="GEO24" s="109"/>
      <c r="GEP24" s="109"/>
      <c r="GEQ24" s="109"/>
      <c r="GER24" s="109"/>
      <c r="GES24" s="109"/>
      <c r="GET24" s="109"/>
      <c r="GEU24" s="109"/>
      <c r="GEV24" s="109"/>
      <c r="GEW24" s="109"/>
      <c r="GEX24" s="109"/>
      <c r="GEY24" s="109"/>
      <c r="GEZ24" s="109"/>
      <c r="GFA24" s="109"/>
      <c r="GFB24" s="109"/>
      <c r="GFC24" s="109"/>
      <c r="GFD24" s="109"/>
      <c r="GFE24" s="109"/>
      <c r="GFF24" s="109"/>
      <c r="GFG24" s="109"/>
      <c r="GFH24" s="109"/>
      <c r="GFI24" s="109"/>
      <c r="GFJ24" s="109"/>
      <c r="GFK24" s="109"/>
      <c r="GFL24" s="109"/>
      <c r="GFM24" s="109"/>
      <c r="GFN24" s="109"/>
      <c r="GFO24" s="109"/>
      <c r="GFP24" s="109"/>
      <c r="GFQ24" s="109"/>
      <c r="GFR24" s="109"/>
      <c r="GFS24" s="109"/>
      <c r="GFT24" s="109"/>
      <c r="GFU24" s="109"/>
      <c r="GFV24" s="109"/>
      <c r="GFW24" s="109"/>
      <c r="GFX24" s="109"/>
      <c r="GFY24" s="109"/>
      <c r="GFZ24" s="109"/>
      <c r="GGA24" s="109"/>
      <c r="GGB24" s="109"/>
      <c r="GGC24" s="109"/>
      <c r="GGD24" s="109"/>
      <c r="GGE24" s="109"/>
      <c r="GGF24" s="109"/>
      <c r="GGG24" s="109"/>
      <c r="GGH24" s="109"/>
      <c r="GGI24" s="109"/>
      <c r="GGJ24" s="109"/>
      <c r="GGK24" s="109"/>
      <c r="GGL24" s="109"/>
      <c r="GGM24" s="109"/>
      <c r="GGN24" s="109"/>
      <c r="GGO24" s="109"/>
      <c r="GGP24" s="109"/>
      <c r="GGQ24" s="109"/>
      <c r="GGR24" s="109"/>
      <c r="GGS24" s="109"/>
      <c r="GGT24" s="109"/>
      <c r="GGU24" s="109"/>
      <c r="GGV24" s="109"/>
      <c r="GGW24" s="109"/>
      <c r="GGX24" s="109"/>
      <c r="GGY24" s="109"/>
      <c r="GGZ24" s="109"/>
      <c r="GHA24" s="109"/>
      <c r="GHB24" s="109"/>
      <c r="GHC24" s="109"/>
      <c r="GHD24" s="109"/>
      <c r="GHE24" s="109"/>
      <c r="GHF24" s="109"/>
      <c r="GHG24" s="109"/>
      <c r="GHH24" s="109"/>
      <c r="GHI24" s="109"/>
      <c r="GHJ24" s="109"/>
      <c r="GHK24" s="109"/>
      <c r="GHL24" s="109"/>
      <c r="GHM24" s="109"/>
      <c r="GHN24" s="109"/>
      <c r="GHO24" s="109"/>
      <c r="GHP24" s="109"/>
      <c r="GHQ24" s="109"/>
      <c r="GHR24" s="109"/>
      <c r="GHS24" s="109"/>
      <c r="GHT24" s="109"/>
      <c r="GHU24" s="109"/>
      <c r="GHV24" s="109"/>
      <c r="GHW24" s="109"/>
      <c r="GHX24" s="109"/>
      <c r="GHY24" s="109"/>
      <c r="GHZ24" s="109"/>
      <c r="GIA24" s="109"/>
      <c r="GIB24" s="109"/>
      <c r="GIC24" s="109"/>
      <c r="GID24" s="109"/>
      <c r="GIE24" s="109"/>
      <c r="GIF24" s="109"/>
      <c r="GIG24" s="109"/>
      <c r="GIH24" s="109"/>
      <c r="GII24" s="109"/>
      <c r="GIJ24" s="109"/>
      <c r="GIK24" s="109"/>
      <c r="GIL24" s="109"/>
      <c r="GIM24" s="109"/>
      <c r="GIN24" s="109"/>
      <c r="GIO24" s="109"/>
      <c r="GIP24" s="109"/>
      <c r="GIQ24" s="109"/>
      <c r="GIR24" s="109"/>
      <c r="GIS24" s="109"/>
      <c r="GIT24" s="109"/>
      <c r="GIU24" s="109"/>
      <c r="GIV24" s="109"/>
      <c r="GIW24" s="109"/>
      <c r="GIX24" s="109"/>
      <c r="GIY24" s="109"/>
      <c r="GIZ24" s="109"/>
      <c r="GJA24" s="109"/>
      <c r="GJB24" s="109"/>
      <c r="GJC24" s="109"/>
      <c r="GJD24" s="109"/>
      <c r="GJE24" s="109"/>
      <c r="GJF24" s="109"/>
      <c r="GJG24" s="109"/>
      <c r="GJH24" s="109"/>
      <c r="GJI24" s="109"/>
      <c r="GJJ24" s="109"/>
      <c r="GJK24" s="109"/>
      <c r="GJL24" s="109"/>
      <c r="GJM24" s="109"/>
      <c r="GJN24" s="109"/>
      <c r="GJO24" s="109"/>
      <c r="GJP24" s="109"/>
      <c r="GJQ24" s="109"/>
      <c r="GJR24" s="109"/>
      <c r="GJS24" s="109"/>
      <c r="GJT24" s="109"/>
      <c r="GJU24" s="109"/>
      <c r="GJV24" s="109"/>
      <c r="GJW24" s="109"/>
      <c r="GJX24" s="109"/>
      <c r="GJY24" s="109"/>
      <c r="GJZ24" s="109"/>
      <c r="GKA24" s="109"/>
      <c r="GKB24" s="109"/>
      <c r="GKC24" s="109"/>
      <c r="GKD24" s="109"/>
      <c r="GKE24" s="109"/>
      <c r="GKF24" s="109"/>
      <c r="GKG24" s="109"/>
      <c r="GKH24" s="109"/>
      <c r="GKI24" s="109"/>
      <c r="GKJ24" s="109"/>
      <c r="GKK24" s="109"/>
      <c r="GKL24" s="109"/>
      <c r="GKM24" s="109"/>
      <c r="GKN24" s="109"/>
      <c r="GKO24" s="109"/>
      <c r="GKP24" s="109"/>
      <c r="GKQ24" s="109"/>
      <c r="GKR24" s="109"/>
      <c r="GKS24" s="109"/>
      <c r="GKT24" s="109"/>
      <c r="GKU24" s="109"/>
      <c r="GKV24" s="109"/>
      <c r="GKW24" s="109"/>
      <c r="GKX24" s="109"/>
      <c r="GKY24" s="109"/>
      <c r="GKZ24" s="109"/>
      <c r="GLA24" s="109"/>
      <c r="GLB24" s="109"/>
      <c r="GLC24" s="109"/>
      <c r="GLD24" s="109"/>
      <c r="GLE24" s="109"/>
      <c r="GLF24" s="109"/>
      <c r="GLG24" s="109"/>
      <c r="GLH24" s="109"/>
      <c r="GLI24" s="109"/>
      <c r="GLJ24" s="109"/>
      <c r="GLK24" s="109"/>
      <c r="GLL24" s="109"/>
      <c r="GLM24" s="109"/>
      <c r="GLN24" s="109"/>
      <c r="GLO24" s="109"/>
      <c r="GLP24" s="109"/>
      <c r="GLQ24" s="109"/>
      <c r="GLR24" s="109"/>
      <c r="GLS24" s="109"/>
      <c r="GLT24" s="109"/>
      <c r="GLU24" s="109"/>
      <c r="GLV24" s="109"/>
      <c r="GLW24" s="109"/>
      <c r="GLX24" s="109"/>
      <c r="GLY24" s="109"/>
      <c r="GLZ24" s="109"/>
      <c r="GMA24" s="109"/>
      <c r="GMB24" s="109"/>
      <c r="GMC24" s="109"/>
      <c r="GMD24" s="109"/>
      <c r="GME24" s="109"/>
      <c r="GMF24" s="109"/>
      <c r="GMG24" s="109"/>
      <c r="GMH24" s="109"/>
      <c r="GMI24" s="109"/>
      <c r="GMJ24" s="109"/>
      <c r="GMK24" s="109"/>
      <c r="GML24" s="109"/>
      <c r="GMM24" s="109"/>
      <c r="GMN24" s="109"/>
      <c r="GMO24" s="109"/>
      <c r="GMP24" s="109"/>
      <c r="GMQ24" s="109"/>
      <c r="GMR24" s="109"/>
      <c r="GMS24" s="109"/>
      <c r="GMT24" s="109"/>
      <c r="GMU24" s="109"/>
      <c r="GMV24" s="109"/>
      <c r="GMW24" s="109"/>
      <c r="GMX24" s="109"/>
      <c r="GMY24" s="109"/>
      <c r="GMZ24" s="109"/>
      <c r="GNA24" s="109"/>
      <c r="GNB24" s="109"/>
      <c r="GNC24" s="109"/>
      <c r="GND24" s="109"/>
      <c r="GNE24" s="109"/>
      <c r="GNF24" s="109"/>
      <c r="GNG24" s="109"/>
      <c r="GNH24" s="109"/>
      <c r="GNI24" s="109"/>
      <c r="GNJ24" s="109"/>
      <c r="GNK24" s="109"/>
      <c r="GNL24" s="109"/>
      <c r="GNM24" s="109"/>
      <c r="GNN24" s="109"/>
      <c r="GNO24" s="109"/>
      <c r="GNP24" s="109"/>
      <c r="GNQ24" s="109"/>
      <c r="GNR24" s="109"/>
      <c r="GNS24" s="109"/>
      <c r="GNT24" s="109"/>
      <c r="GNU24" s="109"/>
      <c r="GNV24" s="109"/>
      <c r="GNW24" s="109"/>
      <c r="GNX24" s="109"/>
      <c r="GNY24" s="109"/>
      <c r="GNZ24" s="109"/>
      <c r="GOA24" s="109"/>
      <c r="GOB24" s="109"/>
      <c r="GOC24" s="109"/>
      <c r="GOD24" s="109"/>
      <c r="GOE24" s="109"/>
      <c r="GOF24" s="109"/>
      <c r="GOG24" s="109"/>
      <c r="GOH24" s="109"/>
      <c r="GOI24" s="109"/>
      <c r="GOJ24" s="109"/>
      <c r="GOK24" s="109"/>
      <c r="GOL24" s="109"/>
      <c r="GOM24" s="109"/>
      <c r="GON24" s="109"/>
      <c r="GOO24" s="109"/>
      <c r="GOP24" s="109"/>
      <c r="GOQ24" s="109"/>
      <c r="GOR24" s="109"/>
      <c r="GOS24" s="109"/>
      <c r="GOT24" s="109"/>
      <c r="GOU24" s="109"/>
      <c r="GOV24" s="109"/>
      <c r="GOW24" s="109"/>
      <c r="GOX24" s="109"/>
      <c r="GOY24" s="109"/>
      <c r="GOZ24" s="109"/>
      <c r="GPA24" s="109"/>
      <c r="GPB24" s="109"/>
      <c r="GPC24" s="109"/>
      <c r="GPD24" s="109"/>
      <c r="GPE24" s="109"/>
      <c r="GPF24" s="109"/>
      <c r="GPG24" s="109"/>
      <c r="GPH24" s="109"/>
      <c r="GPI24" s="109"/>
      <c r="GPJ24" s="109"/>
      <c r="GPK24" s="109"/>
      <c r="GPL24" s="109"/>
      <c r="GPM24" s="109"/>
      <c r="GPN24" s="109"/>
      <c r="GPO24" s="109"/>
      <c r="GPP24" s="109"/>
      <c r="GPQ24" s="109"/>
      <c r="GPR24" s="109"/>
      <c r="GPS24" s="109"/>
      <c r="GPT24" s="109"/>
      <c r="GPU24" s="109"/>
      <c r="GPV24" s="109"/>
      <c r="GPW24" s="109"/>
      <c r="GPX24" s="109"/>
      <c r="GPY24" s="109"/>
      <c r="GPZ24" s="109"/>
      <c r="GQA24" s="109"/>
      <c r="GQB24" s="109"/>
      <c r="GQC24" s="109"/>
      <c r="GQD24" s="109"/>
      <c r="GQE24" s="109"/>
      <c r="GQF24" s="109"/>
      <c r="GQG24" s="109"/>
      <c r="GQH24" s="109"/>
      <c r="GQI24" s="109"/>
      <c r="GQJ24" s="109"/>
      <c r="GQK24" s="109"/>
      <c r="GQL24" s="109"/>
      <c r="GQM24" s="109"/>
      <c r="GQN24" s="109"/>
      <c r="GQO24" s="109"/>
      <c r="GQP24" s="109"/>
      <c r="GQQ24" s="109"/>
      <c r="GQR24" s="109"/>
      <c r="GQS24" s="109"/>
      <c r="GQT24" s="109"/>
      <c r="GQU24" s="109"/>
      <c r="GQV24" s="109"/>
      <c r="GQW24" s="109"/>
      <c r="GQX24" s="109"/>
      <c r="GQY24" s="109"/>
      <c r="GQZ24" s="109"/>
      <c r="GRA24" s="109"/>
      <c r="GRB24" s="109"/>
      <c r="GRC24" s="109"/>
      <c r="GRD24" s="109"/>
      <c r="GRE24" s="109"/>
      <c r="GRF24" s="109"/>
      <c r="GRG24" s="109"/>
      <c r="GRH24" s="109"/>
      <c r="GRI24" s="109"/>
      <c r="GRJ24" s="109"/>
      <c r="GRK24" s="109"/>
      <c r="GRL24" s="109"/>
      <c r="GRM24" s="109"/>
      <c r="GRN24" s="109"/>
      <c r="GRO24" s="109"/>
      <c r="GRP24" s="109"/>
      <c r="GRQ24" s="109"/>
      <c r="GRR24" s="109"/>
      <c r="GRS24" s="109"/>
      <c r="GRT24" s="109"/>
      <c r="GRU24" s="109"/>
      <c r="GRV24" s="109"/>
      <c r="GRW24" s="109"/>
      <c r="GRX24" s="109"/>
      <c r="GRY24" s="109"/>
      <c r="GRZ24" s="109"/>
      <c r="GSA24" s="109"/>
      <c r="GSB24" s="109"/>
      <c r="GSC24" s="109"/>
      <c r="GSD24" s="109"/>
      <c r="GSE24" s="109"/>
      <c r="GSF24" s="109"/>
      <c r="GSG24" s="109"/>
      <c r="GSH24" s="109"/>
      <c r="GSI24" s="109"/>
      <c r="GSJ24" s="109"/>
      <c r="GSK24" s="109"/>
      <c r="GSL24" s="109"/>
      <c r="GSM24" s="109"/>
      <c r="GSN24" s="109"/>
      <c r="GSO24" s="109"/>
      <c r="GSP24" s="109"/>
      <c r="GSQ24" s="109"/>
      <c r="GSR24" s="109"/>
      <c r="GSS24" s="109"/>
      <c r="GST24" s="109"/>
      <c r="GSU24" s="109"/>
      <c r="GSV24" s="109"/>
      <c r="GSW24" s="109"/>
      <c r="GSX24" s="109"/>
      <c r="GSY24" s="109"/>
      <c r="GSZ24" s="109"/>
      <c r="GTA24" s="109"/>
      <c r="GTB24" s="109"/>
      <c r="GTC24" s="109"/>
      <c r="GTD24" s="109"/>
      <c r="GTE24" s="109"/>
      <c r="GTF24" s="109"/>
      <c r="GTG24" s="109"/>
      <c r="GTH24" s="109"/>
      <c r="GTI24" s="109"/>
      <c r="GTJ24" s="109"/>
      <c r="GTK24" s="109"/>
      <c r="GTL24" s="109"/>
      <c r="GTM24" s="109"/>
      <c r="GTN24" s="109"/>
      <c r="GTO24" s="109"/>
      <c r="GTP24" s="109"/>
      <c r="GTQ24" s="109"/>
      <c r="GTR24" s="109"/>
      <c r="GTS24" s="109"/>
      <c r="GTT24" s="109"/>
      <c r="GTU24" s="109"/>
      <c r="GTV24" s="109"/>
      <c r="GTW24" s="109"/>
      <c r="GTX24" s="109"/>
      <c r="GTY24" s="109"/>
      <c r="GTZ24" s="109"/>
      <c r="GUA24" s="109"/>
      <c r="GUB24" s="109"/>
      <c r="GUC24" s="109"/>
      <c r="GUD24" s="109"/>
      <c r="GUE24" s="109"/>
      <c r="GUF24" s="109"/>
      <c r="GUG24" s="109"/>
      <c r="GUH24" s="109"/>
      <c r="GUI24" s="109"/>
      <c r="GUJ24" s="109"/>
      <c r="GUK24" s="109"/>
      <c r="GUL24" s="109"/>
      <c r="GUM24" s="109"/>
      <c r="GUN24" s="109"/>
      <c r="GUO24" s="109"/>
      <c r="GUP24" s="109"/>
      <c r="GUQ24" s="109"/>
      <c r="GUR24" s="109"/>
      <c r="GUS24" s="109"/>
      <c r="GUT24" s="109"/>
      <c r="GUU24" s="109"/>
      <c r="GUV24" s="109"/>
      <c r="GUW24" s="109"/>
      <c r="GUX24" s="109"/>
      <c r="GUY24" s="109"/>
      <c r="GUZ24" s="109"/>
      <c r="GVA24" s="109"/>
      <c r="GVB24" s="109"/>
      <c r="GVC24" s="109"/>
      <c r="GVD24" s="109"/>
      <c r="GVE24" s="109"/>
      <c r="GVF24" s="109"/>
      <c r="GVG24" s="109"/>
      <c r="GVH24" s="109"/>
      <c r="GVI24" s="109"/>
      <c r="GVJ24" s="109"/>
      <c r="GVK24" s="109"/>
      <c r="GVL24" s="109"/>
      <c r="GVM24" s="109"/>
      <c r="GVN24" s="109"/>
      <c r="GVO24" s="109"/>
      <c r="GVP24" s="109"/>
      <c r="GVQ24" s="109"/>
      <c r="GVR24" s="109"/>
      <c r="GVS24" s="109"/>
      <c r="GVT24" s="109"/>
      <c r="GVU24" s="109"/>
      <c r="GVV24" s="109"/>
      <c r="GVW24" s="109"/>
      <c r="GVX24" s="109"/>
      <c r="GVY24" s="109"/>
      <c r="GVZ24" s="109"/>
      <c r="GWA24" s="109"/>
      <c r="GWB24" s="109"/>
      <c r="GWC24" s="109"/>
      <c r="GWD24" s="109"/>
      <c r="GWE24" s="109"/>
      <c r="GWF24" s="109"/>
      <c r="GWG24" s="109"/>
      <c r="GWH24" s="109"/>
      <c r="GWI24" s="109"/>
      <c r="GWJ24" s="109"/>
      <c r="GWK24" s="109"/>
      <c r="GWL24" s="109"/>
      <c r="GWM24" s="109"/>
      <c r="GWN24" s="109"/>
      <c r="GWO24" s="109"/>
      <c r="GWP24" s="109"/>
      <c r="GWQ24" s="109"/>
      <c r="GWR24" s="109"/>
      <c r="GWS24" s="109"/>
      <c r="GWT24" s="109"/>
      <c r="GWU24" s="109"/>
      <c r="GWV24" s="109"/>
      <c r="GWW24" s="109"/>
      <c r="GWX24" s="109"/>
      <c r="GWY24" s="109"/>
      <c r="GWZ24" s="109"/>
      <c r="GXA24" s="109"/>
      <c r="GXB24" s="109"/>
      <c r="GXC24" s="109"/>
      <c r="GXD24" s="109"/>
      <c r="GXE24" s="109"/>
      <c r="GXF24" s="109"/>
      <c r="GXG24" s="109"/>
      <c r="GXH24" s="109"/>
      <c r="GXI24" s="109"/>
      <c r="GXJ24" s="109"/>
      <c r="GXK24" s="109"/>
      <c r="GXL24" s="109"/>
      <c r="GXM24" s="109"/>
      <c r="GXN24" s="109"/>
      <c r="GXO24" s="109"/>
      <c r="GXP24" s="109"/>
      <c r="GXQ24" s="109"/>
      <c r="GXR24" s="109"/>
      <c r="GXS24" s="109"/>
      <c r="GXT24" s="109"/>
      <c r="GXU24" s="109"/>
      <c r="GXV24" s="109"/>
      <c r="GXW24" s="109"/>
      <c r="GXX24" s="109"/>
      <c r="GXY24" s="109"/>
      <c r="GXZ24" s="109"/>
      <c r="GYA24" s="109"/>
      <c r="GYB24" s="109"/>
      <c r="GYC24" s="109"/>
      <c r="GYD24" s="109"/>
      <c r="GYE24" s="109"/>
      <c r="GYF24" s="109"/>
      <c r="GYG24" s="109"/>
      <c r="GYH24" s="109"/>
      <c r="GYI24" s="109"/>
      <c r="GYJ24" s="109"/>
      <c r="GYK24" s="109"/>
      <c r="GYL24" s="109"/>
      <c r="GYM24" s="109"/>
      <c r="GYN24" s="109"/>
      <c r="GYO24" s="109"/>
      <c r="GYP24" s="109"/>
      <c r="GYQ24" s="109"/>
      <c r="GYR24" s="109"/>
      <c r="GYS24" s="109"/>
      <c r="GYT24" s="109"/>
      <c r="GYU24" s="109"/>
      <c r="GYV24" s="109"/>
      <c r="GYW24" s="109"/>
      <c r="GYX24" s="109"/>
      <c r="GYY24" s="109"/>
      <c r="GYZ24" s="109"/>
      <c r="GZA24" s="109"/>
      <c r="GZB24" s="109"/>
      <c r="GZC24" s="109"/>
      <c r="GZD24" s="109"/>
      <c r="GZE24" s="109"/>
      <c r="GZF24" s="109"/>
      <c r="GZG24" s="109"/>
      <c r="GZH24" s="109"/>
      <c r="GZI24" s="109"/>
      <c r="GZJ24" s="109"/>
      <c r="GZK24" s="109"/>
      <c r="GZL24" s="109"/>
      <c r="GZM24" s="109"/>
      <c r="GZN24" s="109"/>
      <c r="GZO24" s="109"/>
      <c r="GZP24" s="109"/>
      <c r="GZQ24" s="109"/>
      <c r="GZR24" s="109"/>
      <c r="GZS24" s="109"/>
      <c r="GZT24" s="109"/>
      <c r="GZU24" s="109"/>
      <c r="GZV24" s="109"/>
      <c r="GZW24" s="109"/>
      <c r="GZX24" s="109"/>
      <c r="GZY24" s="109"/>
      <c r="GZZ24" s="109"/>
      <c r="HAA24" s="109"/>
      <c r="HAB24" s="109"/>
      <c r="HAC24" s="109"/>
      <c r="HAD24" s="109"/>
      <c r="HAE24" s="109"/>
      <c r="HAF24" s="109"/>
      <c r="HAG24" s="109"/>
      <c r="HAH24" s="109"/>
      <c r="HAI24" s="109"/>
      <c r="HAJ24" s="109"/>
      <c r="HAK24" s="109"/>
      <c r="HAL24" s="109"/>
      <c r="HAM24" s="109"/>
      <c r="HAN24" s="109"/>
      <c r="HAO24" s="109"/>
      <c r="HAP24" s="109"/>
      <c r="HAQ24" s="109"/>
      <c r="HAR24" s="109"/>
      <c r="HAS24" s="109"/>
      <c r="HAT24" s="109"/>
      <c r="HAU24" s="109"/>
      <c r="HAV24" s="109"/>
      <c r="HAW24" s="109"/>
      <c r="HAX24" s="109"/>
      <c r="HAY24" s="109"/>
      <c r="HAZ24" s="109"/>
      <c r="HBA24" s="109"/>
      <c r="HBB24" s="109"/>
      <c r="HBC24" s="109"/>
      <c r="HBD24" s="109"/>
      <c r="HBE24" s="109"/>
      <c r="HBF24" s="109"/>
      <c r="HBG24" s="109"/>
      <c r="HBH24" s="109"/>
      <c r="HBI24" s="109"/>
      <c r="HBJ24" s="109"/>
      <c r="HBK24" s="109"/>
      <c r="HBL24" s="109"/>
      <c r="HBM24" s="109"/>
      <c r="HBN24" s="109"/>
      <c r="HBO24" s="109"/>
      <c r="HBP24" s="109"/>
      <c r="HBQ24" s="109"/>
      <c r="HBR24" s="109"/>
      <c r="HBS24" s="109"/>
      <c r="HBT24" s="109"/>
      <c r="HBU24" s="109"/>
      <c r="HBV24" s="109"/>
      <c r="HBW24" s="109"/>
      <c r="HBX24" s="109"/>
      <c r="HBY24" s="109"/>
      <c r="HBZ24" s="109"/>
      <c r="HCA24" s="109"/>
      <c r="HCB24" s="109"/>
      <c r="HCC24" s="109"/>
      <c r="HCD24" s="109"/>
      <c r="HCE24" s="109"/>
      <c r="HCF24" s="109"/>
      <c r="HCG24" s="109"/>
      <c r="HCH24" s="109"/>
      <c r="HCI24" s="109"/>
      <c r="HCJ24" s="109"/>
      <c r="HCK24" s="109"/>
      <c r="HCL24" s="109"/>
      <c r="HCM24" s="109"/>
      <c r="HCN24" s="109"/>
      <c r="HCO24" s="109"/>
      <c r="HCP24" s="109"/>
      <c r="HCQ24" s="109"/>
      <c r="HCR24" s="109"/>
      <c r="HCS24" s="109"/>
      <c r="HCT24" s="109"/>
      <c r="HCU24" s="109"/>
      <c r="HCV24" s="109"/>
      <c r="HCW24" s="109"/>
      <c r="HCX24" s="109"/>
      <c r="HCY24" s="109"/>
      <c r="HCZ24" s="109"/>
      <c r="HDA24" s="109"/>
      <c r="HDB24" s="109"/>
      <c r="HDC24" s="109"/>
      <c r="HDD24" s="109"/>
      <c r="HDE24" s="109"/>
      <c r="HDF24" s="109"/>
      <c r="HDG24" s="109"/>
      <c r="HDH24" s="109"/>
      <c r="HDI24" s="109"/>
      <c r="HDJ24" s="109"/>
      <c r="HDK24" s="109"/>
      <c r="HDL24" s="109"/>
      <c r="HDM24" s="109"/>
      <c r="HDN24" s="109"/>
      <c r="HDO24" s="109"/>
      <c r="HDP24" s="109"/>
      <c r="HDQ24" s="109"/>
      <c r="HDR24" s="109"/>
      <c r="HDS24" s="109"/>
      <c r="HDT24" s="109"/>
      <c r="HDU24" s="109"/>
      <c r="HDV24" s="109"/>
      <c r="HDW24" s="109"/>
      <c r="HDX24" s="109"/>
      <c r="HDY24" s="109"/>
      <c r="HDZ24" s="109"/>
      <c r="HEA24" s="109"/>
      <c r="HEB24" s="109"/>
      <c r="HEC24" s="109"/>
      <c r="HED24" s="109"/>
      <c r="HEE24" s="109"/>
      <c r="HEF24" s="109"/>
      <c r="HEG24" s="109"/>
      <c r="HEH24" s="109"/>
      <c r="HEI24" s="109"/>
      <c r="HEJ24" s="109"/>
      <c r="HEK24" s="109"/>
      <c r="HEL24" s="109"/>
      <c r="HEM24" s="109"/>
      <c r="HEN24" s="109"/>
      <c r="HEO24" s="109"/>
      <c r="HEP24" s="109"/>
      <c r="HEQ24" s="109"/>
      <c r="HER24" s="109"/>
      <c r="HES24" s="109"/>
      <c r="HET24" s="109"/>
      <c r="HEU24" s="109"/>
      <c r="HEV24" s="109"/>
      <c r="HEW24" s="109"/>
      <c r="HEX24" s="109"/>
      <c r="HEY24" s="109"/>
      <c r="HEZ24" s="109"/>
      <c r="HFA24" s="109"/>
      <c r="HFB24" s="109"/>
      <c r="HFC24" s="109"/>
      <c r="HFD24" s="109"/>
      <c r="HFE24" s="109"/>
      <c r="HFF24" s="109"/>
      <c r="HFG24" s="109"/>
      <c r="HFH24" s="109"/>
      <c r="HFI24" s="109"/>
      <c r="HFJ24" s="109"/>
      <c r="HFK24" s="109"/>
      <c r="HFL24" s="109"/>
      <c r="HFM24" s="109"/>
      <c r="HFN24" s="109"/>
      <c r="HFO24" s="109"/>
      <c r="HFP24" s="109"/>
      <c r="HFQ24" s="109"/>
      <c r="HFR24" s="109"/>
      <c r="HFS24" s="109"/>
      <c r="HFT24" s="109"/>
      <c r="HFU24" s="109"/>
      <c r="HFV24" s="109"/>
      <c r="HFW24" s="109"/>
      <c r="HFX24" s="109"/>
      <c r="HFY24" s="109"/>
      <c r="HFZ24" s="109"/>
      <c r="HGA24" s="109"/>
      <c r="HGB24" s="109"/>
      <c r="HGC24" s="109"/>
      <c r="HGD24" s="109"/>
      <c r="HGE24" s="109"/>
      <c r="HGF24" s="109"/>
      <c r="HGG24" s="109"/>
      <c r="HGH24" s="109"/>
      <c r="HGI24" s="109"/>
      <c r="HGJ24" s="109"/>
      <c r="HGK24" s="109"/>
      <c r="HGL24" s="109"/>
      <c r="HGM24" s="109"/>
      <c r="HGN24" s="109"/>
      <c r="HGO24" s="109"/>
      <c r="HGP24" s="109"/>
      <c r="HGQ24" s="109"/>
      <c r="HGR24" s="109"/>
      <c r="HGS24" s="109"/>
      <c r="HGT24" s="109"/>
      <c r="HGU24" s="109"/>
      <c r="HGV24" s="109"/>
      <c r="HGW24" s="109"/>
      <c r="HGX24" s="109"/>
      <c r="HGY24" s="109"/>
      <c r="HGZ24" s="109"/>
      <c r="HHA24" s="109"/>
      <c r="HHB24" s="109"/>
      <c r="HHC24" s="109"/>
      <c r="HHD24" s="109"/>
      <c r="HHE24" s="109"/>
      <c r="HHF24" s="109"/>
      <c r="HHG24" s="109"/>
      <c r="HHH24" s="109"/>
      <c r="HHI24" s="109"/>
      <c r="HHJ24" s="109"/>
      <c r="HHK24" s="109"/>
      <c r="HHL24" s="109"/>
      <c r="HHM24" s="109"/>
      <c r="HHN24" s="109"/>
      <c r="HHO24" s="109"/>
      <c r="HHP24" s="109"/>
      <c r="HHQ24" s="109"/>
      <c r="HHR24" s="109"/>
      <c r="HHS24" s="109"/>
      <c r="HHT24" s="109"/>
      <c r="HHU24" s="109"/>
      <c r="HHV24" s="109"/>
      <c r="HHW24" s="109"/>
      <c r="HHX24" s="109"/>
      <c r="HHY24" s="109"/>
      <c r="HHZ24" s="109"/>
      <c r="HIA24" s="109"/>
      <c r="HIB24" s="109"/>
      <c r="HIC24" s="109"/>
      <c r="HID24" s="109"/>
      <c r="HIE24" s="109"/>
      <c r="HIF24" s="109"/>
      <c r="HIG24" s="109"/>
      <c r="HIH24" s="109"/>
      <c r="HII24" s="109"/>
      <c r="HIJ24" s="109"/>
      <c r="HIK24" s="109"/>
      <c r="HIL24" s="109"/>
      <c r="HIM24" s="109"/>
      <c r="HIN24" s="109"/>
      <c r="HIO24" s="109"/>
      <c r="HIP24" s="109"/>
      <c r="HIQ24" s="109"/>
      <c r="HIR24" s="109"/>
      <c r="HIS24" s="109"/>
      <c r="HIT24" s="109"/>
      <c r="HIU24" s="109"/>
      <c r="HIV24" s="109"/>
      <c r="HIW24" s="109"/>
      <c r="HIX24" s="109"/>
      <c r="HIY24" s="109"/>
      <c r="HIZ24" s="109"/>
      <c r="HJA24" s="109"/>
      <c r="HJB24" s="109"/>
      <c r="HJC24" s="109"/>
      <c r="HJD24" s="109"/>
      <c r="HJE24" s="109"/>
      <c r="HJF24" s="109"/>
      <c r="HJG24" s="109"/>
      <c r="HJH24" s="109"/>
      <c r="HJI24" s="109"/>
      <c r="HJJ24" s="109"/>
      <c r="HJK24" s="109"/>
      <c r="HJL24" s="109"/>
      <c r="HJM24" s="109"/>
      <c r="HJN24" s="109"/>
      <c r="HJO24" s="109"/>
      <c r="HJP24" s="109"/>
      <c r="HJQ24" s="109"/>
      <c r="HJR24" s="109"/>
      <c r="HJS24" s="109"/>
      <c r="HJT24" s="109"/>
      <c r="HJU24" s="109"/>
      <c r="HJV24" s="109"/>
      <c r="HJW24" s="109"/>
      <c r="HJX24" s="109"/>
      <c r="HJY24" s="109"/>
      <c r="HJZ24" s="109"/>
      <c r="HKA24" s="109"/>
      <c r="HKB24" s="109"/>
      <c r="HKC24" s="109"/>
      <c r="HKD24" s="109"/>
      <c r="HKE24" s="109"/>
      <c r="HKF24" s="109"/>
      <c r="HKG24" s="109"/>
      <c r="HKH24" s="109"/>
      <c r="HKI24" s="109"/>
      <c r="HKJ24" s="109"/>
      <c r="HKK24" s="109"/>
      <c r="HKL24" s="109"/>
      <c r="HKM24" s="109"/>
      <c r="HKN24" s="109"/>
      <c r="HKO24" s="109"/>
      <c r="HKP24" s="109"/>
      <c r="HKQ24" s="109"/>
      <c r="HKR24" s="109"/>
      <c r="HKS24" s="109"/>
      <c r="HKT24" s="109"/>
      <c r="HKU24" s="109"/>
      <c r="HKV24" s="109"/>
      <c r="HKW24" s="109"/>
      <c r="HKX24" s="109"/>
      <c r="HKY24" s="109"/>
      <c r="HKZ24" s="109"/>
      <c r="HLA24" s="109"/>
      <c r="HLB24" s="109"/>
      <c r="HLC24" s="109"/>
      <c r="HLD24" s="109"/>
      <c r="HLE24" s="109"/>
      <c r="HLF24" s="109"/>
      <c r="HLG24" s="109"/>
      <c r="HLH24" s="109"/>
      <c r="HLI24" s="109"/>
      <c r="HLJ24" s="109"/>
      <c r="HLK24" s="109"/>
      <c r="HLL24" s="109"/>
      <c r="HLM24" s="109"/>
      <c r="HLN24" s="109"/>
      <c r="HLO24" s="109"/>
      <c r="HLP24" s="109"/>
      <c r="HLQ24" s="109"/>
      <c r="HLR24" s="109"/>
      <c r="HLS24" s="109"/>
      <c r="HLT24" s="109"/>
      <c r="HLU24" s="109"/>
      <c r="HLV24" s="109"/>
      <c r="HLW24" s="109"/>
      <c r="HLX24" s="109"/>
      <c r="HLY24" s="109"/>
      <c r="HLZ24" s="109"/>
      <c r="HMA24" s="109"/>
      <c r="HMB24" s="109"/>
      <c r="HMC24" s="109"/>
      <c r="HMD24" s="109"/>
      <c r="HME24" s="109"/>
      <c r="HMF24" s="109"/>
      <c r="HMG24" s="109"/>
      <c r="HMH24" s="109"/>
      <c r="HMI24" s="109"/>
      <c r="HMJ24" s="109"/>
      <c r="HMK24" s="109"/>
      <c r="HML24" s="109"/>
      <c r="HMM24" s="109"/>
      <c r="HMN24" s="109"/>
      <c r="HMO24" s="109"/>
      <c r="HMP24" s="109"/>
      <c r="HMQ24" s="109"/>
      <c r="HMR24" s="109"/>
      <c r="HMS24" s="109"/>
      <c r="HMT24" s="109"/>
      <c r="HMU24" s="109"/>
      <c r="HMV24" s="109"/>
      <c r="HMW24" s="109"/>
      <c r="HMX24" s="109"/>
      <c r="HMY24" s="109"/>
      <c r="HMZ24" s="109"/>
      <c r="HNA24" s="109"/>
      <c r="HNB24" s="109"/>
      <c r="HNC24" s="109"/>
      <c r="HND24" s="109"/>
      <c r="HNE24" s="109"/>
      <c r="HNF24" s="109"/>
      <c r="HNG24" s="109"/>
      <c r="HNH24" s="109"/>
      <c r="HNI24" s="109"/>
      <c r="HNJ24" s="109"/>
      <c r="HNK24" s="109"/>
      <c r="HNL24" s="109"/>
      <c r="HNM24" s="109"/>
      <c r="HNN24" s="109"/>
      <c r="HNO24" s="109"/>
      <c r="HNP24" s="109"/>
      <c r="HNQ24" s="109"/>
      <c r="HNR24" s="109"/>
      <c r="HNS24" s="109"/>
      <c r="HNT24" s="109"/>
      <c r="HNU24" s="109"/>
      <c r="HNV24" s="109"/>
      <c r="HNW24" s="109"/>
      <c r="HNX24" s="109"/>
      <c r="HNY24" s="109"/>
      <c r="HNZ24" s="109"/>
      <c r="HOA24" s="109"/>
      <c r="HOB24" s="109"/>
      <c r="HOC24" s="109"/>
      <c r="HOD24" s="109"/>
      <c r="HOE24" s="109"/>
      <c r="HOF24" s="109"/>
      <c r="HOG24" s="109"/>
      <c r="HOH24" s="109"/>
      <c r="HOI24" s="109"/>
      <c r="HOJ24" s="109"/>
      <c r="HOK24" s="109"/>
      <c r="HOL24" s="109"/>
      <c r="HOM24" s="109"/>
      <c r="HON24" s="109"/>
      <c r="HOO24" s="109"/>
      <c r="HOP24" s="109"/>
      <c r="HOQ24" s="109"/>
      <c r="HOR24" s="109"/>
      <c r="HOS24" s="109"/>
      <c r="HOT24" s="109"/>
      <c r="HOU24" s="109"/>
      <c r="HOV24" s="109"/>
      <c r="HOW24" s="109"/>
      <c r="HOX24" s="109"/>
      <c r="HOY24" s="109"/>
      <c r="HOZ24" s="109"/>
      <c r="HPA24" s="109"/>
      <c r="HPB24" s="109"/>
      <c r="HPC24" s="109"/>
      <c r="HPD24" s="109"/>
      <c r="HPE24" s="109"/>
      <c r="HPF24" s="109"/>
      <c r="HPG24" s="109"/>
      <c r="HPH24" s="109"/>
      <c r="HPI24" s="109"/>
      <c r="HPJ24" s="109"/>
      <c r="HPK24" s="109"/>
      <c r="HPL24" s="109"/>
      <c r="HPM24" s="109"/>
      <c r="HPN24" s="109"/>
      <c r="HPO24" s="109"/>
      <c r="HPP24" s="109"/>
      <c r="HPQ24" s="109"/>
      <c r="HPR24" s="109"/>
      <c r="HPS24" s="109"/>
      <c r="HPT24" s="109"/>
      <c r="HPU24" s="109"/>
      <c r="HPV24" s="109"/>
      <c r="HPW24" s="109"/>
      <c r="HPX24" s="109"/>
      <c r="HPY24" s="109"/>
      <c r="HPZ24" s="109"/>
      <c r="HQA24" s="109"/>
      <c r="HQB24" s="109"/>
      <c r="HQC24" s="109"/>
      <c r="HQD24" s="109"/>
      <c r="HQE24" s="109"/>
      <c r="HQF24" s="109"/>
      <c r="HQG24" s="109"/>
      <c r="HQH24" s="109"/>
      <c r="HQI24" s="109"/>
      <c r="HQJ24" s="109"/>
      <c r="HQK24" s="109"/>
      <c r="HQL24" s="109"/>
      <c r="HQM24" s="109"/>
      <c r="HQN24" s="109"/>
      <c r="HQO24" s="109"/>
      <c r="HQP24" s="109"/>
      <c r="HQQ24" s="109"/>
      <c r="HQR24" s="109"/>
      <c r="HQS24" s="109"/>
      <c r="HQT24" s="109"/>
      <c r="HQU24" s="109"/>
      <c r="HQV24" s="109"/>
      <c r="HQW24" s="109"/>
      <c r="HQX24" s="109"/>
      <c r="HQY24" s="109"/>
      <c r="HQZ24" s="109"/>
      <c r="HRA24" s="109"/>
      <c r="HRB24" s="109"/>
      <c r="HRC24" s="109"/>
      <c r="HRD24" s="109"/>
      <c r="HRE24" s="109"/>
      <c r="HRF24" s="109"/>
      <c r="HRG24" s="109"/>
      <c r="HRH24" s="109"/>
      <c r="HRI24" s="109"/>
      <c r="HRJ24" s="109"/>
      <c r="HRK24" s="109"/>
      <c r="HRL24" s="109"/>
      <c r="HRM24" s="109"/>
      <c r="HRN24" s="109"/>
      <c r="HRO24" s="109"/>
      <c r="HRP24" s="109"/>
      <c r="HRQ24" s="109"/>
      <c r="HRR24" s="109"/>
      <c r="HRS24" s="109"/>
      <c r="HRT24" s="109"/>
      <c r="HRU24" s="109"/>
      <c r="HRV24" s="109"/>
      <c r="HRW24" s="109"/>
      <c r="HRX24" s="109"/>
      <c r="HRY24" s="109"/>
      <c r="HRZ24" s="109"/>
      <c r="HSA24" s="109"/>
      <c r="HSB24" s="109"/>
      <c r="HSC24" s="109"/>
      <c r="HSD24" s="109"/>
      <c r="HSE24" s="109"/>
      <c r="HSF24" s="109"/>
      <c r="HSG24" s="109"/>
      <c r="HSH24" s="109"/>
      <c r="HSI24" s="109"/>
      <c r="HSJ24" s="109"/>
      <c r="HSK24" s="109"/>
      <c r="HSL24" s="109"/>
      <c r="HSM24" s="109"/>
      <c r="HSN24" s="109"/>
      <c r="HSO24" s="109"/>
      <c r="HSP24" s="109"/>
      <c r="HSQ24" s="109"/>
      <c r="HSR24" s="109"/>
      <c r="HSS24" s="109"/>
      <c r="HST24" s="109"/>
      <c r="HSU24" s="109"/>
      <c r="HSV24" s="109"/>
      <c r="HSW24" s="109"/>
      <c r="HSX24" s="109"/>
      <c r="HSY24" s="109"/>
      <c r="HSZ24" s="109"/>
      <c r="HTA24" s="109"/>
      <c r="HTB24" s="109"/>
      <c r="HTC24" s="109"/>
      <c r="HTD24" s="109"/>
      <c r="HTE24" s="109"/>
      <c r="HTF24" s="109"/>
      <c r="HTG24" s="109"/>
      <c r="HTH24" s="109"/>
      <c r="HTI24" s="109"/>
      <c r="HTJ24" s="109"/>
      <c r="HTK24" s="109"/>
      <c r="HTL24" s="109"/>
      <c r="HTM24" s="109"/>
      <c r="HTN24" s="109"/>
      <c r="HTO24" s="109"/>
      <c r="HTP24" s="109"/>
      <c r="HTQ24" s="109"/>
      <c r="HTR24" s="109"/>
      <c r="HTS24" s="109"/>
      <c r="HTT24" s="109"/>
      <c r="HTU24" s="109"/>
      <c r="HTV24" s="109"/>
      <c r="HTW24" s="109"/>
      <c r="HTX24" s="109"/>
      <c r="HTY24" s="109"/>
      <c r="HTZ24" s="109"/>
      <c r="HUA24" s="109"/>
      <c r="HUB24" s="109"/>
      <c r="HUC24" s="109"/>
      <c r="HUD24" s="109"/>
      <c r="HUE24" s="109"/>
      <c r="HUF24" s="109"/>
      <c r="HUG24" s="109"/>
      <c r="HUH24" s="109"/>
      <c r="HUI24" s="109"/>
      <c r="HUJ24" s="109"/>
      <c r="HUK24" s="109"/>
      <c r="HUL24" s="109"/>
      <c r="HUM24" s="109"/>
      <c r="HUN24" s="109"/>
      <c r="HUO24" s="109"/>
      <c r="HUP24" s="109"/>
      <c r="HUQ24" s="109"/>
      <c r="HUR24" s="109"/>
      <c r="HUS24" s="109"/>
      <c r="HUT24" s="109"/>
      <c r="HUU24" s="109"/>
      <c r="HUV24" s="109"/>
      <c r="HUW24" s="109"/>
      <c r="HUX24" s="109"/>
      <c r="HUY24" s="109"/>
      <c r="HUZ24" s="109"/>
      <c r="HVA24" s="109"/>
      <c r="HVB24" s="109"/>
      <c r="HVC24" s="109"/>
      <c r="HVD24" s="109"/>
      <c r="HVE24" s="109"/>
      <c r="HVF24" s="109"/>
      <c r="HVG24" s="109"/>
      <c r="HVH24" s="109"/>
      <c r="HVI24" s="109"/>
      <c r="HVJ24" s="109"/>
      <c r="HVK24" s="109"/>
      <c r="HVL24" s="109"/>
      <c r="HVM24" s="109"/>
      <c r="HVN24" s="109"/>
      <c r="HVO24" s="109"/>
      <c r="HVP24" s="109"/>
      <c r="HVQ24" s="109"/>
      <c r="HVR24" s="109"/>
      <c r="HVS24" s="109"/>
      <c r="HVT24" s="109"/>
      <c r="HVU24" s="109"/>
      <c r="HVV24" s="109"/>
      <c r="HVW24" s="109"/>
      <c r="HVX24" s="109"/>
      <c r="HVY24" s="109"/>
      <c r="HVZ24" s="109"/>
      <c r="HWA24" s="109"/>
      <c r="HWB24" s="109"/>
      <c r="HWC24" s="109"/>
      <c r="HWD24" s="109"/>
      <c r="HWE24" s="109"/>
      <c r="HWF24" s="109"/>
      <c r="HWG24" s="109"/>
      <c r="HWH24" s="109"/>
      <c r="HWI24" s="109"/>
      <c r="HWJ24" s="109"/>
      <c r="HWK24" s="109"/>
      <c r="HWL24" s="109"/>
      <c r="HWM24" s="109"/>
      <c r="HWN24" s="109"/>
      <c r="HWO24" s="109"/>
      <c r="HWP24" s="109"/>
      <c r="HWQ24" s="109"/>
      <c r="HWR24" s="109"/>
      <c r="HWS24" s="109"/>
      <c r="HWT24" s="109"/>
      <c r="HWU24" s="109"/>
      <c r="HWV24" s="109"/>
      <c r="HWW24" s="109"/>
      <c r="HWX24" s="109"/>
      <c r="HWY24" s="109"/>
      <c r="HWZ24" s="109"/>
      <c r="HXA24" s="109"/>
      <c r="HXB24" s="109"/>
      <c r="HXC24" s="109"/>
      <c r="HXD24" s="109"/>
      <c r="HXE24" s="109"/>
      <c r="HXF24" s="109"/>
      <c r="HXG24" s="109"/>
      <c r="HXH24" s="109"/>
      <c r="HXI24" s="109"/>
      <c r="HXJ24" s="109"/>
      <c r="HXK24" s="109"/>
      <c r="HXL24" s="109"/>
      <c r="HXM24" s="109"/>
      <c r="HXN24" s="109"/>
      <c r="HXO24" s="109"/>
      <c r="HXP24" s="109"/>
      <c r="HXQ24" s="109"/>
      <c r="HXR24" s="109"/>
      <c r="HXS24" s="109"/>
      <c r="HXT24" s="109"/>
      <c r="HXU24" s="109"/>
      <c r="HXV24" s="109"/>
      <c r="HXW24" s="109"/>
      <c r="HXX24" s="109"/>
      <c r="HXY24" s="109"/>
      <c r="HXZ24" s="109"/>
      <c r="HYA24" s="109"/>
      <c r="HYB24" s="109"/>
      <c r="HYC24" s="109"/>
      <c r="HYD24" s="109"/>
      <c r="HYE24" s="109"/>
      <c r="HYF24" s="109"/>
      <c r="HYG24" s="109"/>
      <c r="HYH24" s="109"/>
      <c r="HYI24" s="109"/>
      <c r="HYJ24" s="109"/>
      <c r="HYK24" s="109"/>
      <c r="HYL24" s="109"/>
      <c r="HYM24" s="109"/>
      <c r="HYN24" s="109"/>
      <c r="HYO24" s="109"/>
      <c r="HYP24" s="109"/>
      <c r="HYQ24" s="109"/>
      <c r="HYR24" s="109"/>
      <c r="HYS24" s="109"/>
      <c r="HYT24" s="109"/>
      <c r="HYU24" s="109"/>
      <c r="HYV24" s="109"/>
      <c r="HYW24" s="109"/>
      <c r="HYX24" s="109"/>
      <c r="HYY24" s="109"/>
      <c r="HYZ24" s="109"/>
      <c r="HZA24" s="109"/>
      <c r="HZB24" s="109"/>
      <c r="HZC24" s="109"/>
      <c r="HZD24" s="109"/>
      <c r="HZE24" s="109"/>
      <c r="HZF24" s="109"/>
      <c r="HZG24" s="109"/>
      <c r="HZH24" s="109"/>
      <c r="HZI24" s="109"/>
      <c r="HZJ24" s="109"/>
      <c r="HZK24" s="109"/>
      <c r="HZL24" s="109"/>
      <c r="HZM24" s="109"/>
      <c r="HZN24" s="109"/>
      <c r="HZO24" s="109"/>
      <c r="HZP24" s="109"/>
      <c r="HZQ24" s="109"/>
      <c r="HZR24" s="109"/>
      <c r="HZS24" s="109"/>
      <c r="HZT24" s="109"/>
      <c r="HZU24" s="109"/>
      <c r="HZV24" s="109"/>
      <c r="HZW24" s="109"/>
      <c r="HZX24" s="109"/>
      <c r="HZY24" s="109"/>
      <c r="HZZ24" s="109"/>
      <c r="IAA24" s="109"/>
      <c r="IAB24" s="109"/>
      <c r="IAC24" s="109"/>
      <c r="IAD24" s="109"/>
      <c r="IAE24" s="109"/>
      <c r="IAF24" s="109"/>
      <c r="IAG24" s="109"/>
      <c r="IAH24" s="109"/>
      <c r="IAI24" s="109"/>
      <c r="IAJ24" s="109"/>
      <c r="IAK24" s="109"/>
      <c r="IAL24" s="109"/>
      <c r="IAM24" s="109"/>
      <c r="IAN24" s="109"/>
      <c r="IAO24" s="109"/>
      <c r="IAP24" s="109"/>
      <c r="IAQ24" s="109"/>
      <c r="IAR24" s="109"/>
      <c r="IAS24" s="109"/>
      <c r="IAT24" s="109"/>
      <c r="IAU24" s="109"/>
      <c r="IAV24" s="109"/>
      <c r="IAW24" s="109"/>
      <c r="IAX24" s="109"/>
      <c r="IAY24" s="109"/>
      <c r="IAZ24" s="109"/>
      <c r="IBA24" s="109"/>
      <c r="IBB24" s="109"/>
      <c r="IBC24" s="109"/>
      <c r="IBD24" s="109"/>
      <c r="IBE24" s="109"/>
      <c r="IBF24" s="109"/>
      <c r="IBG24" s="109"/>
      <c r="IBH24" s="109"/>
      <c r="IBI24" s="109"/>
      <c r="IBJ24" s="109"/>
      <c r="IBK24" s="109"/>
      <c r="IBL24" s="109"/>
      <c r="IBM24" s="109"/>
      <c r="IBN24" s="109"/>
      <c r="IBO24" s="109"/>
      <c r="IBP24" s="109"/>
      <c r="IBQ24" s="109"/>
      <c r="IBR24" s="109"/>
      <c r="IBS24" s="109"/>
      <c r="IBT24" s="109"/>
      <c r="IBU24" s="109"/>
      <c r="IBV24" s="109"/>
      <c r="IBW24" s="109"/>
      <c r="IBX24" s="109"/>
      <c r="IBY24" s="109"/>
      <c r="IBZ24" s="109"/>
      <c r="ICA24" s="109"/>
      <c r="ICB24" s="109"/>
      <c r="ICC24" s="109"/>
      <c r="ICD24" s="109"/>
      <c r="ICE24" s="109"/>
      <c r="ICF24" s="109"/>
      <c r="ICG24" s="109"/>
      <c r="ICH24" s="109"/>
      <c r="ICI24" s="109"/>
      <c r="ICJ24" s="109"/>
      <c r="ICK24" s="109"/>
      <c r="ICL24" s="109"/>
      <c r="ICM24" s="109"/>
      <c r="ICN24" s="109"/>
      <c r="ICO24" s="109"/>
      <c r="ICP24" s="109"/>
      <c r="ICQ24" s="109"/>
      <c r="ICR24" s="109"/>
      <c r="ICS24" s="109"/>
      <c r="ICT24" s="109"/>
      <c r="ICU24" s="109"/>
      <c r="ICV24" s="109"/>
      <c r="ICW24" s="109"/>
      <c r="ICX24" s="109"/>
      <c r="ICY24" s="109"/>
      <c r="ICZ24" s="109"/>
      <c r="IDA24" s="109"/>
      <c r="IDB24" s="109"/>
      <c r="IDC24" s="109"/>
      <c r="IDD24" s="109"/>
      <c r="IDE24" s="109"/>
      <c r="IDF24" s="109"/>
      <c r="IDG24" s="109"/>
      <c r="IDH24" s="109"/>
      <c r="IDI24" s="109"/>
      <c r="IDJ24" s="109"/>
      <c r="IDK24" s="109"/>
      <c r="IDL24" s="109"/>
      <c r="IDM24" s="109"/>
      <c r="IDN24" s="109"/>
      <c r="IDO24" s="109"/>
      <c r="IDP24" s="109"/>
      <c r="IDQ24" s="109"/>
      <c r="IDR24" s="109"/>
      <c r="IDS24" s="109"/>
      <c r="IDT24" s="109"/>
      <c r="IDU24" s="109"/>
      <c r="IDV24" s="109"/>
      <c r="IDW24" s="109"/>
      <c r="IDX24" s="109"/>
      <c r="IDY24" s="109"/>
      <c r="IDZ24" s="109"/>
      <c r="IEA24" s="109"/>
      <c r="IEB24" s="109"/>
      <c r="IEC24" s="109"/>
      <c r="IED24" s="109"/>
      <c r="IEE24" s="109"/>
      <c r="IEF24" s="109"/>
      <c r="IEG24" s="109"/>
      <c r="IEH24" s="109"/>
      <c r="IEI24" s="109"/>
      <c r="IEJ24" s="109"/>
      <c r="IEK24" s="109"/>
      <c r="IEL24" s="109"/>
      <c r="IEM24" s="109"/>
      <c r="IEN24" s="109"/>
      <c r="IEO24" s="109"/>
      <c r="IEP24" s="109"/>
      <c r="IEQ24" s="109"/>
      <c r="IER24" s="109"/>
      <c r="IES24" s="109"/>
      <c r="IET24" s="109"/>
      <c r="IEU24" s="109"/>
      <c r="IEV24" s="109"/>
      <c r="IEW24" s="109"/>
      <c r="IEX24" s="109"/>
      <c r="IEY24" s="109"/>
      <c r="IEZ24" s="109"/>
      <c r="IFA24" s="109"/>
      <c r="IFB24" s="109"/>
      <c r="IFC24" s="109"/>
      <c r="IFD24" s="109"/>
      <c r="IFE24" s="109"/>
      <c r="IFF24" s="109"/>
      <c r="IFG24" s="109"/>
      <c r="IFH24" s="109"/>
      <c r="IFI24" s="109"/>
      <c r="IFJ24" s="109"/>
      <c r="IFK24" s="109"/>
      <c r="IFL24" s="109"/>
      <c r="IFM24" s="109"/>
      <c r="IFN24" s="109"/>
      <c r="IFO24" s="109"/>
      <c r="IFP24" s="109"/>
      <c r="IFQ24" s="109"/>
      <c r="IFR24" s="109"/>
      <c r="IFS24" s="109"/>
      <c r="IFT24" s="109"/>
      <c r="IFU24" s="109"/>
      <c r="IFV24" s="109"/>
      <c r="IFW24" s="109"/>
      <c r="IFX24" s="109"/>
      <c r="IFY24" s="109"/>
      <c r="IFZ24" s="109"/>
      <c r="IGA24" s="109"/>
      <c r="IGB24" s="109"/>
      <c r="IGC24" s="109"/>
      <c r="IGD24" s="109"/>
      <c r="IGE24" s="109"/>
      <c r="IGF24" s="109"/>
      <c r="IGG24" s="109"/>
      <c r="IGH24" s="109"/>
      <c r="IGI24" s="109"/>
      <c r="IGJ24" s="109"/>
      <c r="IGK24" s="109"/>
      <c r="IGL24" s="109"/>
      <c r="IGM24" s="109"/>
      <c r="IGN24" s="109"/>
      <c r="IGO24" s="109"/>
      <c r="IGP24" s="109"/>
      <c r="IGQ24" s="109"/>
      <c r="IGR24" s="109"/>
      <c r="IGS24" s="109"/>
      <c r="IGT24" s="109"/>
      <c r="IGU24" s="109"/>
      <c r="IGV24" s="109"/>
      <c r="IGW24" s="109"/>
      <c r="IGX24" s="109"/>
      <c r="IGY24" s="109"/>
      <c r="IGZ24" s="109"/>
      <c r="IHA24" s="109"/>
      <c r="IHB24" s="109"/>
      <c r="IHC24" s="109"/>
      <c r="IHD24" s="109"/>
      <c r="IHE24" s="109"/>
      <c r="IHF24" s="109"/>
      <c r="IHG24" s="109"/>
      <c r="IHH24" s="109"/>
      <c r="IHI24" s="109"/>
      <c r="IHJ24" s="109"/>
      <c r="IHK24" s="109"/>
      <c r="IHL24" s="109"/>
      <c r="IHM24" s="109"/>
      <c r="IHN24" s="109"/>
      <c r="IHO24" s="109"/>
      <c r="IHP24" s="109"/>
      <c r="IHQ24" s="109"/>
      <c r="IHR24" s="109"/>
      <c r="IHS24" s="109"/>
      <c r="IHT24" s="109"/>
      <c r="IHU24" s="109"/>
      <c r="IHV24" s="109"/>
      <c r="IHW24" s="109"/>
      <c r="IHX24" s="109"/>
      <c r="IHY24" s="109"/>
      <c r="IHZ24" s="109"/>
      <c r="IIA24" s="109"/>
      <c r="IIB24" s="109"/>
      <c r="IIC24" s="109"/>
      <c r="IID24" s="109"/>
      <c r="IIE24" s="109"/>
      <c r="IIF24" s="109"/>
      <c r="IIG24" s="109"/>
      <c r="IIH24" s="109"/>
      <c r="III24" s="109"/>
      <c r="IIJ24" s="109"/>
      <c r="IIK24" s="109"/>
      <c r="IIL24" s="109"/>
      <c r="IIM24" s="109"/>
      <c r="IIN24" s="109"/>
      <c r="IIO24" s="109"/>
      <c r="IIP24" s="109"/>
      <c r="IIQ24" s="109"/>
      <c r="IIR24" s="109"/>
      <c r="IIS24" s="109"/>
      <c r="IIT24" s="109"/>
      <c r="IIU24" s="109"/>
      <c r="IIV24" s="109"/>
      <c r="IIW24" s="109"/>
      <c r="IIX24" s="109"/>
      <c r="IIY24" s="109"/>
      <c r="IIZ24" s="109"/>
      <c r="IJA24" s="109"/>
      <c r="IJB24" s="109"/>
      <c r="IJC24" s="109"/>
      <c r="IJD24" s="109"/>
      <c r="IJE24" s="109"/>
      <c r="IJF24" s="109"/>
      <c r="IJG24" s="109"/>
      <c r="IJH24" s="109"/>
      <c r="IJI24" s="109"/>
      <c r="IJJ24" s="109"/>
      <c r="IJK24" s="109"/>
      <c r="IJL24" s="109"/>
      <c r="IJM24" s="109"/>
      <c r="IJN24" s="109"/>
      <c r="IJO24" s="109"/>
      <c r="IJP24" s="109"/>
      <c r="IJQ24" s="109"/>
      <c r="IJR24" s="109"/>
      <c r="IJS24" s="109"/>
      <c r="IJT24" s="109"/>
      <c r="IJU24" s="109"/>
      <c r="IJV24" s="109"/>
      <c r="IJW24" s="109"/>
      <c r="IJX24" s="109"/>
      <c r="IJY24" s="109"/>
      <c r="IJZ24" s="109"/>
      <c r="IKA24" s="109"/>
      <c r="IKB24" s="109"/>
      <c r="IKC24" s="109"/>
      <c r="IKD24" s="109"/>
      <c r="IKE24" s="109"/>
      <c r="IKF24" s="109"/>
      <c r="IKG24" s="109"/>
      <c r="IKH24" s="109"/>
      <c r="IKI24" s="109"/>
      <c r="IKJ24" s="109"/>
      <c r="IKK24" s="109"/>
      <c r="IKL24" s="109"/>
      <c r="IKM24" s="109"/>
      <c r="IKN24" s="109"/>
      <c r="IKO24" s="109"/>
      <c r="IKP24" s="109"/>
      <c r="IKQ24" s="109"/>
      <c r="IKR24" s="109"/>
      <c r="IKS24" s="109"/>
      <c r="IKT24" s="109"/>
      <c r="IKU24" s="109"/>
      <c r="IKV24" s="109"/>
      <c r="IKW24" s="109"/>
      <c r="IKX24" s="109"/>
      <c r="IKY24" s="109"/>
      <c r="IKZ24" s="109"/>
      <c r="ILA24" s="109"/>
      <c r="ILB24" s="109"/>
      <c r="ILC24" s="109"/>
      <c r="ILD24" s="109"/>
      <c r="ILE24" s="109"/>
      <c r="ILF24" s="109"/>
      <c r="ILG24" s="109"/>
      <c r="ILH24" s="109"/>
      <c r="ILI24" s="109"/>
      <c r="ILJ24" s="109"/>
      <c r="ILK24" s="109"/>
      <c r="ILL24" s="109"/>
      <c r="ILM24" s="109"/>
      <c r="ILN24" s="109"/>
      <c r="ILO24" s="109"/>
      <c r="ILP24" s="109"/>
      <c r="ILQ24" s="109"/>
      <c r="ILR24" s="109"/>
      <c r="ILS24" s="109"/>
      <c r="ILT24" s="109"/>
      <c r="ILU24" s="109"/>
      <c r="ILV24" s="109"/>
      <c r="ILW24" s="109"/>
      <c r="ILX24" s="109"/>
      <c r="ILY24" s="109"/>
      <c r="ILZ24" s="109"/>
      <c r="IMA24" s="109"/>
      <c r="IMB24" s="109"/>
      <c r="IMC24" s="109"/>
      <c r="IMD24" s="109"/>
      <c r="IME24" s="109"/>
      <c r="IMF24" s="109"/>
      <c r="IMG24" s="109"/>
      <c r="IMH24" s="109"/>
      <c r="IMI24" s="109"/>
      <c r="IMJ24" s="109"/>
      <c r="IMK24" s="109"/>
      <c r="IML24" s="109"/>
      <c r="IMM24" s="109"/>
      <c r="IMN24" s="109"/>
      <c r="IMO24" s="109"/>
      <c r="IMP24" s="109"/>
      <c r="IMQ24" s="109"/>
      <c r="IMR24" s="109"/>
      <c r="IMS24" s="109"/>
      <c r="IMT24" s="109"/>
      <c r="IMU24" s="109"/>
      <c r="IMV24" s="109"/>
      <c r="IMW24" s="109"/>
      <c r="IMX24" s="109"/>
      <c r="IMY24" s="109"/>
      <c r="IMZ24" s="109"/>
      <c r="INA24" s="109"/>
      <c r="INB24" s="109"/>
      <c r="INC24" s="109"/>
      <c r="IND24" s="109"/>
      <c r="INE24" s="109"/>
      <c r="INF24" s="109"/>
      <c r="ING24" s="109"/>
      <c r="INH24" s="109"/>
      <c r="INI24" s="109"/>
      <c r="INJ24" s="109"/>
      <c r="INK24" s="109"/>
      <c r="INL24" s="109"/>
      <c r="INM24" s="109"/>
      <c r="INN24" s="109"/>
      <c r="INO24" s="109"/>
      <c r="INP24" s="109"/>
      <c r="INQ24" s="109"/>
      <c r="INR24" s="109"/>
      <c r="INS24" s="109"/>
      <c r="INT24" s="109"/>
      <c r="INU24" s="109"/>
      <c r="INV24" s="109"/>
      <c r="INW24" s="109"/>
      <c r="INX24" s="109"/>
      <c r="INY24" s="109"/>
      <c r="INZ24" s="109"/>
      <c r="IOA24" s="109"/>
      <c r="IOB24" s="109"/>
      <c r="IOC24" s="109"/>
      <c r="IOD24" s="109"/>
      <c r="IOE24" s="109"/>
      <c r="IOF24" s="109"/>
      <c r="IOG24" s="109"/>
      <c r="IOH24" s="109"/>
      <c r="IOI24" s="109"/>
      <c r="IOJ24" s="109"/>
      <c r="IOK24" s="109"/>
      <c r="IOL24" s="109"/>
      <c r="IOM24" s="109"/>
      <c r="ION24" s="109"/>
      <c r="IOO24" s="109"/>
      <c r="IOP24" s="109"/>
      <c r="IOQ24" s="109"/>
      <c r="IOR24" s="109"/>
      <c r="IOS24" s="109"/>
      <c r="IOT24" s="109"/>
      <c r="IOU24" s="109"/>
      <c r="IOV24" s="109"/>
      <c r="IOW24" s="109"/>
      <c r="IOX24" s="109"/>
      <c r="IOY24" s="109"/>
      <c r="IOZ24" s="109"/>
      <c r="IPA24" s="109"/>
      <c r="IPB24" s="109"/>
      <c r="IPC24" s="109"/>
      <c r="IPD24" s="109"/>
      <c r="IPE24" s="109"/>
      <c r="IPF24" s="109"/>
      <c r="IPG24" s="109"/>
      <c r="IPH24" s="109"/>
      <c r="IPI24" s="109"/>
      <c r="IPJ24" s="109"/>
      <c r="IPK24" s="109"/>
      <c r="IPL24" s="109"/>
      <c r="IPM24" s="109"/>
      <c r="IPN24" s="109"/>
      <c r="IPO24" s="109"/>
      <c r="IPP24" s="109"/>
      <c r="IPQ24" s="109"/>
      <c r="IPR24" s="109"/>
      <c r="IPS24" s="109"/>
      <c r="IPT24" s="109"/>
      <c r="IPU24" s="109"/>
      <c r="IPV24" s="109"/>
      <c r="IPW24" s="109"/>
      <c r="IPX24" s="109"/>
      <c r="IPY24" s="109"/>
      <c r="IPZ24" s="109"/>
      <c r="IQA24" s="109"/>
      <c r="IQB24" s="109"/>
      <c r="IQC24" s="109"/>
      <c r="IQD24" s="109"/>
      <c r="IQE24" s="109"/>
      <c r="IQF24" s="109"/>
      <c r="IQG24" s="109"/>
      <c r="IQH24" s="109"/>
      <c r="IQI24" s="109"/>
      <c r="IQJ24" s="109"/>
      <c r="IQK24" s="109"/>
      <c r="IQL24" s="109"/>
      <c r="IQM24" s="109"/>
      <c r="IQN24" s="109"/>
      <c r="IQO24" s="109"/>
      <c r="IQP24" s="109"/>
      <c r="IQQ24" s="109"/>
      <c r="IQR24" s="109"/>
      <c r="IQS24" s="109"/>
      <c r="IQT24" s="109"/>
      <c r="IQU24" s="109"/>
      <c r="IQV24" s="109"/>
      <c r="IQW24" s="109"/>
      <c r="IQX24" s="109"/>
      <c r="IQY24" s="109"/>
      <c r="IQZ24" s="109"/>
      <c r="IRA24" s="109"/>
      <c r="IRB24" s="109"/>
      <c r="IRC24" s="109"/>
      <c r="IRD24" s="109"/>
      <c r="IRE24" s="109"/>
      <c r="IRF24" s="109"/>
      <c r="IRG24" s="109"/>
      <c r="IRH24" s="109"/>
      <c r="IRI24" s="109"/>
      <c r="IRJ24" s="109"/>
      <c r="IRK24" s="109"/>
      <c r="IRL24" s="109"/>
      <c r="IRM24" s="109"/>
      <c r="IRN24" s="109"/>
      <c r="IRO24" s="109"/>
      <c r="IRP24" s="109"/>
      <c r="IRQ24" s="109"/>
      <c r="IRR24" s="109"/>
      <c r="IRS24" s="109"/>
      <c r="IRT24" s="109"/>
      <c r="IRU24" s="109"/>
      <c r="IRV24" s="109"/>
      <c r="IRW24" s="109"/>
      <c r="IRX24" s="109"/>
      <c r="IRY24" s="109"/>
      <c r="IRZ24" s="109"/>
      <c r="ISA24" s="109"/>
      <c r="ISB24" s="109"/>
      <c r="ISC24" s="109"/>
      <c r="ISD24" s="109"/>
      <c r="ISE24" s="109"/>
      <c r="ISF24" s="109"/>
      <c r="ISG24" s="109"/>
      <c r="ISH24" s="109"/>
      <c r="ISI24" s="109"/>
      <c r="ISJ24" s="109"/>
      <c r="ISK24" s="109"/>
      <c r="ISL24" s="109"/>
      <c r="ISM24" s="109"/>
      <c r="ISN24" s="109"/>
      <c r="ISO24" s="109"/>
      <c r="ISP24" s="109"/>
      <c r="ISQ24" s="109"/>
      <c r="ISR24" s="109"/>
      <c r="ISS24" s="109"/>
      <c r="IST24" s="109"/>
      <c r="ISU24" s="109"/>
      <c r="ISV24" s="109"/>
      <c r="ISW24" s="109"/>
      <c r="ISX24" s="109"/>
      <c r="ISY24" s="109"/>
      <c r="ISZ24" s="109"/>
      <c r="ITA24" s="109"/>
      <c r="ITB24" s="109"/>
      <c r="ITC24" s="109"/>
      <c r="ITD24" s="109"/>
      <c r="ITE24" s="109"/>
      <c r="ITF24" s="109"/>
      <c r="ITG24" s="109"/>
      <c r="ITH24" s="109"/>
      <c r="ITI24" s="109"/>
      <c r="ITJ24" s="109"/>
      <c r="ITK24" s="109"/>
      <c r="ITL24" s="109"/>
      <c r="ITM24" s="109"/>
      <c r="ITN24" s="109"/>
      <c r="ITO24" s="109"/>
      <c r="ITP24" s="109"/>
      <c r="ITQ24" s="109"/>
      <c r="ITR24" s="109"/>
      <c r="ITS24" s="109"/>
      <c r="ITT24" s="109"/>
      <c r="ITU24" s="109"/>
      <c r="ITV24" s="109"/>
      <c r="ITW24" s="109"/>
      <c r="ITX24" s="109"/>
      <c r="ITY24" s="109"/>
      <c r="ITZ24" s="109"/>
      <c r="IUA24" s="109"/>
      <c r="IUB24" s="109"/>
      <c r="IUC24" s="109"/>
      <c r="IUD24" s="109"/>
      <c r="IUE24" s="109"/>
      <c r="IUF24" s="109"/>
      <c r="IUG24" s="109"/>
      <c r="IUH24" s="109"/>
      <c r="IUI24" s="109"/>
      <c r="IUJ24" s="109"/>
      <c r="IUK24" s="109"/>
      <c r="IUL24" s="109"/>
      <c r="IUM24" s="109"/>
      <c r="IUN24" s="109"/>
      <c r="IUO24" s="109"/>
      <c r="IUP24" s="109"/>
      <c r="IUQ24" s="109"/>
      <c r="IUR24" s="109"/>
      <c r="IUS24" s="109"/>
      <c r="IUT24" s="109"/>
      <c r="IUU24" s="109"/>
      <c r="IUV24" s="109"/>
      <c r="IUW24" s="109"/>
      <c r="IUX24" s="109"/>
      <c r="IUY24" s="109"/>
      <c r="IUZ24" s="109"/>
      <c r="IVA24" s="109"/>
      <c r="IVB24" s="109"/>
      <c r="IVC24" s="109"/>
      <c r="IVD24" s="109"/>
      <c r="IVE24" s="109"/>
      <c r="IVF24" s="109"/>
      <c r="IVG24" s="109"/>
      <c r="IVH24" s="109"/>
      <c r="IVI24" s="109"/>
      <c r="IVJ24" s="109"/>
      <c r="IVK24" s="109"/>
      <c r="IVL24" s="109"/>
      <c r="IVM24" s="109"/>
      <c r="IVN24" s="109"/>
      <c r="IVO24" s="109"/>
      <c r="IVP24" s="109"/>
      <c r="IVQ24" s="109"/>
      <c r="IVR24" s="109"/>
      <c r="IVS24" s="109"/>
      <c r="IVT24" s="109"/>
      <c r="IVU24" s="109"/>
      <c r="IVV24" s="109"/>
      <c r="IVW24" s="109"/>
      <c r="IVX24" s="109"/>
      <c r="IVY24" s="109"/>
      <c r="IVZ24" s="109"/>
      <c r="IWA24" s="109"/>
      <c r="IWB24" s="109"/>
      <c r="IWC24" s="109"/>
      <c r="IWD24" s="109"/>
      <c r="IWE24" s="109"/>
      <c r="IWF24" s="109"/>
      <c r="IWG24" s="109"/>
      <c r="IWH24" s="109"/>
      <c r="IWI24" s="109"/>
      <c r="IWJ24" s="109"/>
      <c r="IWK24" s="109"/>
      <c r="IWL24" s="109"/>
      <c r="IWM24" s="109"/>
      <c r="IWN24" s="109"/>
      <c r="IWO24" s="109"/>
      <c r="IWP24" s="109"/>
      <c r="IWQ24" s="109"/>
      <c r="IWR24" s="109"/>
      <c r="IWS24" s="109"/>
      <c r="IWT24" s="109"/>
      <c r="IWU24" s="109"/>
      <c r="IWV24" s="109"/>
      <c r="IWW24" s="109"/>
      <c r="IWX24" s="109"/>
      <c r="IWY24" s="109"/>
      <c r="IWZ24" s="109"/>
      <c r="IXA24" s="109"/>
      <c r="IXB24" s="109"/>
      <c r="IXC24" s="109"/>
      <c r="IXD24" s="109"/>
      <c r="IXE24" s="109"/>
      <c r="IXF24" s="109"/>
      <c r="IXG24" s="109"/>
      <c r="IXH24" s="109"/>
      <c r="IXI24" s="109"/>
      <c r="IXJ24" s="109"/>
      <c r="IXK24" s="109"/>
      <c r="IXL24" s="109"/>
      <c r="IXM24" s="109"/>
      <c r="IXN24" s="109"/>
      <c r="IXO24" s="109"/>
      <c r="IXP24" s="109"/>
      <c r="IXQ24" s="109"/>
      <c r="IXR24" s="109"/>
      <c r="IXS24" s="109"/>
      <c r="IXT24" s="109"/>
      <c r="IXU24" s="109"/>
      <c r="IXV24" s="109"/>
      <c r="IXW24" s="109"/>
      <c r="IXX24" s="109"/>
      <c r="IXY24" s="109"/>
      <c r="IXZ24" s="109"/>
      <c r="IYA24" s="109"/>
      <c r="IYB24" s="109"/>
      <c r="IYC24" s="109"/>
      <c r="IYD24" s="109"/>
      <c r="IYE24" s="109"/>
      <c r="IYF24" s="109"/>
      <c r="IYG24" s="109"/>
      <c r="IYH24" s="109"/>
      <c r="IYI24" s="109"/>
      <c r="IYJ24" s="109"/>
      <c r="IYK24" s="109"/>
      <c r="IYL24" s="109"/>
      <c r="IYM24" s="109"/>
      <c r="IYN24" s="109"/>
      <c r="IYO24" s="109"/>
      <c r="IYP24" s="109"/>
      <c r="IYQ24" s="109"/>
      <c r="IYR24" s="109"/>
      <c r="IYS24" s="109"/>
      <c r="IYT24" s="109"/>
      <c r="IYU24" s="109"/>
      <c r="IYV24" s="109"/>
      <c r="IYW24" s="109"/>
      <c r="IYX24" s="109"/>
      <c r="IYY24" s="109"/>
      <c r="IYZ24" s="109"/>
      <c r="IZA24" s="109"/>
      <c r="IZB24" s="109"/>
      <c r="IZC24" s="109"/>
      <c r="IZD24" s="109"/>
      <c r="IZE24" s="109"/>
      <c r="IZF24" s="109"/>
      <c r="IZG24" s="109"/>
      <c r="IZH24" s="109"/>
      <c r="IZI24" s="109"/>
      <c r="IZJ24" s="109"/>
      <c r="IZK24" s="109"/>
      <c r="IZL24" s="109"/>
      <c r="IZM24" s="109"/>
      <c r="IZN24" s="109"/>
      <c r="IZO24" s="109"/>
      <c r="IZP24" s="109"/>
      <c r="IZQ24" s="109"/>
      <c r="IZR24" s="109"/>
      <c r="IZS24" s="109"/>
      <c r="IZT24" s="109"/>
      <c r="IZU24" s="109"/>
      <c r="IZV24" s="109"/>
      <c r="IZW24" s="109"/>
      <c r="IZX24" s="109"/>
      <c r="IZY24" s="109"/>
      <c r="IZZ24" s="109"/>
      <c r="JAA24" s="109"/>
      <c r="JAB24" s="109"/>
      <c r="JAC24" s="109"/>
      <c r="JAD24" s="109"/>
      <c r="JAE24" s="109"/>
      <c r="JAF24" s="109"/>
      <c r="JAG24" s="109"/>
      <c r="JAH24" s="109"/>
      <c r="JAI24" s="109"/>
      <c r="JAJ24" s="109"/>
      <c r="JAK24" s="109"/>
      <c r="JAL24" s="109"/>
      <c r="JAM24" s="109"/>
      <c r="JAN24" s="109"/>
      <c r="JAO24" s="109"/>
      <c r="JAP24" s="109"/>
      <c r="JAQ24" s="109"/>
      <c r="JAR24" s="109"/>
      <c r="JAS24" s="109"/>
      <c r="JAT24" s="109"/>
      <c r="JAU24" s="109"/>
      <c r="JAV24" s="109"/>
      <c r="JAW24" s="109"/>
      <c r="JAX24" s="109"/>
      <c r="JAY24" s="109"/>
      <c r="JAZ24" s="109"/>
      <c r="JBA24" s="109"/>
      <c r="JBB24" s="109"/>
      <c r="JBC24" s="109"/>
      <c r="JBD24" s="109"/>
      <c r="JBE24" s="109"/>
      <c r="JBF24" s="109"/>
      <c r="JBG24" s="109"/>
      <c r="JBH24" s="109"/>
      <c r="JBI24" s="109"/>
      <c r="JBJ24" s="109"/>
      <c r="JBK24" s="109"/>
      <c r="JBL24" s="109"/>
      <c r="JBM24" s="109"/>
      <c r="JBN24" s="109"/>
      <c r="JBO24" s="109"/>
      <c r="JBP24" s="109"/>
      <c r="JBQ24" s="109"/>
      <c r="JBR24" s="109"/>
      <c r="JBS24" s="109"/>
      <c r="JBT24" s="109"/>
      <c r="JBU24" s="109"/>
      <c r="JBV24" s="109"/>
      <c r="JBW24" s="109"/>
      <c r="JBX24" s="109"/>
      <c r="JBY24" s="109"/>
      <c r="JBZ24" s="109"/>
      <c r="JCA24" s="109"/>
      <c r="JCB24" s="109"/>
      <c r="JCC24" s="109"/>
      <c r="JCD24" s="109"/>
      <c r="JCE24" s="109"/>
      <c r="JCF24" s="109"/>
      <c r="JCG24" s="109"/>
      <c r="JCH24" s="109"/>
      <c r="JCI24" s="109"/>
      <c r="JCJ24" s="109"/>
      <c r="JCK24" s="109"/>
      <c r="JCL24" s="109"/>
      <c r="JCM24" s="109"/>
      <c r="JCN24" s="109"/>
      <c r="JCO24" s="109"/>
      <c r="JCP24" s="109"/>
      <c r="JCQ24" s="109"/>
      <c r="JCR24" s="109"/>
      <c r="JCS24" s="109"/>
      <c r="JCT24" s="109"/>
      <c r="JCU24" s="109"/>
      <c r="JCV24" s="109"/>
      <c r="JCW24" s="109"/>
      <c r="JCX24" s="109"/>
      <c r="JCY24" s="109"/>
      <c r="JCZ24" s="109"/>
      <c r="JDA24" s="109"/>
      <c r="JDB24" s="109"/>
      <c r="JDC24" s="109"/>
      <c r="JDD24" s="109"/>
      <c r="JDE24" s="109"/>
      <c r="JDF24" s="109"/>
      <c r="JDG24" s="109"/>
      <c r="JDH24" s="109"/>
      <c r="JDI24" s="109"/>
      <c r="JDJ24" s="109"/>
      <c r="JDK24" s="109"/>
      <c r="JDL24" s="109"/>
      <c r="JDM24" s="109"/>
      <c r="JDN24" s="109"/>
      <c r="JDO24" s="109"/>
      <c r="JDP24" s="109"/>
      <c r="JDQ24" s="109"/>
      <c r="JDR24" s="109"/>
      <c r="JDS24" s="109"/>
      <c r="JDT24" s="109"/>
      <c r="JDU24" s="109"/>
      <c r="JDV24" s="109"/>
      <c r="JDW24" s="109"/>
      <c r="JDX24" s="109"/>
      <c r="JDY24" s="109"/>
      <c r="JDZ24" s="109"/>
      <c r="JEA24" s="109"/>
      <c r="JEB24" s="109"/>
      <c r="JEC24" s="109"/>
      <c r="JED24" s="109"/>
      <c r="JEE24" s="109"/>
      <c r="JEF24" s="109"/>
      <c r="JEG24" s="109"/>
      <c r="JEH24" s="109"/>
      <c r="JEI24" s="109"/>
      <c r="JEJ24" s="109"/>
      <c r="JEK24" s="109"/>
      <c r="JEL24" s="109"/>
      <c r="JEM24" s="109"/>
      <c r="JEN24" s="109"/>
      <c r="JEO24" s="109"/>
      <c r="JEP24" s="109"/>
      <c r="JEQ24" s="109"/>
      <c r="JER24" s="109"/>
      <c r="JES24" s="109"/>
      <c r="JET24" s="109"/>
      <c r="JEU24" s="109"/>
      <c r="JEV24" s="109"/>
      <c r="JEW24" s="109"/>
      <c r="JEX24" s="109"/>
      <c r="JEY24" s="109"/>
      <c r="JEZ24" s="109"/>
      <c r="JFA24" s="109"/>
      <c r="JFB24" s="109"/>
      <c r="JFC24" s="109"/>
      <c r="JFD24" s="109"/>
      <c r="JFE24" s="109"/>
      <c r="JFF24" s="109"/>
      <c r="JFG24" s="109"/>
      <c r="JFH24" s="109"/>
      <c r="JFI24" s="109"/>
      <c r="JFJ24" s="109"/>
      <c r="JFK24" s="109"/>
      <c r="JFL24" s="109"/>
      <c r="JFM24" s="109"/>
      <c r="JFN24" s="109"/>
      <c r="JFO24" s="109"/>
      <c r="JFP24" s="109"/>
      <c r="JFQ24" s="109"/>
      <c r="JFR24" s="109"/>
      <c r="JFS24" s="109"/>
      <c r="JFT24" s="109"/>
      <c r="JFU24" s="109"/>
      <c r="JFV24" s="109"/>
      <c r="JFW24" s="109"/>
      <c r="JFX24" s="109"/>
      <c r="JFY24" s="109"/>
      <c r="JFZ24" s="109"/>
      <c r="JGA24" s="109"/>
      <c r="JGB24" s="109"/>
      <c r="JGC24" s="109"/>
      <c r="JGD24" s="109"/>
      <c r="JGE24" s="109"/>
      <c r="JGF24" s="109"/>
      <c r="JGG24" s="109"/>
      <c r="JGH24" s="109"/>
      <c r="JGI24" s="109"/>
      <c r="JGJ24" s="109"/>
      <c r="JGK24" s="109"/>
      <c r="JGL24" s="109"/>
      <c r="JGM24" s="109"/>
      <c r="JGN24" s="109"/>
      <c r="JGO24" s="109"/>
      <c r="JGP24" s="109"/>
      <c r="JGQ24" s="109"/>
      <c r="JGR24" s="109"/>
      <c r="JGS24" s="109"/>
      <c r="JGT24" s="109"/>
      <c r="JGU24" s="109"/>
      <c r="JGV24" s="109"/>
      <c r="JGW24" s="109"/>
      <c r="JGX24" s="109"/>
      <c r="JGY24" s="109"/>
      <c r="JGZ24" s="109"/>
      <c r="JHA24" s="109"/>
      <c r="JHB24" s="109"/>
      <c r="JHC24" s="109"/>
      <c r="JHD24" s="109"/>
      <c r="JHE24" s="109"/>
      <c r="JHF24" s="109"/>
      <c r="JHG24" s="109"/>
      <c r="JHH24" s="109"/>
      <c r="JHI24" s="109"/>
      <c r="JHJ24" s="109"/>
      <c r="JHK24" s="109"/>
      <c r="JHL24" s="109"/>
      <c r="JHM24" s="109"/>
      <c r="JHN24" s="109"/>
      <c r="JHO24" s="109"/>
      <c r="JHP24" s="109"/>
      <c r="JHQ24" s="109"/>
      <c r="JHR24" s="109"/>
      <c r="JHS24" s="109"/>
      <c r="JHT24" s="109"/>
      <c r="JHU24" s="109"/>
      <c r="JHV24" s="109"/>
      <c r="JHW24" s="109"/>
      <c r="JHX24" s="109"/>
      <c r="JHY24" s="109"/>
      <c r="JHZ24" s="109"/>
      <c r="JIA24" s="109"/>
      <c r="JIB24" s="109"/>
      <c r="JIC24" s="109"/>
      <c r="JID24" s="109"/>
      <c r="JIE24" s="109"/>
      <c r="JIF24" s="109"/>
      <c r="JIG24" s="109"/>
      <c r="JIH24" s="109"/>
      <c r="JII24" s="109"/>
      <c r="JIJ24" s="109"/>
      <c r="JIK24" s="109"/>
      <c r="JIL24" s="109"/>
      <c r="JIM24" s="109"/>
      <c r="JIN24" s="109"/>
      <c r="JIO24" s="109"/>
      <c r="JIP24" s="109"/>
      <c r="JIQ24" s="109"/>
      <c r="JIR24" s="109"/>
      <c r="JIS24" s="109"/>
      <c r="JIT24" s="109"/>
      <c r="JIU24" s="109"/>
      <c r="JIV24" s="109"/>
      <c r="JIW24" s="109"/>
      <c r="JIX24" s="109"/>
      <c r="JIY24" s="109"/>
      <c r="JIZ24" s="109"/>
      <c r="JJA24" s="109"/>
      <c r="JJB24" s="109"/>
      <c r="JJC24" s="109"/>
      <c r="JJD24" s="109"/>
      <c r="JJE24" s="109"/>
      <c r="JJF24" s="109"/>
      <c r="JJG24" s="109"/>
      <c r="JJH24" s="109"/>
      <c r="JJI24" s="109"/>
      <c r="JJJ24" s="109"/>
      <c r="JJK24" s="109"/>
      <c r="JJL24" s="109"/>
      <c r="JJM24" s="109"/>
      <c r="JJN24" s="109"/>
      <c r="JJO24" s="109"/>
      <c r="JJP24" s="109"/>
      <c r="JJQ24" s="109"/>
      <c r="JJR24" s="109"/>
      <c r="JJS24" s="109"/>
      <c r="JJT24" s="109"/>
      <c r="JJU24" s="109"/>
      <c r="JJV24" s="109"/>
      <c r="JJW24" s="109"/>
      <c r="JJX24" s="109"/>
      <c r="JJY24" s="109"/>
      <c r="JJZ24" s="109"/>
      <c r="JKA24" s="109"/>
      <c r="JKB24" s="109"/>
      <c r="JKC24" s="109"/>
      <c r="JKD24" s="109"/>
      <c r="JKE24" s="109"/>
      <c r="JKF24" s="109"/>
      <c r="JKG24" s="109"/>
      <c r="JKH24" s="109"/>
      <c r="JKI24" s="109"/>
      <c r="JKJ24" s="109"/>
      <c r="JKK24" s="109"/>
      <c r="JKL24" s="109"/>
      <c r="JKM24" s="109"/>
      <c r="JKN24" s="109"/>
      <c r="JKO24" s="109"/>
      <c r="JKP24" s="109"/>
      <c r="JKQ24" s="109"/>
      <c r="JKR24" s="109"/>
      <c r="JKS24" s="109"/>
      <c r="JKT24" s="109"/>
      <c r="JKU24" s="109"/>
      <c r="JKV24" s="109"/>
      <c r="JKW24" s="109"/>
      <c r="JKX24" s="109"/>
      <c r="JKY24" s="109"/>
      <c r="JKZ24" s="109"/>
      <c r="JLA24" s="109"/>
      <c r="JLB24" s="109"/>
      <c r="JLC24" s="109"/>
      <c r="JLD24" s="109"/>
      <c r="JLE24" s="109"/>
      <c r="JLF24" s="109"/>
      <c r="JLG24" s="109"/>
      <c r="JLH24" s="109"/>
      <c r="JLI24" s="109"/>
      <c r="JLJ24" s="109"/>
      <c r="JLK24" s="109"/>
      <c r="JLL24" s="109"/>
      <c r="JLM24" s="109"/>
      <c r="JLN24" s="109"/>
      <c r="JLO24" s="109"/>
      <c r="JLP24" s="109"/>
      <c r="JLQ24" s="109"/>
      <c r="JLR24" s="109"/>
      <c r="JLS24" s="109"/>
      <c r="JLT24" s="109"/>
      <c r="JLU24" s="109"/>
      <c r="JLV24" s="109"/>
      <c r="JLW24" s="109"/>
      <c r="JLX24" s="109"/>
      <c r="JLY24" s="109"/>
      <c r="JLZ24" s="109"/>
      <c r="JMA24" s="109"/>
      <c r="JMB24" s="109"/>
      <c r="JMC24" s="109"/>
      <c r="JMD24" s="109"/>
      <c r="JME24" s="109"/>
      <c r="JMF24" s="109"/>
      <c r="JMG24" s="109"/>
      <c r="JMH24" s="109"/>
      <c r="JMI24" s="109"/>
      <c r="JMJ24" s="109"/>
      <c r="JMK24" s="109"/>
      <c r="JML24" s="109"/>
      <c r="JMM24" s="109"/>
      <c r="JMN24" s="109"/>
      <c r="JMO24" s="109"/>
      <c r="JMP24" s="109"/>
      <c r="JMQ24" s="109"/>
      <c r="JMR24" s="109"/>
      <c r="JMS24" s="109"/>
      <c r="JMT24" s="109"/>
      <c r="JMU24" s="109"/>
      <c r="JMV24" s="109"/>
      <c r="JMW24" s="109"/>
      <c r="JMX24" s="109"/>
      <c r="JMY24" s="109"/>
      <c r="JMZ24" s="109"/>
      <c r="JNA24" s="109"/>
      <c r="JNB24" s="109"/>
      <c r="JNC24" s="109"/>
      <c r="JND24" s="109"/>
      <c r="JNE24" s="109"/>
      <c r="JNF24" s="109"/>
      <c r="JNG24" s="109"/>
      <c r="JNH24" s="109"/>
      <c r="JNI24" s="109"/>
      <c r="JNJ24" s="109"/>
      <c r="JNK24" s="109"/>
      <c r="JNL24" s="109"/>
      <c r="JNM24" s="109"/>
      <c r="JNN24" s="109"/>
      <c r="JNO24" s="109"/>
      <c r="JNP24" s="109"/>
      <c r="JNQ24" s="109"/>
      <c r="JNR24" s="109"/>
      <c r="JNS24" s="109"/>
      <c r="JNT24" s="109"/>
      <c r="JNU24" s="109"/>
      <c r="JNV24" s="109"/>
      <c r="JNW24" s="109"/>
      <c r="JNX24" s="109"/>
      <c r="JNY24" s="109"/>
      <c r="JNZ24" s="109"/>
      <c r="JOA24" s="109"/>
      <c r="JOB24" s="109"/>
      <c r="JOC24" s="109"/>
      <c r="JOD24" s="109"/>
      <c r="JOE24" s="109"/>
      <c r="JOF24" s="109"/>
      <c r="JOG24" s="109"/>
      <c r="JOH24" s="109"/>
      <c r="JOI24" s="109"/>
      <c r="JOJ24" s="109"/>
      <c r="JOK24" s="109"/>
      <c r="JOL24" s="109"/>
      <c r="JOM24" s="109"/>
      <c r="JON24" s="109"/>
      <c r="JOO24" s="109"/>
      <c r="JOP24" s="109"/>
      <c r="JOQ24" s="109"/>
      <c r="JOR24" s="109"/>
      <c r="JOS24" s="109"/>
      <c r="JOT24" s="109"/>
      <c r="JOU24" s="109"/>
      <c r="JOV24" s="109"/>
      <c r="JOW24" s="109"/>
      <c r="JOX24" s="109"/>
      <c r="JOY24" s="109"/>
      <c r="JOZ24" s="109"/>
      <c r="JPA24" s="109"/>
      <c r="JPB24" s="109"/>
      <c r="JPC24" s="109"/>
      <c r="JPD24" s="109"/>
      <c r="JPE24" s="109"/>
      <c r="JPF24" s="109"/>
      <c r="JPG24" s="109"/>
      <c r="JPH24" s="109"/>
      <c r="JPI24" s="109"/>
      <c r="JPJ24" s="109"/>
      <c r="JPK24" s="109"/>
      <c r="JPL24" s="109"/>
      <c r="JPM24" s="109"/>
      <c r="JPN24" s="109"/>
      <c r="JPO24" s="109"/>
      <c r="JPP24" s="109"/>
      <c r="JPQ24" s="109"/>
      <c r="JPR24" s="109"/>
      <c r="JPS24" s="109"/>
      <c r="JPT24" s="109"/>
      <c r="JPU24" s="109"/>
      <c r="JPV24" s="109"/>
      <c r="JPW24" s="109"/>
      <c r="JPX24" s="109"/>
      <c r="JPY24" s="109"/>
      <c r="JPZ24" s="109"/>
      <c r="JQA24" s="109"/>
      <c r="JQB24" s="109"/>
      <c r="JQC24" s="109"/>
      <c r="JQD24" s="109"/>
      <c r="JQE24" s="109"/>
      <c r="JQF24" s="109"/>
      <c r="JQG24" s="109"/>
      <c r="JQH24" s="109"/>
      <c r="JQI24" s="109"/>
      <c r="JQJ24" s="109"/>
      <c r="JQK24" s="109"/>
      <c r="JQL24" s="109"/>
      <c r="JQM24" s="109"/>
      <c r="JQN24" s="109"/>
      <c r="JQO24" s="109"/>
      <c r="JQP24" s="109"/>
      <c r="JQQ24" s="109"/>
      <c r="JQR24" s="109"/>
      <c r="JQS24" s="109"/>
      <c r="JQT24" s="109"/>
      <c r="JQU24" s="109"/>
      <c r="JQV24" s="109"/>
      <c r="JQW24" s="109"/>
      <c r="JQX24" s="109"/>
      <c r="JQY24" s="109"/>
      <c r="JQZ24" s="109"/>
      <c r="JRA24" s="109"/>
      <c r="JRB24" s="109"/>
      <c r="JRC24" s="109"/>
      <c r="JRD24" s="109"/>
      <c r="JRE24" s="109"/>
      <c r="JRF24" s="109"/>
      <c r="JRG24" s="109"/>
      <c r="JRH24" s="109"/>
      <c r="JRI24" s="109"/>
      <c r="JRJ24" s="109"/>
      <c r="JRK24" s="109"/>
      <c r="JRL24" s="109"/>
      <c r="JRM24" s="109"/>
      <c r="JRN24" s="109"/>
      <c r="JRO24" s="109"/>
      <c r="JRP24" s="109"/>
      <c r="JRQ24" s="109"/>
      <c r="JRR24" s="109"/>
      <c r="JRS24" s="109"/>
      <c r="JRT24" s="109"/>
      <c r="JRU24" s="109"/>
      <c r="JRV24" s="109"/>
      <c r="JRW24" s="109"/>
      <c r="JRX24" s="109"/>
      <c r="JRY24" s="109"/>
      <c r="JRZ24" s="109"/>
      <c r="JSA24" s="109"/>
      <c r="JSB24" s="109"/>
      <c r="JSC24" s="109"/>
      <c r="JSD24" s="109"/>
      <c r="JSE24" s="109"/>
      <c r="JSF24" s="109"/>
      <c r="JSG24" s="109"/>
      <c r="JSH24" s="109"/>
      <c r="JSI24" s="109"/>
      <c r="JSJ24" s="109"/>
      <c r="JSK24" s="109"/>
      <c r="JSL24" s="109"/>
      <c r="JSM24" s="109"/>
      <c r="JSN24" s="109"/>
      <c r="JSO24" s="109"/>
      <c r="JSP24" s="109"/>
      <c r="JSQ24" s="109"/>
      <c r="JSR24" s="109"/>
      <c r="JSS24" s="109"/>
      <c r="JST24" s="109"/>
      <c r="JSU24" s="109"/>
      <c r="JSV24" s="109"/>
      <c r="JSW24" s="109"/>
      <c r="JSX24" s="109"/>
      <c r="JSY24" s="109"/>
      <c r="JSZ24" s="109"/>
      <c r="JTA24" s="109"/>
      <c r="JTB24" s="109"/>
      <c r="JTC24" s="109"/>
      <c r="JTD24" s="109"/>
      <c r="JTE24" s="109"/>
      <c r="JTF24" s="109"/>
      <c r="JTG24" s="109"/>
      <c r="JTH24" s="109"/>
      <c r="JTI24" s="109"/>
      <c r="JTJ24" s="109"/>
      <c r="JTK24" s="109"/>
      <c r="JTL24" s="109"/>
      <c r="JTM24" s="109"/>
      <c r="JTN24" s="109"/>
      <c r="JTO24" s="109"/>
      <c r="JTP24" s="109"/>
      <c r="JTQ24" s="109"/>
      <c r="JTR24" s="109"/>
      <c r="JTS24" s="109"/>
      <c r="JTT24" s="109"/>
      <c r="JTU24" s="109"/>
      <c r="JTV24" s="109"/>
      <c r="JTW24" s="109"/>
      <c r="JTX24" s="109"/>
      <c r="JTY24" s="109"/>
      <c r="JTZ24" s="109"/>
      <c r="JUA24" s="109"/>
      <c r="JUB24" s="109"/>
      <c r="JUC24" s="109"/>
      <c r="JUD24" s="109"/>
      <c r="JUE24" s="109"/>
      <c r="JUF24" s="109"/>
      <c r="JUG24" s="109"/>
      <c r="JUH24" s="109"/>
      <c r="JUI24" s="109"/>
      <c r="JUJ24" s="109"/>
      <c r="JUK24" s="109"/>
      <c r="JUL24" s="109"/>
      <c r="JUM24" s="109"/>
      <c r="JUN24" s="109"/>
      <c r="JUO24" s="109"/>
      <c r="JUP24" s="109"/>
      <c r="JUQ24" s="109"/>
      <c r="JUR24" s="109"/>
      <c r="JUS24" s="109"/>
      <c r="JUT24" s="109"/>
      <c r="JUU24" s="109"/>
      <c r="JUV24" s="109"/>
      <c r="JUW24" s="109"/>
      <c r="JUX24" s="109"/>
      <c r="JUY24" s="109"/>
      <c r="JUZ24" s="109"/>
      <c r="JVA24" s="109"/>
      <c r="JVB24" s="109"/>
      <c r="JVC24" s="109"/>
      <c r="JVD24" s="109"/>
      <c r="JVE24" s="109"/>
      <c r="JVF24" s="109"/>
      <c r="JVG24" s="109"/>
      <c r="JVH24" s="109"/>
      <c r="JVI24" s="109"/>
      <c r="JVJ24" s="109"/>
      <c r="JVK24" s="109"/>
      <c r="JVL24" s="109"/>
      <c r="JVM24" s="109"/>
      <c r="JVN24" s="109"/>
      <c r="JVO24" s="109"/>
      <c r="JVP24" s="109"/>
      <c r="JVQ24" s="109"/>
      <c r="JVR24" s="109"/>
      <c r="JVS24" s="109"/>
      <c r="JVT24" s="109"/>
      <c r="JVU24" s="109"/>
      <c r="JVV24" s="109"/>
      <c r="JVW24" s="109"/>
      <c r="JVX24" s="109"/>
      <c r="JVY24" s="109"/>
      <c r="JVZ24" s="109"/>
      <c r="JWA24" s="109"/>
      <c r="JWB24" s="109"/>
      <c r="JWC24" s="109"/>
      <c r="JWD24" s="109"/>
      <c r="JWE24" s="109"/>
      <c r="JWF24" s="109"/>
      <c r="JWG24" s="109"/>
      <c r="JWH24" s="109"/>
      <c r="JWI24" s="109"/>
      <c r="JWJ24" s="109"/>
      <c r="JWK24" s="109"/>
      <c r="JWL24" s="109"/>
      <c r="JWM24" s="109"/>
      <c r="JWN24" s="109"/>
      <c r="JWO24" s="109"/>
      <c r="JWP24" s="109"/>
      <c r="JWQ24" s="109"/>
      <c r="JWR24" s="109"/>
      <c r="JWS24" s="109"/>
      <c r="JWT24" s="109"/>
      <c r="JWU24" s="109"/>
      <c r="JWV24" s="109"/>
      <c r="JWW24" s="109"/>
      <c r="JWX24" s="109"/>
      <c r="JWY24" s="109"/>
      <c r="JWZ24" s="109"/>
      <c r="JXA24" s="109"/>
      <c r="JXB24" s="109"/>
      <c r="JXC24" s="109"/>
      <c r="JXD24" s="109"/>
      <c r="JXE24" s="109"/>
      <c r="JXF24" s="109"/>
      <c r="JXG24" s="109"/>
      <c r="JXH24" s="109"/>
      <c r="JXI24" s="109"/>
      <c r="JXJ24" s="109"/>
      <c r="JXK24" s="109"/>
      <c r="JXL24" s="109"/>
      <c r="JXM24" s="109"/>
      <c r="JXN24" s="109"/>
      <c r="JXO24" s="109"/>
      <c r="JXP24" s="109"/>
      <c r="JXQ24" s="109"/>
      <c r="JXR24" s="109"/>
      <c r="JXS24" s="109"/>
      <c r="JXT24" s="109"/>
      <c r="JXU24" s="109"/>
      <c r="JXV24" s="109"/>
      <c r="JXW24" s="109"/>
      <c r="JXX24" s="109"/>
      <c r="JXY24" s="109"/>
      <c r="JXZ24" s="109"/>
      <c r="JYA24" s="109"/>
      <c r="JYB24" s="109"/>
      <c r="JYC24" s="109"/>
      <c r="JYD24" s="109"/>
      <c r="JYE24" s="109"/>
      <c r="JYF24" s="109"/>
      <c r="JYG24" s="109"/>
      <c r="JYH24" s="109"/>
      <c r="JYI24" s="109"/>
      <c r="JYJ24" s="109"/>
      <c r="JYK24" s="109"/>
      <c r="JYL24" s="109"/>
      <c r="JYM24" s="109"/>
      <c r="JYN24" s="109"/>
      <c r="JYO24" s="109"/>
      <c r="JYP24" s="109"/>
      <c r="JYQ24" s="109"/>
      <c r="JYR24" s="109"/>
      <c r="JYS24" s="109"/>
      <c r="JYT24" s="109"/>
      <c r="JYU24" s="109"/>
      <c r="JYV24" s="109"/>
      <c r="JYW24" s="109"/>
      <c r="JYX24" s="109"/>
      <c r="JYY24" s="109"/>
      <c r="JYZ24" s="109"/>
      <c r="JZA24" s="109"/>
      <c r="JZB24" s="109"/>
      <c r="JZC24" s="109"/>
      <c r="JZD24" s="109"/>
      <c r="JZE24" s="109"/>
      <c r="JZF24" s="109"/>
      <c r="JZG24" s="109"/>
      <c r="JZH24" s="109"/>
      <c r="JZI24" s="109"/>
      <c r="JZJ24" s="109"/>
      <c r="JZK24" s="109"/>
      <c r="JZL24" s="109"/>
      <c r="JZM24" s="109"/>
      <c r="JZN24" s="109"/>
      <c r="JZO24" s="109"/>
      <c r="JZP24" s="109"/>
      <c r="JZQ24" s="109"/>
      <c r="JZR24" s="109"/>
      <c r="JZS24" s="109"/>
      <c r="JZT24" s="109"/>
      <c r="JZU24" s="109"/>
      <c r="JZV24" s="109"/>
      <c r="JZW24" s="109"/>
      <c r="JZX24" s="109"/>
      <c r="JZY24" s="109"/>
      <c r="JZZ24" s="109"/>
      <c r="KAA24" s="109"/>
      <c r="KAB24" s="109"/>
      <c r="KAC24" s="109"/>
      <c r="KAD24" s="109"/>
      <c r="KAE24" s="109"/>
      <c r="KAF24" s="109"/>
      <c r="KAG24" s="109"/>
      <c r="KAH24" s="109"/>
      <c r="KAI24" s="109"/>
      <c r="KAJ24" s="109"/>
      <c r="KAK24" s="109"/>
      <c r="KAL24" s="109"/>
      <c r="KAM24" s="109"/>
      <c r="KAN24" s="109"/>
      <c r="KAO24" s="109"/>
      <c r="KAP24" s="109"/>
      <c r="KAQ24" s="109"/>
      <c r="KAR24" s="109"/>
      <c r="KAS24" s="109"/>
      <c r="KAT24" s="109"/>
      <c r="KAU24" s="109"/>
      <c r="KAV24" s="109"/>
      <c r="KAW24" s="109"/>
      <c r="KAX24" s="109"/>
      <c r="KAY24" s="109"/>
      <c r="KAZ24" s="109"/>
      <c r="KBA24" s="109"/>
      <c r="KBB24" s="109"/>
      <c r="KBC24" s="109"/>
      <c r="KBD24" s="109"/>
      <c r="KBE24" s="109"/>
      <c r="KBF24" s="109"/>
      <c r="KBG24" s="109"/>
      <c r="KBH24" s="109"/>
      <c r="KBI24" s="109"/>
      <c r="KBJ24" s="109"/>
      <c r="KBK24" s="109"/>
      <c r="KBL24" s="109"/>
      <c r="KBM24" s="109"/>
      <c r="KBN24" s="109"/>
      <c r="KBO24" s="109"/>
      <c r="KBP24" s="109"/>
      <c r="KBQ24" s="109"/>
      <c r="KBR24" s="109"/>
      <c r="KBS24" s="109"/>
      <c r="KBT24" s="109"/>
      <c r="KBU24" s="109"/>
      <c r="KBV24" s="109"/>
      <c r="KBW24" s="109"/>
      <c r="KBX24" s="109"/>
      <c r="KBY24" s="109"/>
      <c r="KBZ24" s="109"/>
      <c r="KCA24" s="109"/>
      <c r="KCB24" s="109"/>
      <c r="KCC24" s="109"/>
      <c r="KCD24" s="109"/>
      <c r="KCE24" s="109"/>
      <c r="KCF24" s="109"/>
      <c r="KCG24" s="109"/>
      <c r="KCH24" s="109"/>
      <c r="KCI24" s="109"/>
      <c r="KCJ24" s="109"/>
      <c r="KCK24" s="109"/>
      <c r="KCL24" s="109"/>
      <c r="KCM24" s="109"/>
      <c r="KCN24" s="109"/>
      <c r="KCO24" s="109"/>
      <c r="KCP24" s="109"/>
      <c r="KCQ24" s="109"/>
      <c r="KCR24" s="109"/>
      <c r="KCS24" s="109"/>
      <c r="KCT24" s="109"/>
      <c r="KCU24" s="109"/>
      <c r="KCV24" s="109"/>
      <c r="KCW24" s="109"/>
      <c r="KCX24" s="109"/>
      <c r="KCY24" s="109"/>
      <c r="KCZ24" s="109"/>
      <c r="KDA24" s="109"/>
      <c r="KDB24" s="109"/>
      <c r="KDC24" s="109"/>
      <c r="KDD24" s="109"/>
      <c r="KDE24" s="109"/>
      <c r="KDF24" s="109"/>
      <c r="KDG24" s="109"/>
      <c r="KDH24" s="109"/>
      <c r="KDI24" s="109"/>
      <c r="KDJ24" s="109"/>
      <c r="KDK24" s="109"/>
      <c r="KDL24" s="109"/>
      <c r="KDM24" s="109"/>
      <c r="KDN24" s="109"/>
      <c r="KDO24" s="109"/>
      <c r="KDP24" s="109"/>
      <c r="KDQ24" s="109"/>
      <c r="KDR24" s="109"/>
      <c r="KDS24" s="109"/>
      <c r="KDT24" s="109"/>
      <c r="KDU24" s="109"/>
      <c r="KDV24" s="109"/>
      <c r="KDW24" s="109"/>
      <c r="KDX24" s="109"/>
      <c r="KDY24" s="109"/>
      <c r="KDZ24" s="109"/>
      <c r="KEA24" s="109"/>
      <c r="KEB24" s="109"/>
      <c r="KEC24" s="109"/>
      <c r="KED24" s="109"/>
      <c r="KEE24" s="109"/>
      <c r="KEF24" s="109"/>
      <c r="KEG24" s="109"/>
      <c r="KEH24" s="109"/>
      <c r="KEI24" s="109"/>
      <c r="KEJ24" s="109"/>
      <c r="KEK24" s="109"/>
      <c r="KEL24" s="109"/>
      <c r="KEM24" s="109"/>
      <c r="KEN24" s="109"/>
      <c r="KEO24" s="109"/>
      <c r="KEP24" s="109"/>
      <c r="KEQ24" s="109"/>
      <c r="KER24" s="109"/>
      <c r="KES24" s="109"/>
      <c r="KET24" s="109"/>
      <c r="KEU24" s="109"/>
      <c r="KEV24" s="109"/>
      <c r="KEW24" s="109"/>
      <c r="KEX24" s="109"/>
      <c r="KEY24" s="109"/>
      <c r="KEZ24" s="109"/>
      <c r="KFA24" s="109"/>
      <c r="KFB24" s="109"/>
      <c r="KFC24" s="109"/>
      <c r="KFD24" s="109"/>
      <c r="KFE24" s="109"/>
      <c r="KFF24" s="109"/>
      <c r="KFG24" s="109"/>
      <c r="KFH24" s="109"/>
      <c r="KFI24" s="109"/>
      <c r="KFJ24" s="109"/>
      <c r="KFK24" s="109"/>
      <c r="KFL24" s="109"/>
      <c r="KFM24" s="109"/>
      <c r="KFN24" s="109"/>
      <c r="KFO24" s="109"/>
      <c r="KFP24" s="109"/>
      <c r="KFQ24" s="109"/>
      <c r="KFR24" s="109"/>
      <c r="KFS24" s="109"/>
      <c r="KFT24" s="109"/>
      <c r="KFU24" s="109"/>
      <c r="KFV24" s="109"/>
      <c r="KFW24" s="109"/>
      <c r="KFX24" s="109"/>
      <c r="KFY24" s="109"/>
      <c r="KFZ24" s="109"/>
      <c r="KGA24" s="109"/>
      <c r="KGB24" s="109"/>
      <c r="KGC24" s="109"/>
      <c r="KGD24" s="109"/>
      <c r="KGE24" s="109"/>
      <c r="KGF24" s="109"/>
      <c r="KGG24" s="109"/>
      <c r="KGH24" s="109"/>
      <c r="KGI24" s="109"/>
      <c r="KGJ24" s="109"/>
      <c r="KGK24" s="109"/>
      <c r="KGL24" s="109"/>
      <c r="KGM24" s="109"/>
      <c r="KGN24" s="109"/>
      <c r="KGO24" s="109"/>
      <c r="KGP24" s="109"/>
      <c r="KGQ24" s="109"/>
      <c r="KGR24" s="109"/>
      <c r="KGS24" s="109"/>
      <c r="KGT24" s="109"/>
      <c r="KGU24" s="109"/>
      <c r="KGV24" s="109"/>
      <c r="KGW24" s="109"/>
      <c r="KGX24" s="109"/>
      <c r="KGY24" s="109"/>
      <c r="KGZ24" s="109"/>
      <c r="KHA24" s="109"/>
      <c r="KHB24" s="109"/>
      <c r="KHC24" s="109"/>
      <c r="KHD24" s="109"/>
      <c r="KHE24" s="109"/>
      <c r="KHF24" s="109"/>
      <c r="KHG24" s="109"/>
      <c r="KHH24" s="109"/>
      <c r="KHI24" s="109"/>
      <c r="KHJ24" s="109"/>
      <c r="KHK24" s="109"/>
      <c r="KHL24" s="109"/>
      <c r="KHM24" s="109"/>
      <c r="KHN24" s="109"/>
      <c r="KHO24" s="109"/>
      <c r="KHP24" s="109"/>
      <c r="KHQ24" s="109"/>
      <c r="KHR24" s="109"/>
      <c r="KHS24" s="109"/>
      <c r="KHT24" s="109"/>
      <c r="KHU24" s="109"/>
      <c r="KHV24" s="109"/>
      <c r="KHW24" s="109"/>
      <c r="KHX24" s="109"/>
      <c r="KHY24" s="109"/>
      <c r="KHZ24" s="109"/>
      <c r="KIA24" s="109"/>
      <c r="KIB24" s="109"/>
      <c r="KIC24" s="109"/>
      <c r="KID24" s="109"/>
      <c r="KIE24" s="109"/>
      <c r="KIF24" s="109"/>
      <c r="KIG24" s="109"/>
      <c r="KIH24" s="109"/>
      <c r="KII24" s="109"/>
      <c r="KIJ24" s="109"/>
      <c r="KIK24" s="109"/>
      <c r="KIL24" s="109"/>
      <c r="KIM24" s="109"/>
      <c r="KIN24" s="109"/>
      <c r="KIO24" s="109"/>
      <c r="KIP24" s="109"/>
      <c r="KIQ24" s="109"/>
      <c r="KIR24" s="109"/>
      <c r="KIS24" s="109"/>
      <c r="KIT24" s="109"/>
      <c r="KIU24" s="109"/>
      <c r="KIV24" s="109"/>
      <c r="KIW24" s="109"/>
      <c r="KIX24" s="109"/>
      <c r="KIY24" s="109"/>
      <c r="KIZ24" s="109"/>
      <c r="KJA24" s="109"/>
      <c r="KJB24" s="109"/>
      <c r="KJC24" s="109"/>
      <c r="KJD24" s="109"/>
      <c r="KJE24" s="109"/>
      <c r="KJF24" s="109"/>
      <c r="KJG24" s="109"/>
      <c r="KJH24" s="109"/>
      <c r="KJI24" s="109"/>
      <c r="KJJ24" s="109"/>
      <c r="KJK24" s="109"/>
      <c r="KJL24" s="109"/>
      <c r="KJM24" s="109"/>
      <c r="KJN24" s="109"/>
      <c r="KJO24" s="109"/>
      <c r="KJP24" s="109"/>
      <c r="KJQ24" s="109"/>
      <c r="KJR24" s="109"/>
      <c r="KJS24" s="109"/>
      <c r="KJT24" s="109"/>
      <c r="KJU24" s="109"/>
      <c r="KJV24" s="109"/>
      <c r="KJW24" s="109"/>
      <c r="KJX24" s="109"/>
      <c r="KJY24" s="109"/>
      <c r="KJZ24" s="109"/>
      <c r="KKA24" s="109"/>
      <c r="KKB24" s="109"/>
      <c r="KKC24" s="109"/>
      <c r="KKD24" s="109"/>
      <c r="KKE24" s="109"/>
      <c r="KKF24" s="109"/>
      <c r="KKG24" s="109"/>
      <c r="KKH24" s="109"/>
      <c r="KKI24" s="109"/>
      <c r="KKJ24" s="109"/>
      <c r="KKK24" s="109"/>
      <c r="KKL24" s="109"/>
      <c r="KKM24" s="109"/>
      <c r="KKN24" s="109"/>
      <c r="KKO24" s="109"/>
      <c r="KKP24" s="109"/>
      <c r="KKQ24" s="109"/>
      <c r="KKR24" s="109"/>
      <c r="KKS24" s="109"/>
      <c r="KKT24" s="109"/>
      <c r="KKU24" s="109"/>
      <c r="KKV24" s="109"/>
      <c r="KKW24" s="109"/>
      <c r="KKX24" s="109"/>
      <c r="KKY24" s="109"/>
      <c r="KKZ24" s="109"/>
      <c r="KLA24" s="109"/>
      <c r="KLB24" s="109"/>
      <c r="KLC24" s="109"/>
      <c r="KLD24" s="109"/>
      <c r="KLE24" s="109"/>
      <c r="KLF24" s="109"/>
      <c r="KLG24" s="109"/>
      <c r="KLH24" s="109"/>
      <c r="KLI24" s="109"/>
      <c r="KLJ24" s="109"/>
      <c r="KLK24" s="109"/>
      <c r="KLL24" s="109"/>
      <c r="KLM24" s="109"/>
      <c r="KLN24" s="109"/>
      <c r="KLO24" s="109"/>
      <c r="KLP24" s="109"/>
      <c r="KLQ24" s="109"/>
      <c r="KLR24" s="109"/>
      <c r="KLS24" s="109"/>
      <c r="KLT24" s="109"/>
      <c r="KLU24" s="109"/>
      <c r="KLV24" s="109"/>
      <c r="KLW24" s="109"/>
      <c r="KLX24" s="109"/>
      <c r="KLY24" s="109"/>
      <c r="KLZ24" s="109"/>
      <c r="KMA24" s="109"/>
      <c r="KMB24" s="109"/>
      <c r="KMC24" s="109"/>
      <c r="KMD24" s="109"/>
      <c r="KME24" s="109"/>
      <c r="KMF24" s="109"/>
      <c r="KMG24" s="109"/>
      <c r="KMH24" s="109"/>
      <c r="KMI24" s="109"/>
      <c r="KMJ24" s="109"/>
      <c r="KMK24" s="109"/>
      <c r="KML24" s="109"/>
      <c r="KMM24" s="109"/>
      <c r="KMN24" s="109"/>
      <c r="KMO24" s="109"/>
      <c r="KMP24" s="109"/>
      <c r="KMQ24" s="109"/>
      <c r="KMR24" s="109"/>
      <c r="KMS24" s="109"/>
      <c r="KMT24" s="109"/>
      <c r="KMU24" s="109"/>
      <c r="KMV24" s="109"/>
      <c r="KMW24" s="109"/>
      <c r="KMX24" s="109"/>
      <c r="KMY24" s="109"/>
      <c r="KMZ24" s="109"/>
      <c r="KNA24" s="109"/>
      <c r="KNB24" s="109"/>
      <c r="KNC24" s="109"/>
      <c r="KND24" s="109"/>
      <c r="KNE24" s="109"/>
      <c r="KNF24" s="109"/>
      <c r="KNG24" s="109"/>
      <c r="KNH24" s="109"/>
      <c r="KNI24" s="109"/>
      <c r="KNJ24" s="109"/>
      <c r="KNK24" s="109"/>
      <c r="KNL24" s="109"/>
      <c r="KNM24" s="109"/>
      <c r="KNN24" s="109"/>
      <c r="KNO24" s="109"/>
      <c r="KNP24" s="109"/>
      <c r="KNQ24" s="109"/>
      <c r="KNR24" s="109"/>
      <c r="KNS24" s="109"/>
      <c r="KNT24" s="109"/>
      <c r="KNU24" s="109"/>
      <c r="KNV24" s="109"/>
      <c r="KNW24" s="109"/>
      <c r="KNX24" s="109"/>
      <c r="KNY24" s="109"/>
      <c r="KNZ24" s="109"/>
      <c r="KOA24" s="109"/>
      <c r="KOB24" s="109"/>
      <c r="KOC24" s="109"/>
      <c r="KOD24" s="109"/>
      <c r="KOE24" s="109"/>
      <c r="KOF24" s="109"/>
      <c r="KOG24" s="109"/>
      <c r="KOH24" s="109"/>
      <c r="KOI24" s="109"/>
      <c r="KOJ24" s="109"/>
      <c r="KOK24" s="109"/>
      <c r="KOL24" s="109"/>
      <c r="KOM24" s="109"/>
      <c r="KON24" s="109"/>
      <c r="KOO24" s="109"/>
      <c r="KOP24" s="109"/>
      <c r="KOQ24" s="109"/>
      <c r="KOR24" s="109"/>
      <c r="KOS24" s="109"/>
      <c r="KOT24" s="109"/>
      <c r="KOU24" s="109"/>
      <c r="KOV24" s="109"/>
      <c r="KOW24" s="109"/>
      <c r="KOX24" s="109"/>
      <c r="KOY24" s="109"/>
      <c r="KOZ24" s="109"/>
      <c r="KPA24" s="109"/>
      <c r="KPB24" s="109"/>
      <c r="KPC24" s="109"/>
      <c r="KPD24" s="109"/>
      <c r="KPE24" s="109"/>
      <c r="KPF24" s="109"/>
      <c r="KPG24" s="109"/>
      <c r="KPH24" s="109"/>
      <c r="KPI24" s="109"/>
      <c r="KPJ24" s="109"/>
      <c r="KPK24" s="109"/>
      <c r="KPL24" s="109"/>
      <c r="KPM24" s="109"/>
      <c r="KPN24" s="109"/>
      <c r="KPO24" s="109"/>
      <c r="KPP24" s="109"/>
      <c r="KPQ24" s="109"/>
      <c r="KPR24" s="109"/>
      <c r="KPS24" s="109"/>
      <c r="KPT24" s="109"/>
      <c r="KPU24" s="109"/>
      <c r="KPV24" s="109"/>
      <c r="KPW24" s="109"/>
      <c r="KPX24" s="109"/>
      <c r="KPY24" s="109"/>
      <c r="KPZ24" s="109"/>
      <c r="KQA24" s="109"/>
      <c r="KQB24" s="109"/>
      <c r="KQC24" s="109"/>
      <c r="KQD24" s="109"/>
      <c r="KQE24" s="109"/>
      <c r="KQF24" s="109"/>
      <c r="KQG24" s="109"/>
      <c r="KQH24" s="109"/>
      <c r="KQI24" s="109"/>
      <c r="KQJ24" s="109"/>
      <c r="KQK24" s="109"/>
      <c r="KQL24" s="109"/>
      <c r="KQM24" s="109"/>
      <c r="KQN24" s="109"/>
      <c r="KQO24" s="109"/>
      <c r="KQP24" s="109"/>
      <c r="KQQ24" s="109"/>
      <c r="KQR24" s="109"/>
      <c r="KQS24" s="109"/>
      <c r="KQT24" s="109"/>
      <c r="KQU24" s="109"/>
      <c r="KQV24" s="109"/>
      <c r="KQW24" s="109"/>
      <c r="KQX24" s="109"/>
      <c r="KQY24" s="109"/>
      <c r="KQZ24" s="109"/>
      <c r="KRA24" s="109"/>
      <c r="KRB24" s="109"/>
      <c r="KRC24" s="109"/>
      <c r="KRD24" s="109"/>
      <c r="KRE24" s="109"/>
      <c r="KRF24" s="109"/>
      <c r="KRG24" s="109"/>
      <c r="KRH24" s="109"/>
      <c r="KRI24" s="109"/>
      <c r="KRJ24" s="109"/>
      <c r="KRK24" s="109"/>
      <c r="KRL24" s="109"/>
      <c r="KRM24" s="109"/>
      <c r="KRN24" s="109"/>
      <c r="KRO24" s="109"/>
      <c r="KRP24" s="109"/>
      <c r="KRQ24" s="109"/>
      <c r="KRR24" s="109"/>
      <c r="KRS24" s="109"/>
      <c r="KRT24" s="109"/>
      <c r="KRU24" s="109"/>
      <c r="KRV24" s="109"/>
      <c r="KRW24" s="109"/>
      <c r="KRX24" s="109"/>
      <c r="KRY24" s="109"/>
      <c r="KRZ24" s="109"/>
      <c r="KSA24" s="109"/>
      <c r="KSB24" s="109"/>
      <c r="KSC24" s="109"/>
      <c r="KSD24" s="109"/>
      <c r="KSE24" s="109"/>
      <c r="KSF24" s="109"/>
      <c r="KSG24" s="109"/>
      <c r="KSH24" s="109"/>
      <c r="KSI24" s="109"/>
      <c r="KSJ24" s="109"/>
      <c r="KSK24" s="109"/>
      <c r="KSL24" s="109"/>
      <c r="KSM24" s="109"/>
      <c r="KSN24" s="109"/>
      <c r="KSO24" s="109"/>
      <c r="KSP24" s="109"/>
      <c r="KSQ24" s="109"/>
      <c r="KSR24" s="109"/>
      <c r="KSS24" s="109"/>
      <c r="KST24" s="109"/>
      <c r="KSU24" s="109"/>
      <c r="KSV24" s="109"/>
      <c r="KSW24" s="109"/>
      <c r="KSX24" s="109"/>
      <c r="KSY24" s="109"/>
      <c r="KSZ24" s="109"/>
      <c r="KTA24" s="109"/>
      <c r="KTB24" s="109"/>
      <c r="KTC24" s="109"/>
      <c r="KTD24" s="109"/>
      <c r="KTE24" s="109"/>
      <c r="KTF24" s="109"/>
      <c r="KTG24" s="109"/>
      <c r="KTH24" s="109"/>
      <c r="KTI24" s="109"/>
      <c r="KTJ24" s="109"/>
      <c r="KTK24" s="109"/>
      <c r="KTL24" s="109"/>
      <c r="KTM24" s="109"/>
      <c r="KTN24" s="109"/>
      <c r="KTO24" s="109"/>
      <c r="KTP24" s="109"/>
      <c r="KTQ24" s="109"/>
      <c r="KTR24" s="109"/>
      <c r="KTS24" s="109"/>
      <c r="KTT24" s="109"/>
      <c r="KTU24" s="109"/>
      <c r="KTV24" s="109"/>
      <c r="KTW24" s="109"/>
      <c r="KTX24" s="109"/>
      <c r="KTY24" s="109"/>
      <c r="KTZ24" s="109"/>
      <c r="KUA24" s="109"/>
      <c r="KUB24" s="109"/>
      <c r="KUC24" s="109"/>
      <c r="KUD24" s="109"/>
      <c r="KUE24" s="109"/>
      <c r="KUF24" s="109"/>
      <c r="KUG24" s="109"/>
      <c r="KUH24" s="109"/>
      <c r="KUI24" s="109"/>
      <c r="KUJ24" s="109"/>
      <c r="KUK24" s="109"/>
      <c r="KUL24" s="109"/>
      <c r="KUM24" s="109"/>
      <c r="KUN24" s="109"/>
      <c r="KUO24" s="109"/>
      <c r="KUP24" s="109"/>
      <c r="KUQ24" s="109"/>
      <c r="KUR24" s="109"/>
      <c r="KUS24" s="109"/>
      <c r="KUT24" s="109"/>
      <c r="KUU24" s="109"/>
      <c r="KUV24" s="109"/>
      <c r="KUW24" s="109"/>
      <c r="KUX24" s="109"/>
      <c r="KUY24" s="109"/>
      <c r="KUZ24" s="109"/>
      <c r="KVA24" s="109"/>
      <c r="KVB24" s="109"/>
      <c r="KVC24" s="109"/>
      <c r="KVD24" s="109"/>
      <c r="KVE24" s="109"/>
      <c r="KVF24" s="109"/>
      <c r="KVG24" s="109"/>
      <c r="KVH24" s="109"/>
      <c r="KVI24" s="109"/>
      <c r="KVJ24" s="109"/>
      <c r="KVK24" s="109"/>
      <c r="KVL24" s="109"/>
      <c r="KVM24" s="109"/>
      <c r="KVN24" s="109"/>
      <c r="KVO24" s="109"/>
      <c r="KVP24" s="109"/>
      <c r="KVQ24" s="109"/>
      <c r="KVR24" s="109"/>
      <c r="KVS24" s="109"/>
      <c r="KVT24" s="109"/>
      <c r="KVU24" s="109"/>
      <c r="KVV24" s="109"/>
      <c r="KVW24" s="109"/>
      <c r="KVX24" s="109"/>
      <c r="KVY24" s="109"/>
      <c r="KVZ24" s="109"/>
      <c r="KWA24" s="109"/>
      <c r="KWB24" s="109"/>
      <c r="KWC24" s="109"/>
      <c r="KWD24" s="109"/>
      <c r="KWE24" s="109"/>
      <c r="KWF24" s="109"/>
      <c r="KWG24" s="109"/>
      <c r="KWH24" s="109"/>
      <c r="KWI24" s="109"/>
      <c r="KWJ24" s="109"/>
      <c r="KWK24" s="109"/>
      <c r="KWL24" s="109"/>
      <c r="KWM24" s="109"/>
      <c r="KWN24" s="109"/>
      <c r="KWO24" s="109"/>
      <c r="KWP24" s="109"/>
      <c r="KWQ24" s="109"/>
      <c r="KWR24" s="109"/>
      <c r="KWS24" s="109"/>
      <c r="KWT24" s="109"/>
      <c r="KWU24" s="109"/>
      <c r="KWV24" s="109"/>
      <c r="KWW24" s="109"/>
      <c r="KWX24" s="109"/>
      <c r="KWY24" s="109"/>
      <c r="KWZ24" s="109"/>
      <c r="KXA24" s="109"/>
      <c r="KXB24" s="109"/>
      <c r="KXC24" s="109"/>
      <c r="KXD24" s="109"/>
      <c r="KXE24" s="109"/>
      <c r="KXF24" s="109"/>
      <c r="KXG24" s="109"/>
      <c r="KXH24" s="109"/>
      <c r="KXI24" s="109"/>
      <c r="KXJ24" s="109"/>
      <c r="KXK24" s="109"/>
      <c r="KXL24" s="109"/>
      <c r="KXM24" s="109"/>
      <c r="KXN24" s="109"/>
      <c r="KXO24" s="109"/>
      <c r="KXP24" s="109"/>
      <c r="KXQ24" s="109"/>
      <c r="KXR24" s="109"/>
      <c r="KXS24" s="109"/>
      <c r="KXT24" s="109"/>
      <c r="KXU24" s="109"/>
      <c r="KXV24" s="109"/>
      <c r="KXW24" s="109"/>
      <c r="KXX24" s="109"/>
      <c r="KXY24" s="109"/>
      <c r="KXZ24" s="109"/>
      <c r="KYA24" s="109"/>
      <c r="KYB24" s="109"/>
      <c r="KYC24" s="109"/>
      <c r="KYD24" s="109"/>
      <c r="KYE24" s="109"/>
      <c r="KYF24" s="109"/>
      <c r="KYG24" s="109"/>
      <c r="KYH24" s="109"/>
      <c r="KYI24" s="109"/>
      <c r="KYJ24" s="109"/>
      <c r="KYK24" s="109"/>
      <c r="KYL24" s="109"/>
      <c r="KYM24" s="109"/>
      <c r="KYN24" s="109"/>
      <c r="KYO24" s="109"/>
      <c r="KYP24" s="109"/>
      <c r="KYQ24" s="109"/>
      <c r="KYR24" s="109"/>
      <c r="KYS24" s="109"/>
      <c r="KYT24" s="109"/>
      <c r="KYU24" s="109"/>
      <c r="KYV24" s="109"/>
      <c r="KYW24" s="109"/>
      <c r="KYX24" s="109"/>
      <c r="KYY24" s="109"/>
      <c r="KYZ24" s="109"/>
      <c r="KZA24" s="109"/>
      <c r="KZB24" s="109"/>
      <c r="KZC24" s="109"/>
      <c r="KZD24" s="109"/>
      <c r="KZE24" s="109"/>
      <c r="KZF24" s="109"/>
      <c r="KZG24" s="109"/>
      <c r="KZH24" s="109"/>
      <c r="KZI24" s="109"/>
      <c r="KZJ24" s="109"/>
      <c r="KZK24" s="109"/>
      <c r="KZL24" s="109"/>
      <c r="KZM24" s="109"/>
      <c r="KZN24" s="109"/>
      <c r="KZO24" s="109"/>
      <c r="KZP24" s="109"/>
      <c r="KZQ24" s="109"/>
      <c r="KZR24" s="109"/>
      <c r="KZS24" s="109"/>
      <c r="KZT24" s="109"/>
      <c r="KZU24" s="109"/>
      <c r="KZV24" s="109"/>
      <c r="KZW24" s="109"/>
      <c r="KZX24" s="109"/>
      <c r="KZY24" s="109"/>
      <c r="KZZ24" s="109"/>
      <c r="LAA24" s="109"/>
      <c r="LAB24" s="109"/>
      <c r="LAC24" s="109"/>
      <c r="LAD24" s="109"/>
      <c r="LAE24" s="109"/>
      <c r="LAF24" s="109"/>
      <c r="LAG24" s="109"/>
      <c r="LAH24" s="109"/>
      <c r="LAI24" s="109"/>
      <c r="LAJ24" s="109"/>
      <c r="LAK24" s="109"/>
      <c r="LAL24" s="109"/>
      <c r="LAM24" s="109"/>
      <c r="LAN24" s="109"/>
      <c r="LAO24" s="109"/>
      <c r="LAP24" s="109"/>
      <c r="LAQ24" s="109"/>
      <c r="LAR24" s="109"/>
      <c r="LAS24" s="109"/>
      <c r="LAT24" s="109"/>
      <c r="LAU24" s="109"/>
      <c r="LAV24" s="109"/>
      <c r="LAW24" s="109"/>
      <c r="LAX24" s="109"/>
      <c r="LAY24" s="109"/>
      <c r="LAZ24" s="109"/>
      <c r="LBA24" s="109"/>
      <c r="LBB24" s="109"/>
      <c r="LBC24" s="109"/>
      <c r="LBD24" s="109"/>
      <c r="LBE24" s="109"/>
      <c r="LBF24" s="109"/>
      <c r="LBG24" s="109"/>
      <c r="LBH24" s="109"/>
      <c r="LBI24" s="109"/>
      <c r="LBJ24" s="109"/>
      <c r="LBK24" s="109"/>
      <c r="LBL24" s="109"/>
      <c r="LBM24" s="109"/>
      <c r="LBN24" s="109"/>
      <c r="LBO24" s="109"/>
      <c r="LBP24" s="109"/>
      <c r="LBQ24" s="109"/>
      <c r="LBR24" s="109"/>
      <c r="LBS24" s="109"/>
      <c r="LBT24" s="109"/>
      <c r="LBU24" s="109"/>
      <c r="LBV24" s="109"/>
      <c r="LBW24" s="109"/>
      <c r="LBX24" s="109"/>
      <c r="LBY24" s="109"/>
      <c r="LBZ24" s="109"/>
      <c r="LCA24" s="109"/>
      <c r="LCB24" s="109"/>
      <c r="LCC24" s="109"/>
      <c r="LCD24" s="109"/>
      <c r="LCE24" s="109"/>
      <c r="LCF24" s="109"/>
      <c r="LCG24" s="109"/>
      <c r="LCH24" s="109"/>
      <c r="LCI24" s="109"/>
      <c r="LCJ24" s="109"/>
      <c r="LCK24" s="109"/>
      <c r="LCL24" s="109"/>
      <c r="LCM24" s="109"/>
      <c r="LCN24" s="109"/>
      <c r="LCO24" s="109"/>
      <c r="LCP24" s="109"/>
      <c r="LCQ24" s="109"/>
      <c r="LCR24" s="109"/>
      <c r="LCS24" s="109"/>
      <c r="LCT24" s="109"/>
      <c r="LCU24" s="109"/>
      <c r="LCV24" s="109"/>
      <c r="LCW24" s="109"/>
      <c r="LCX24" s="109"/>
      <c r="LCY24" s="109"/>
      <c r="LCZ24" s="109"/>
      <c r="LDA24" s="109"/>
      <c r="LDB24" s="109"/>
      <c r="LDC24" s="109"/>
      <c r="LDD24" s="109"/>
      <c r="LDE24" s="109"/>
      <c r="LDF24" s="109"/>
      <c r="LDG24" s="109"/>
      <c r="LDH24" s="109"/>
      <c r="LDI24" s="109"/>
      <c r="LDJ24" s="109"/>
      <c r="LDK24" s="109"/>
      <c r="LDL24" s="109"/>
      <c r="LDM24" s="109"/>
      <c r="LDN24" s="109"/>
      <c r="LDO24" s="109"/>
      <c r="LDP24" s="109"/>
      <c r="LDQ24" s="109"/>
      <c r="LDR24" s="109"/>
      <c r="LDS24" s="109"/>
      <c r="LDT24" s="109"/>
      <c r="LDU24" s="109"/>
      <c r="LDV24" s="109"/>
      <c r="LDW24" s="109"/>
      <c r="LDX24" s="109"/>
      <c r="LDY24" s="109"/>
      <c r="LDZ24" s="109"/>
      <c r="LEA24" s="109"/>
      <c r="LEB24" s="109"/>
      <c r="LEC24" s="109"/>
      <c r="LED24" s="109"/>
      <c r="LEE24" s="109"/>
      <c r="LEF24" s="109"/>
      <c r="LEG24" s="109"/>
      <c r="LEH24" s="109"/>
      <c r="LEI24" s="109"/>
      <c r="LEJ24" s="109"/>
      <c r="LEK24" s="109"/>
      <c r="LEL24" s="109"/>
      <c r="LEM24" s="109"/>
      <c r="LEN24" s="109"/>
      <c r="LEO24" s="109"/>
      <c r="LEP24" s="109"/>
      <c r="LEQ24" s="109"/>
      <c r="LER24" s="109"/>
      <c r="LES24" s="109"/>
      <c r="LET24" s="109"/>
      <c r="LEU24" s="109"/>
      <c r="LEV24" s="109"/>
      <c r="LEW24" s="109"/>
      <c r="LEX24" s="109"/>
      <c r="LEY24" s="109"/>
      <c r="LEZ24" s="109"/>
      <c r="LFA24" s="109"/>
      <c r="LFB24" s="109"/>
      <c r="LFC24" s="109"/>
      <c r="LFD24" s="109"/>
      <c r="LFE24" s="109"/>
      <c r="LFF24" s="109"/>
      <c r="LFG24" s="109"/>
      <c r="LFH24" s="109"/>
      <c r="LFI24" s="109"/>
      <c r="LFJ24" s="109"/>
      <c r="LFK24" s="109"/>
      <c r="LFL24" s="109"/>
      <c r="LFM24" s="109"/>
      <c r="LFN24" s="109"/>
      <c r="LFO24" s="109"/>
      <c r="LFP24" s="109"/>
      <c r="LFQ24" s="109"/>
      <c r="LFR24" s="109"/>
      <c r="LFS24" s="109"/>
      <c r="LFT24" s="109"/>
      <c r="LFU24" s="109"/>
      <c r="LFV24" s="109"/>
      <c r="LFW24" s="109"/>
      <c r="LFX24" s="109"/>
      <c r="LFY24" s="109"/>
      <c r="LFZ24" s="109"/>
      <c r="LGA24" s="109"/>
      <c r="LGB24" s="109"/>
      <c r="LGC24" s="109"/>
      <c r="LGD24" s="109"/>
      <c r="LGE24" s="109"/>
      <c r="LGF24" s="109"/>
      <c r="LGG24" s="109"/>
      <c r="LGH24" s="109"/>
      <c r="LGI24" s="109"/>
      <c r="LGJ24" s="109"/>
      <c r="LGK24" s="109"/>
      <c r="LGL24" s="109"/>
      <c r="LGM24" s="109"/>
      <c r="LGN24" s="109"/>
      <c r="LGO24" s="109"/>
      <c r="LGP24" s="109"/>
      <c r="LGQ24" s="109"/>
      <c r="LGR24" s="109"/>
      <c r="LGS24" s="109"/>
      <c r="LGT24" s="109"/>
      <c r="LGU24" s="109"/>
      <c r="LGV24" s="109"/>
      <c r="LGW24" s="109"/>
      <c r="LGX24" s="109"/>
      <c r="LGY24" s="109"/>
      <c r="LGZ24" s="109"/>
      <c r="LHA24" s="109"/>
      <c r="LHB24" s="109"/>
      <c r="LHC24" s="109"/>
      <c r="LHD24" s="109"/>
      <c r="LHE24" s="109"/>
      <c r="LHF24" s="109"/>
      <c r="LHG24" s="109"/>
      <c r="LHH24" s="109"/>
      <c r="LHI24" s="109"/>
      <c r="LHJ24" s="109"/>
      <c r="LHK24" s="109"/>
      <c r="LHL24" s="109"/>
      <c r="LHM24" s="109"/>
      <c r="LHN24" s="109"/>
      <c r="LHO24" s="109"/>
      <c r="LHP24" s="109"/>
      <c r="LHQ24" s="109"/>
      <c r="LHR24" s="109"/>
      <c r="LHS24" s="109"/>
      <c r="LHT24" s="109"/>
      <c r="LHU24" s="109"/>
      <c r="LHV24" s="109"/>
      <c r="LHW24" s="109"/>
      <c r="LHX24" s="109"/>
      <c r="LHY24" s="109"/>
      <c r="LHZ24" s="109"/>
      <c r="LIA24" s="109"/>
      <c r="LIB24" s="109"/>
      <c r="LIC24" s="109"/>
      <c r="LID24" s="109"/>
      <c r="LIE24" s="109"/>
      <c r="LIF24" s="109"/>
      <c r="LIG24" s="109"/>
      <c r="LIH24" s="109"/>
      <c r="LII24" s="109"/>
      <c r="LIJ24" s="109"/>
      <c r="LIK24" s="109"/>
      <c r="LIL24" s="109"/>
      <c r="LIM24" s="109"/>
      <c r="LIN24" s="109"/>
      <c r="LIO24" s="109"/>
      <c r="LIP24" s="109"/>
      <c r="LIQ24" s="109"/>
      <c r="LIR24" s="109"/>
      <c r="LIS24" s="109"/>
      <c r="LIT24" s="109"/>
      <c r="LIU24" s="109"/>
      <c r="LIV24" s="109"/>
      <c r="LIW24" s="109"/>
      <c r="LIX24" s="109"/>
      <c r="LIY24" s="109"/>
      <c r="LIZ24" s="109"/>
      <c r="LJA24" s="109"/>
      <c r="LJB24" s="109"/>
      <c r="LJC24" s="109"/>
      <c r="LJD24" s="109"/>
      <c r="LJE24" s="109"/>
      <c r="LJF24" s="109"/>
      <c r="LJG24" s="109"/>
      <c r="LJH24" s="109"/>
      <c r="LJI24" s="109"/>
      <c r="LJJ24" s="109"/>
      <c r="LJK24" s="109"/>
      <c r="LJL24" s="109"/>
      <c r="LJM24" s="109"/>
      <c r="LJN24" s="109"/>
      <c r="LJO24" s="109"/>
      <c r="LJP24" s="109"/>
      <c r="LJQ24" s="109"/>
      <c r="LJR24" s="109"/>
      <c r="LJS24" s="109"/>
      <c r="LJT24" s="109"/>
      <c r="LJU24" s="109"/>
      <c r="LJV24" s="109"/>
      <c r="LJW24" s="109"/>
      <c r="LJX24" s="109"/>
      <c r="LJY24" s="109"/>
      <c r="LJZ24" s="109"/>
      <c r="LKA24" s="109"/>
      <c r="LKB24" s="109"/>
      <c r="LKC24" s="109"/>
      <c r="LKD24" s="109"/>
      <c r="LKE24" s="109"/>
      <c r="LKF24" s="109"/>
      <c r="LKG24" s="109"/>
      <c r="LKH24" s="109"/>
      <c r="LKI24" s="109"/>
      <c r="LKJ24" s="109"/>
      <c r="LKK24" s="109"/>
      <c r="LKL24" s="109"/>
      <c r="LKM24" s="109"/>
      <c r="LKN24" s="109"/>
      <c r="LKO24" s="109"/>
      <c r="LKP24" s="109"/>
      <c r="LKQ24" s="109"/>
      <c r="LKR24" s="109"/>
      <c r="LKS24" s="109"/>
      <c r="LKT24" s="109"/>
      <c r="LKU24" s="109"/>
      <c r="LKV24" s="109"/>
      <c r="LKW24" s="109"/>
      <c r="LKX24" s="109"/>
      <c r="LKY24" s="109"/>
      <c r="LKZ24" s="109"/>
      <c r="LLA24" s="109"/>
      <c r="LLB24" s="109"/>
      <c r="LLC24" s="109"/>
      <c r="LLD24" s="109"/>
      <c r="LLE24" s="109"/>
      <c r="LLF24" s="109"/>
      <c r="LLG24" s="109"/>
      <c r="LLH24" s="109"/>
      <c r="LLI24" s="109"/>
      <c r="LLJ24" s="109"/>
      <c r="LLK24" s="109"/>
      <c r="LLL24" s="109"/>
      <c r="LLM24" s="109"/>
      <c r="LLN24" s="109"/>
      <c r="LLO24" s="109"/>
      <c r="LLP24" s="109"/>
      <c r="LLQ24" s="109"/>
      <c r="LLR24" s="109"/>
      <c r="LLS24" s="109"/>
      <c r="LLT24" s="109"/>
      <c r="LLU24" s="109"/>
      <c r="LLV24" s="109"/>
      <c r="LLW24" s="109"/>
      <c r="LLX24" s="109"/>
      <c r="LLY24" s="109"/>
      <c r="LLZ24" s="109"/>
      <c r="LMA24" s="109"/>
      <c r="LMB24" s="109"/>
      <c r="LMC24" s="109"/>
      <c r="LMD24" s="109"/>
      <c r="LME24" s="109"/>
      <c r="LMF24" s="109"/>
      <c r="LMG24" s="109"/>
      <c r="LMH24" s="109"/>
      <c r="LMI24" s="109"/>
      <c r="LMJ24" s="109"/>
      <c r="LMK24" s="109"/>
      <c r="LML24" s="109"/>
      <c r="LMM24" s="109"/>
      <c r="LMN24" s="109"/>
      <c r="LMO24" s="109"/>
      <c r="LMP24" s="109"/>
      <c r="LMQ24" s="109"/>
      <c r="LMR24" s="109"/>
      <c r="LMS24" s="109"/>
      <c r="LMT24" s="109"/>
      <c r="LMU24" s="109"/>
      <c r="LMV24" s="109"/>
      <c r="LMW24" s="109"/>
      <c r="LMX24" s="109"/>
      <c r="LMY24" s="109"/>
      <c r="LMZ24" s="109"/>
      <c r="LNA24" s="109"/>
      <c r="LNB24" s="109"/>
      <c r="LNC24" s="109"/>
      <c r="LND24" s="109"/>
      <c r="LNE24" s="109"/>
      <c r="LNF24" s="109"/>
      <c r="LNG24" s="109"/>
      <c r="LNH24" s="109"/>
      <c r="LNI24" s="109"/>
      <c r="LNJ24" s="109"/>
      <c r="LNK24" s="109"/>
      <c r="LNL24" s="109"/>
      <c r="LNM24" s="109"/>
      <c r="LNN24" s="109"/>
      <c r="LNO24" s="109"/>
      <c r="LNP24" s="109"/>
      <c r="LNQ24" s="109"/>
      <c r="LNR24" s="109"/>
      <c r="LNS24" s="109"/>
      <c r="LNT24" s="109"/>
      <c r="LNU24" s="109"/>
      <c r="LNV24" s="109"/>
      <c r="LNW24" s="109"/>
      <c r="LNX24" s="109"/>
      <c r="LNY24" s="109"/>
      <c r="LNZ24" s="109"/>
      <c r="LOA24" s="109"/>
      <c r="LOB24" s="109"/>
      <c r="LOC24" s="109"/>
      <c r="LOD24" s="109"/>
      <c r="LOE24" s="109"/>
      <c r="LOF24" s="109"/>
      <c r="LOG24" s="109"/>
      <c r="LOH24" s="109"/>
      <c r="LOI24" s="109"/>
      <c r="LOJ24" s="109"/>
      <c r="LOK24" s="109"/>
      <c r="LOL24" s="109"/>
      <c r="LOM24" s="109"/>
      <c r="LON24" s="109"/>
      <c r="LOO24" s="109"/>
      <c r="LOP24" s="109"/>
      <c r="LOQ24" s="109"/>
      <c r="LOR24" s="109"/>
      <c r="LOS24" s="109"/>
      <c r="LOT24" s="109"/>
      <c r="LOU24" s="109"/>
      <c r="LOV24" s="109"/>
      <c r="LOW24" s="109"/>
      <c r="LOX24" s="109"/>
      <c r="LOY24" s="109"/>
      <c r="LOZ24" s="109"/>
      <c r="LPA24" s="109"/>
      <c r="LPB24" s="109"/>
      <c r="LPC24" s="109"/>
      <c r="LPD24" s="109"/>
      <c r="LPE24" s="109"/>
      <c r="LPF24" s="109"/>
      <c r="LPG24" s="109"/>
      <c r="LPH24" s="109"/>
      <c r="LPI24" s="109"/>
      <c r="LPJ24" s="109"/>
      <c r="LPK24" s="109"/>
      <c r="LPL24" s="109"/>
      <c r="LPM24" s="109"/>
      <c r="LPN24" s="109"/>
      <c r="LPO24" s="109"/>
      <c r="LPP24" s="109"/>
      <c r="LPQ24" s="109"/>
      <c r="LPR24" s="109"/>
      <c r="LPS24" s="109"/>
      <c r="LPT24" s="109"/>
      <c r="LPU24" s="109"/>
      <c r="LPV24" s="109"/>
      <c r="LPW24" s="109"/>
      <c r="LPX24" s="109"/>
      <c r="LPY24" s="109"/>
      <c r="LPZ24" s="109"/>
      <c r="LQA24" s="109"/>
      <c r="LQB24" s="109"/>
      <c r="LQC24" s="109"/>
      <c r="LQD24" s="109"/>
      <c r="LQE24" s="109"/>
      <c r="LQF24" s="109"/>
      <c r="LQG24" s="109"/>
      <c r="LQH24" s="109"/>
      <c r="LQI24" s="109"/>
      <c r="LQJ24" s="109"/>
      <c r="LQK24" s="109"/>
      <c r="LQL24" s="109"/>
      <c r="LQM24" s="109"/>
      <c r="LQN24" s="109"/>
      <c r="LQO24" s="109"/>
      <c r="LQP24" s="109"/>
      <c r="LQQ24" s="109"/>
      <c r="LQR24" s="109"/>
      <c r="LQS24" s="109"/>
      <c r="LQT24" s="109"/>
      <c r="LQU24" s="109"/>
      <c r="LQV24" s="109"/>
      <c r="LQW24" s="109"/>
      <c r="LQX24" s="109"/>
      <c r="LQY24" s="109"/>
      <c r="LQZ24" s="109"/>
      <c r="LRA24" s="109"/>
      <c r="LRB24" s="109"/>
      <c r="LRC24" s="109"/>
      <c r="LRD24" s="109"/>
      <c r="LRE24" s="109"/>
      <c r="LRF24" s="109"/>
      <c r="LRG24" s="109"/>
      <c r="LRH24" s="109"/>
      <c r="LRI24" s="109"/>
      <c r="LRJ24" s="109"/>
      <c r="LRK24" s="109"/>
      <c r="LRL24" s="109"/>
      <c r="LRM24" s="109"/>
      <c r="LRN24" s="109"/>
      <c r="LRO24" s="109"/>
      <c r="LRP24" s="109"/>
      <c r="LRQ24" s="109"/>
      <c r="LRR24" s="109"/>
      <c r="LRS24" s="109"/>
      <c r="LRT24" s="109"/>
      <c r="LRU24" s="109"/>
      <c r="LRV24" s="109"/>
      <c r="LRW24" s="109"/>
      <c r="LRX24" s="109"/>
      <c r="LRY24" s="109"/>
      <c r="LRZ24" s="109"/>
      <c r="LSA24" s="109"/>
      <c r="LSB24" s="109"/>
      <c r="LSC24" s="109"/>
      <c r="LSD24" s="109"/>
      <c r="LSE24" s="109"/>
      <c r="LSF24" s="109"/>
      <c r="LSG24" s="109"/>
      <c r="LSH24" s="109"/>
      <c r="LSI24" s="109"/>
      <c r="LSJ24" s="109"/>
      <c r="LSK24" s="109"/>
      <c r="LSL24" s="109"/>
      <c r="LSM24" s="109"/>
      <c r="LSN24" s="109"/>
      <c r="LSO24" s="109"/>
      <c r="LSP24" s="109"/>
      <c r="LSQ24" s="109"/>
      <c r="LSR24" s="109"/>
      <c r="LSS24" s="109"/>
      <c r="LST24" s="109"/>
      <c r="LSU24" s="109"/>
      <c r="LSV24" s="109"/>
      <c r="LSW24" s="109"/>
      <c r="LSX24" s="109"/>
      <c r="LSY24" s="109"/>
      <c r="LSZ24" s="109"/>
      <c r="LTA24" s="109"/>
      <c r="LTB24" s="109"/>
      <c r="LTC24" s="109"/>
      <c r="LTD24" s="109"/>
      <c r="LTE24" s="109"/>
      <c r="LTF24" s="109"/>
      <c r="LTG24" s="109"/>
      <c r="LTH24" s="109"/>
      <c r="LTI24" s="109"/>
      <c r="LTJ24" s="109"/>
      <c r="LTK24" s="109"/>
      <c r="LTL24" s="109"/>
      <c r="LTM24" s="109"/>
      <c r="LTN24" s="109"/>
      <c r="LTO24" s="109"/>
      <c r="LTP24" s="109"/>
      <c r="LTQ24" s="109"/>
      <c r="LTR24" s="109"/>
      <c r="LTS24" s="109"/>
      <c r="LTT24" s="109"/>
      <c r="LTU24" s="109"/>
      <c r="LTV24" s="109"/>
      <c r="LTW24" s="109"/>
      <c r="LTX24" s="109"/>
      <c r="LTY24" s="109"/>
      <c r="LTZ24" s="109"/>
      <c r="LUA24" s="109"/>
      <c r="LUB24" s="109"/>
      <c r="LUC24" s="109"/>
      <c r="LUD24" s="109"/>
      <c r="LUE24" s="109"/>
      <c r="LUF24" s="109"/>
      <c r="LUG24" s="109"/>
      <c r="LUH24" s="109"/>
      <c r="LUI24" s="109"/>
      <c r="LUJ24" s="109"/>
      <c r="LUK24" s="109"/>
      <c r="LUL24" s="109"/>
      <c r="LUM24" s="109"/>
      <c r="LUN24" s="109"/>
      <c r="LUO24" s="109"/>
      <c r="LUP24" s="109"/>
      <c r="LUQ24" s="109"/>
      <c r="LUR24" s="109"/>
      <c r="LUS24" s="109"/>
      <c r="LUT24" s="109"/>
      <c r="LUU24" s="109"/>
      <c r="LUV24" s="109"/>
      <c r="LUW24" s="109"/>
      <c r="LUX24" s="109"/>
      <c r="LUY24" s="109"/>
      <c r="LUZ24" s="109"/>
      <c r="LVA24" s="109"/>
      <c r="LVB24" s="109"/>
      <c r="LVC24" s="109"/>
      <c r="LVD24" s="109"/>
      <c r="LVE24" s="109"/>
      <c r="LVF24" s="109"/>
      <c r="LVG24" s="109"/>
      <c r="LVH24" s="109"/>
      <c r="LVI24" s="109"/>
      <c r="LVJ24" s="109"/>
      <c r="LVK24" s="109"/>
      <c r="LVL24" s="109"/>
      <c r="LVM24" s="109"/>
      <c r="LVN24" s="109"/>
      <c r="LVO24" s="109"/>
      <c r="LVP24" s="109"/>
      <c r="LVQ24" s="109"/>
      <c r="LVR24" s="109"/>
      <c r="LVS24" s="109"/>
      <c r="LVT24" s="109"/>
      <c r="LVU24" s="109"/>
      <c r="LVV24" s="109"/>
      <c r="LVW24" s="109"/>
      <c r="LVX24" s="109"/>
      <c r="LVY24" s="109"/>
      <c r="LVZ24" s="109"/>
      <c r="LWA24" s="109"/>
      <c r="LWB24" s="109"/>
      <c r="LWC24" s="109"/>
      <c r="LWD24" s="109"/>
      <c r="LWE24" s="109"/>
      <c r="LWF24" s="109"/>
      <c r="LWG24" s="109"/>
      <c r="LWH24" s="109"/>
      <c r="LWI24" s="109"/>
      <c r="LWJ24" s="109"/>
      <c r="LWK24" s="109"/>
      <c r="LWL24" s="109"/>
      <c r="LWM24" s="109"/>
      <c r="LWN24" s="109"/>
      <c r="LWO24" s="109"/>
      <c r="LWP24" s="109"/>
      <c r="LWQ24" s="109"/>
      <c r="LWR24" s="109"/>
      <c r="LWS24" s="109"/>
      <c r="LWT24" s="109"/>
      <c r="LWU24" s="109"/>
      <c r="LWV24" s="109"/>
      <c r="LWW24" s="109"/>
      <c r="LWX24" s="109"/>
      <c r="LWY24" s="109"/>
      <c r="LWZ24" s="109"/>
      <c r="LXA24" s="109"/>
      <c r="LXB24" s="109"/>
      <c r="LXC24" s="109"/>
      <c r="LXD24" s="109"/>
      <c r="LXE24" s="109"/>
      <c r="LXF24" s="109"/>
      <c r="LXG24" s="109"/>
      <c r="LXH24" s="109"/>
      <c r="LXI24" s="109"/>
      <c r="LXJ24" s="109"/>
      <c r="LXK24" s="109"/>
      <c r="LXL24" s="109"/>
      <c r="LXM24" s="109"/>
      <c r="LXN24" s="109"/>
      <c r="LXO24" s="109"/>
      <c r="LXP24" s="109"/>
      <c r="LXQ24" s="109"/>
      <c r="LXR24" s="109"/>
      <c r="LXS24" s="109"/>
      <c r="LXT24" s="109"/>
      <c r="LXU24" s="109"/>
      <c r="LXV24" s="109"/>
      <c r="LXW24" s="109"/>
      <c r="LXX24" s="109"/>
      <c r="LXY24" s="109"/>
      <c r="LXZ24" s="109"/>
      <c r="LYA24" s="109"/>
      <c r="LYB24" s="109"/>
      <c r="LYC24" s="109"/>
      <c r="LYD24" s="109"/>
      <c r="LYE24" s="109"/>
      <c r="LYF24" s="109"/>
      <c r="LYG24" s="109"/>
      <c r="LYH24" s="109"/>
      <c r="LYI24" s="109"/>
      <c r="LYJ24" s="109"/>
      <c r="LYK24" s="109"/>
      <c r="LYL24" s="109"/>
      <c r="LYM24" s="109"/>
      <c r="LYN24" s="109"/>
      <c r="LYO24" s="109"/>
      <c r="LYP24" s="109"/>
      <c r="LYQ24" s="109"/>
      <c r="LYR24" s="109"/>
      <c r="LYS24" s="109"/>
      <c r="LYT24" s="109"/>
      <c r="LYU24" s="109"/>
      <c r="LYV24" s="109"/>
      <c r="LYW24" s="109"/>
      <c r="LYX24" s="109"/>
      <c r="LYY24" s="109"/>
      <c r="LYZ24" s="109"/>
      <c r="LZA24" s="109"/>
      <c r="LZB24" s="109"/>
      <c r="LZC24" s="109"/>
      <c r="LZD24" s="109"/>
      <c r="LZE24" s="109"/>
      <c r="LZF24" s="109"/>
      <c r="LZG24" s="109"/>
      <c r="LZH24" s="109"/>
      <c r="LZI24" s="109"/>
      <c r="LZJ24" s="109"/>
      <c r="LZK24" s="109"/>
      <c r="LZL24" s="109"/>
      <c r="LZM24" s="109"/>
      <c r="LZN24" s="109"/>
      <c r="LZO24" s="109"/>
      <c r="LZP24" s="109"/>
      <c r="LZQ24" s="109"/>
      <c r="LZR24" s="109"/>
      <c r="LZS24" s="109"/>
      <c r="LZT24" s="109"/>
      <c r="LZU24" s="109"/>
      <c r="LZV24" s="109"/>
      <c r="LZW24" s="109"/>
      <c r="LZX24" s="109"/>
      <c r="LZY24" s="109"/>
      <c r="LZZ24" s="109"/>
      <c r="MAA24" s="109"/>
      <c r="MAB24" s="109"/>
      <c r="MAC24" s="109"/>
      <c r="MAD24" s="109"/>
      <c r="MAE24" s="109"/>
      <c r="MAF24" s="109"/>
      <c r="MAG24" s="109"/>
      <c r="MAH24" s="109"/>
      <c r="MAI24" s="109"/>
      <c r="MAJ24" s="109"/>
      <c r="MAK24" s="109"/>
      <c r="MAL24" s="109"/>
      <c r="MAM24" s="109"/>
      <c r="MAN24" s="109"/>
      <c r="MAO24" s="109"/>
      <c r="MAP24" s="109"/>
      <c r="MAQ24" s="109"/>
      <c r="MAR24" s="109"/>
      <c r="MAS24" s="109"/>
      <c r="MAT24" s="109"/>
      <c r="MAU24" s="109"/>
      <c r="MAV24" s="109"/>
      <c r="MAW24" s="109"/>
      <c r="MAX24" s="109"/>
      <c r="MAY24" s="109"/>
      <c r="MAZ24" s="109"/>
      <c r="MBA24" s="109"/>
      <c r="MBB24" s="109"/>
      <c r="MBC24" s="109"/>
      <c r="MBD24" s="109"/>
      <c r="MBE24" s="109"/>
      <c r="MBF24" s="109"/>
      <c r="MBG24" s="109"/>
      <c r="MBH24" s="109"/>
      <c r="MBI24" s="109"/>
      <c r="MBJ24" s="109"/>
      <c r="MBK24" s="109"/>
      <c r="MBL24" s="109"/>
      <c r="MBM24" s="109"/>
      <c r="MBN24" s="109"/>
      <c r="MBO24" s="109"/>
      <c r="MBP24" s="109"/>
      <c r="MBQ24" s="109"/>
      <c r="MBR24" s="109"/>
      <c r="MBS24" s="109"/>
      <c r="MBT24" s="109"/>
      <c r="MBU24" s="109"/>
      <c r="MBV24" s="109"/>
      <c r="MBW24" s="109"/>
      <c r="MBX24" s="109"/>
      <c r="MBY24" s="109"/>
      <c r="MBZ24" s="109"/>
      <c r="MCA24" s="109"/>
      <c r="MCB24" s="109"/>
      <c r="MCC24" s="109"/>
      <c r="MCD24" s="109"/>
      <c r="MCE24" s="109"/>
      <c r="MCF24" s="109"/>
      <c r="MCG24" s="109"/>
      <c r="MCH24" s="109"/>
      <c r="MCI24" s="109"/>
      <c r="MCJ24" s="109"/>
      <c r="MCK24" s="109"/>
      <c r="MCL24" s="109"/>
      <c r="MCM24" s="109"/>
      <c r="MCN24" s="109"/>
      <c r="MCO24" s="109"/>
      <c r="MCP24" s="109"/>
      <c r="MCQ24" s="109"/>
      <c r="MCR24" s="109"/>
      <c r="MCS24" s="109"/>
      <c r="MCT24" s="109"/>
      <c r="MCU24" s="109"/>
      <c r="MCV24" s="109"/>
      <c r="MCW24" s="109"/>
      <c r="MCX24" s="109"/>
      <c r="MCY24" s="109"/>
      <c r="MCZ24" s="109"/>
      <c r="MDA24" s="109"/>
      <c r="MDB24" s="109"/>
      <c r="MDC24" s="109"/>
      <c r="MDD24" s="109"/>
      <c r="MDE24" s="109"/>
      <c r="MDF24" s="109"/>
      <c r="MDG24" s="109"/>
      <c r="MDH24" s="109"/>
      <c r="MDI24" s="109"/>
      <c r="MDJ24" s="109"/>
      <c r="MDK24" s="109"/>
      <c r="MDL24" s="109"/>
      <c r="MDM24" s="109"/>
      <c r="MDN24" s="109"/>
      <c r="MDO24" s="109"/>
      <c r="MDP24" s="109"/>
      <c r="MDQ24" s="109"/>
      <c r="MDR24" s="109"/>
      <c r="MDS24" s="109"/>
      <c r="MDT24" s="109"/>
      <c r="MDU24" s="109"/>
      <c r="MDV24" s="109"/>
      <c r="MDW24" s="109"/>
      <c r="MDX24" s="109"/>
      <c r="MDY24" s="109"/>
      <c r="MDZ24" s="109"/>
      <c r="MEA24" s="109"/>
      <c r="MEB24" s="109"/>
      <c r="MEC24" s="109"/>
      <c r="MED24" s="109"/>
      <c r="MEE24" s="109"/>
      <c r="MEF24" s="109"/>
      <c r="MEG24" s="109"/>
      <c r="MEH24" s="109"/>
      <c r="MEI24" s="109"/>
      <c r="MEJ24" s="109"/>
      <c r="MEK24" s="109"/>
      <c r="MEL24" s="109"/>
      <c r="MEM24" s="109"/>
      <c r="MEN24" s="109"/>
      <c r="MEO24" s="109"/>
      <c r="MEP24" s="109"/>
      <c r="MEQ24" s="109"/>
      <c r="MER24" s="109"/>
      <c r="MES24" s="109"/>
      <c r="MET24" s="109"/>
      <c r="MEU24" s="109"/>
      <c r="MEV24" s="109"/>
      <c r="MEW24" s="109"/>
      <c r="MEX24" s="109"/>
      <c r="MEY24" s="109"/>
      <c r="MEZ24" s="109"/>
      <c r="MFA24" s="109"/>
      <c r="MFB24" s="109"/>
      <c r="MFC24" s="109"/>
      <c r="MFD24" s="109"/>
      <c r="MFE24" s="109"/>
      <c r="MFF24" s="109"/>
      <c r="MFG24" s="109"/>
      <c r="MFH24" s="109"/>
      <c r="MFI24" s="109"/>
      <c r="MFJ24" s="109"/>
      <c r="MFK24" s="109"/>
      <c r="MFL24" s="109"/>
      <c r="MFM24" s="109"/>
      <c r="MFN24" s="109"/>
      <c r="MFO24" s="109"/>
      <c r="MFP24" s="109"/>
      <c r="MFQ24" s="109"/>
      <c r="MFR24" s="109"/>
      <c r="MFS24" s="109"/>
      <c r="MFT24" s="109"/>
      <c r="MFU24" s="109"/>
      <c r="MFV24" s="109"/>
      <c r="MFW24" s="109"/>
      <c r="MFX24" s="109"/>
      <c r="MFY24" s="109"/>
      <c r="MFZ24" s="109"/>
      <c r="MGA24" s="109"/>
      <c r="MGB24" s="109"/>
      <c r="MGC24" s="109"/>
      <c r="MGD24" s="109"/>
      <c r="MGE24" s="109"/>
      <c r="MGF24" s="109"/>
      <c r="MGG24" s="109"/>
      <c r="MGH24" s="109"/>
      <c r="MGI24" s="109"/>
      <c r="MGJ24" s="109"/>
      <c r="MGK24" s="109"/>
      <c r="MGL24" s="109"/>
      <c r="MGM24" s="109"/>
      <c r="MGN24" s="109"/>
      <c r="MGO24" s="109"/>
      <c r="MGP24" s="109"/>
      <c r="MGQ24" s="109"/>
      <c r="MGR24" s="109"/>
      <c r="MGS24" s="109"/>
      <c r="MGT24" s="109"/>
      <c r="MGU24" s="109"/>
      <c r="MGV24" s="109"/>
      <c r="MGW24" s="109"/>
      <c r="MGX24" s="109"/>
      <c r="MGY24" s="109"/>
      <c r="MGZ24" s="109"/>
      <c r="MHA24" s="109"/>
      <c r="MHB24" s="109"/>
      <c r="MHC24" s="109"/>
      <c r="MHD24" s="109"/>
      <c r="MHE24" s="109"/>
      <c r="MHF24" s="109"/>
      <c r="MHG24" s="109"/>
      <c r="MHH24" s="109"/>
      <c r="MHI24" s="109"/>
      <c r="MHJ24" s="109"/>
      <c r="MHK24" s="109"/>
      <c r="MHL24" s="109"/>
      <c r="MHM24" s="109"/>
      <c r="MHN24" s="109"/>
      <c r="MHO24" s="109"/>
      <c r="MHP24" s="109"/>
      <c r="MHQ24" s="109"/>
      <c r="MHR24" s="109"/>
      <c r="MHS24" s="109"/>
      <c r="MHT24" s="109"/>
      <c r="MHU24" s="109"/>
      <c r="MHV24" s="109"/>
      <c r="MHW24" s="109"/>
      <c r="MHX24" s="109"/>
      <c r="MHY24" s="109"/>
      <c r="MHZ24" s="109"/>
      <c r="MIA24" s="109"/>
      <c r="MIB24" s="109"/>
      <c r="MIC24" s="109"/>
      <c r="MID24" s="109"/>
      <c r="MIE24" s="109"/>
      <c r="MIF24" s="109"/>
      <c r="MIG24" s="109"/>
      <c r="MIH24" s="109"/>
      <c r="MII24" s="109"/>
      <c r="MIJ24" s="109"/>
      <c r="MIK24" s="109"/>
      <c r="MIL24" s="109"/>
      <c r="MIM24" s="109"/>
      <c r="MIN24" s="109"/>
      <c r="MIO24" s="109"/>
      <c r="MIP24" s="109"/>
      <c r="MIQ24" s="109"/>
      <c r="MIR24" s="109"/>
      <c r="MIS24" s="109"/>
      <c r="MIT24" s="109"/>
      <c r="MIU24" s="109"/>
      <c r="MIV24" s="109"/>
      <c r="MIW24" s="109"/>
      <c r="MIX24" s="109"/>
      <c r="MIY24" s="109"/>
      <c r="MIZ24" s="109"/>
      <c r="MJA24" s="109"/>
      <c r="MJB24" s="109"/>
      <c r="MJC24" s="109"/>
      <c r="MJD24" s="109"/>
      <c r="MJE24" s="109"/>
      <c r="MJF24" s="109"/>
      <c r="MJG24" s="109"/>
      <c r="MJH24" s="109"/>
      <c r="MJI24" s="109"/>
      <c r="MJJ24" s="109"/>
      <c r="MJK24" s="109"/>
      <c r="MJL24" s="109"/>
      <c r="MJM24" s="109"/>
      <c r="MJN24" s="109"/>
      <c r="MJO24" s="109"/>
      <c r="MJP24" s="109"/>
      <c r="MJQ24" s="109"/>
      <c r="MJR24" s="109"/>
      <c r="MJS24" s="109"/>
      <c r="MJT24" s="109"/>
      <c r="MJU24" s="109"/>
      <c r="MJV24" s="109"/>
      <c r="MJW24" s="109"/>
      <c r="MJX24" s="109"/>
      <c r="MJY24" s="109"/>
      <c r="MJZ24" s="109"/>
      <c r="MKA24" s="109"/>
      <c r="MKB24" s="109"/>
      <c r="MKC24" s="109"/>
      <c r="MKD24" s="109"/>
      <c r="MKE24" s="109"/>
      <c r="MKF24" s="109"/>
      <c r="MKG24" s="109"/>
      <c r="MKH24" s="109"/>
      <c r="MKI24" s="109"/>
      <c r="MKJ24" s="109"/>
      <c r="MKK24" s="109"/>
      <c r="MKL24" s="109"/>
      <c r="MKM24" s="109"/>
      <c r="MKN24" s="109"/>
      <c r="MKO24" s="109"/>
      <c r="MKP24" s="109"/>
      <c r="MKQ24" s="109"/>
      <c r="MKR24" s="109"/>
      <c r="MKS24" s="109"/>
      <c r="MKT24" s="109"/>
      <c r="MKU24" s="109"/>
      <c r="MKV24" s="109"/>
      <c r="MKW24" s="109"/>
      <c r="MKX24" s="109"/>
      <c r="MKY24" s="109"/>
      <c r="MKZ24" s="109"/>
      <c r="MLA24" s="109"/>
      <c r="MLB24" s="109"/>
      <c r="MLC24" s="109"/>
      <c r="MLD24" s="109"/>
      <c r="MLE24" s="109"/>
      <c r="MLF24" s="109"/>
      <c r="MLG24" s="109"/>
      <c r="MLH24" s="109"/>
      <c r="MLI24" s="109"/>
      <c r="MLJ24" s="109"/>
      <c r="MLK24" s="109"/>
      <c r="MLL24" s="109"/>
      <c r="MLM24" s="109"/>
      <c r="MLN24" s="109"/>
      <c r="MLO24" s="109"/>
      <c r="MLP24" s="109"/>
      <c r="MLQ24" s="109"/>
      <c r="MLR24" s="109"/>
      <c r="MLS24" s="109"/>
      <c r="MLT24" s="109"/>
      <c r="MLU24" s="109"/>
      <c r="MLV24" s="109"/>
      <c r="MLW24" s="109"/>
      <c r="MLX24" s="109"/>
      <c r="MLY24" s="109"/>
      <c r="MLZ24" s="109"/>
      <c r="MMA24" s="109"/>
      <c r="MMB24" s="109"/>
      <c r="MMC24" s="109"/>
      <c r="MMD24" s="109"/>
      <c r="MME24" s="109"/>
      <c r="MMF24" s="109"/>
      <c r="MMG24" s="109"/>
      <c r="MMH24" s="109"/>
      <c r="MMI24" s="109"/>
      <c r="MMJ24" s="109"/>
      <c r="MMK24" s="109"/>
      <c r="MML24" s="109"/>
      <c r="MMM24" s="109"/>
      <c r="MMN24" s="109"/>
      <c r="MMO24" s="109"/>
      <c r="MMP24" s="109"/>
      <c r="MMQ24" s="109"/>
      <c r="MMR24" s="109"/>
      <c r="MMS24" s="109"/>
      <c r="MMT24" s="109"/>
      <c r="MMU24" s="109"/>
      <c r="MMV24" s="109"/>
      <c r="MMW24" s="109"/>
      <c r="MMX24" s="109"/>
      <c r="MMY24" s="109"/>
      <c r="MMZ24" s="109"/>
      <c r="MNA24" s="109"/>
      <c r="MNB24" s="109"/>
      <c r="MNC24" s="109"/>
      <c r="MND24" s="109"/>
      <c r="MNE24" s="109"/>
      <c r="MNF24" s="109"/>
      <c r="MNG24" s="109"/>
      <c r="MNH24" s="109"/>
      <c r="MNI24" s="109"/>
      <c r="MNJ24" s="109"/>
      <c r="MNK24" s="109"/>
      <c r="MNL24" s="109"/>
      <c r="MNM24" s="109"/>
      <c r="MNN24" s="109"/>
      <c r="MNO24" s="109"/>
      <c r="MNP24" s="109"/>
      <c r="MNQ24" s="109"/>
      <c r="MNR24" s="109"/>
      <c r="MNS24" s="109"/>
      <c r="MNT24" s="109"/>
      <c r="MNU24" s="109"/>
      <c r="MNV24" s="109"/>
      <c r="MNW24" s="109"/>
      <c r="MNX24" s="109"/>
      <c r="MNY24" s="109"/>
      <c r="MNZ24" s="109"/>
      <c r="MOA24" s="109"/>
      <c r="MOB24" s="109"/>
      <c r="MOC24" s="109"/>
      <c r="MOD24" s="109"/>
      <c r="MOE24" s="109"/>
      <c r="MOF24" s="109"/>
      <c r="MOG24" s="109"/>
      <c r="MOH24" s="109"/>
      <c r="MOI24" s="109"/>
      <c r="MOJ24" s="109"/>
      <c r="MOK24" s="109"/>
      <c r="MOL24" s="109"/>
      <c r="MOM24" s="109"/>
      <c r="MON24" s="109"/>
      <c r="MOO24" s="109"/>
      <c r="MOP24" s="109"/>
      <c r="MOQ24" s="109"/>
      <c r="MOR24" s="109"/>
      <c r="MOS24" s="109"/>
      <c r="MOT24" s="109"/>
      <c r="MOU24" s="109"/>
      <c r="MOV24" s="109"/>
      <c r="MOW24" s="109"/>
      <c r="MOX24" s="109"/>
      <c r="MOY24" s="109"/>
      <c r="MOZ24" s="109"/>
      <c r="MPA24" s="109"/>
      <c r="MPB24" s="109"/>
      <c r="MPC24" s="109"/>
      <c r="MPD24" s="109"/>
      <c r="MPE24" s="109"/>
      <c r="MPF24" s="109"/>
      <c r="MPG24" s="109"/>
      <c r="MPH24" s="109"/>
      <c r="MPI24" s="109"/>
      <c r="MPJ24" s="109"/>
      <c r="MPK24" s="109"/>
      <c r="MPL24" s="109"/>
      <c r="MPM24" s="109"/>
      <c r="MPN24" s="109"/>
      <c r="MPO24" s="109"/>
      <c r="MPP24" s="109"/>
      <c r="MPQ24" s="109"/>
      <c r="MPR24" s="109"/>
      <c r="MPS24" s="109"/>
      <c r="MPT24" s="109"/>
      <c r="MPU24" s="109"/>
      <c r="MPV24" s="109"/>
      <c r="MPW24" s="109"/>
      <c r="MPX24" s="109"/>
      <c r="MPY24" s="109"/>
      <c r="MPZ24" s="109"/>
      <c r="MQA24" s="109"/>
      <c r="MQB24" s="109"/>
      <c r="MQC24" s="109"/>
      <c r="MQD24" s="109"/>
      <c r="MQE24" s="109"/>
      <c r="MQF24" s="109"/>
      <c r="MQG24" s="109"/>
      <c r="MQH24" s="109"/>
      <c r="MQI24" s="109"/>
      <c r="MQJ24" s="109"/>
      <c r="MQK24" s="109"/>
      <c r="MQL24" s="109"/>
      <c r="MQM24" s="109"/>
      <c r="MQN24" s="109"/>
      <c r="MQO24" s="109"/>
      <c r="MQP24" s="109"/>
      <c r="MQQ24" s="109"/>
      <c r="MQR24" s="109"/>
      <c r="MQS24" s="109"/>
      <c r="MQT24" s="109"/>
      <c r="MQU24" s="109"/>
      <c r="MQV24" s="109"/>
      <c r="MQW24" s="109"/>
      <c r="MQX24" s="109"/>
      <c r="MQY24" s="109"/>
      <c r="MQZ24" s="109"/>
      <c r="MRA24" s="109"/>
      <c r="MRB24" s="109"/>
      <c r="MRC24" s="109"/>
      <c r="MRD24" s="109"/>
      <c r="MRE24" s="109"/>
      <c r="MRF24" s="109"/>
      <c r="MRG24" s="109"/>
      <c r="MRH24" s="109"/>
      <c r="MRI24" s="109"/>
      <c r="MRJ24" s="109"/>
      <c r="MRK24" s="109"/>
      <c r="MRL24" s="109"/>
      <c r="MRM24" s="109"/>
      <c r="MRN24" s="109"/>
      <c r="MRO24" s="109"/>
      <c r="MRP24" s="109"/>
      <c r="MRQ24" s="109"/>
      <c r="MRR24" s="109"/>
      <c r="MRS24" s="109"/>
      <c r="MRT24" s="109"/>
      <c r="MRU24" s="109"/>
      <c r="MRV24" s="109"/>
      <c r="MRW24" s="109"/>
      <c r="MRX24" s="109"/>
      <c r="MRY24" s="109"/>
      <c r="MRZ24" s="109"/>
      <c r="MSA24" s="109"/>
      <c r="MSB24" s="109"/>
      <c r="MSC24" s="109"/>
      <c r="MSD24" s="109"/>
      <c r="MSE24" s="109"/>
      <c r="MSF24" s="109"/>
      <c r="MSG24" s="109"/>
      <c r="MSH24" s="109"/>
      <c r="MSI24" s="109"/>
      <c r="MSJ24" s="109"/>
      <c r="MSK24" s="109"/>
      <c r="MSL24" s="109"/>
      <c r="MSM24" s="109"/>
      <c r="MSN24" s="109"/>
      <c r="MSO24" s="109"/>
      <c r="MSP24" s="109"/>
      <c r="MSQ24" s="109"/>
      <c r="MSR24" s="109"/>
      <c r="MSS24" s="109"/>
      <c r="MST24" s="109"/>
      <c r="MSU24" s="109"/>
      <c r="MSV24" s="109"/>
      <c r="MSW24" s="109"/>
      <c r="MSX24" s="109"/>
      <c r="MSY24" s="109"/>
      <c r="MSZ24" s="109"/>
      <c r="MTA24" s="109"/>
      <c r="MTB24" s="109"/>
      <c r="MTC24" s="109"/>
      <c r="MTD24" s="109"/>
      <c r="MTE24" s="109"/>
      <c r="MTF24" s="109"/>
      <c r="MTG24" s="109"/>
      <c r="MTH24" s="109"/>
      <c r="MTI24" s="109"/>
      <c r="MTJ24" s="109"/>
      <c r="MTK24" s="109"/>
      <c r="MTL24" s="109"/>
      <c r="MTM24" s="109"/>
      <c r="MTN24" s="109"/>
      <c r="MTO24" s="109"/>
      <c r="MTP24" s="109"/>
      <c r="MTQ24" s="109"/>
      <c r="MTR24" s="109"/>
      <c r="MTS24" s="109"/>
      <c r="MTT24" s="109"/>
      <c r="MTU24" s="109"/>
      <c r="MTV24" s="109"/>
      <c r="MTW24" s="109"/>
      <c r="MTX24" s="109"/>
      <c r="MTY24" s="109"/>
      <c r="MTZ24" s="109"/>
      <c r="MUA24" s="109"/>
      <c r="MUB24" s="109"/>
      <c r="MUC24" s="109"/>
      <c r="MUD24" s="109"/>
      <c r="MUE24" s="109"/>
      <c r="MUF24" s="109"/>
      <c r="MUG24" s="109"/>
      <c r="MUH24" s="109"/>
      <c r="MUI24" s="109"/>
      <c r="MUJ24" s="109"/>
      <c r="MUK24" s="109"/>
      <c r="MUL24" s="109"/>
      <c r="MUM24" s="109"/>
      <c r="MUN24" s="109"/>
      <c r="MUO24" s="109"/>
      <c r="MUP24" s="109"/>
      <c r="MUQ24" s="109"/>
      <c r="MUR24" s="109"/>
      <c r="MUS24" s="109"/>
      <c r="MUT24" s="109"/>
      <c r="MUU24" s="109"/>
      <c r="MUV24" s="109"/>
      <c r="MUW24" s="109"/>
      <c r="MUX24" s="109"/>
      <c r="MUY24" s="109"/>
      <c r="MUZ24" s="109"/>
      <c r="MVA24" s="109"/>
      <c r="MVB24" s="109"/>
      <c r="MVC24" s="109"/>
      <c r="MVD24" s="109"/>
      <c r="MVE24" s="109"/>
      <c r="MVF24" s="109"/>
      <c r="MVG24" s="109"/>
      <c r="MVH24" s="109"/>
      <c r="MVI24" s="109"/>
      <c r="MVJ24" s="109"/>
      <c r="MVK24" s="109"/>
      <c r="MVL24" s="109"/>
      <c r="MVM24" s="109"/>
      <c r="MVN24" s="109"/>
      <c r="MVO24" s="109"/>
      <c r="MVP24" s="109"/>
      <c r="MVQ24" s="109"/>
      <c r="MVR24" s="109"/>
      <c r="MVS24" s="109"/>
      <c r="MVT24" s="109"/>
      <c r="MVU24" s="109"/>
      <c r="MVV24" s="109"/>
      <c r="MVW24" s="109"/>
      <c r="MVX24" s="109"/>
      <c r="MVY24" s="109"/>
      <c r="MVZ24" s="109"/>
      <c r="MWA24" s="109"/>
      <c r="MWB24" s="109"/>
      <c r="MWC24" s="109"/>
      <c r="MWD24" s="109"/>
      <c r="MWE24" s="109"/>
      <c r="MWF24" s="109"/>
      <c r="MWG24" s="109"/>
      <c r="MWH24" s="109"/>
      <c r="MWI24" s="109"/>
      <c r="MWJ24" s="109"/>
      <c r="MWK24" s="109"/>
      <c r="MWL24" s="109"/>
      <c r="MWM24" s="109"/>
      <c r="MWN24" s="109"/>
      <c r="MWO24" s="109"/>
      <c r="MWP24" s="109"/>
      <c r="MWQ24" s="109"/>
      <c r="MWR24" s="109"/>
      <c r="MWS24" s="109"/>
      <c r="MWT24" s="109"/>
      <c r="MWU24" s="109"/>
      <c r="MWV24" s="109"/>
      <c r="MWW24" s="109"/>
      <c r="MWX24" s="109"/>
      <c r="MWY24" s="109"/>
      <c r="MWZ24" s="109"/>
      <c r="MXA24" s="109"/>
      <c r="MXB24" s="109"/>
      <c r="MXC24" s="109"/>
      <c r="MXD24" s="109"/>
      <c r="MXE24" s="109"/>
      <c r="MXF24" s="109"/>
      <c r="MXG24" s="109"/>
      <c r="MXH24" s="109"/>
      <c r="MXI24" s="109"/>
      <c r="MXJ24" s="109"/>
      <c r="MXK24" s="109"/>
      <c r="MXL24" s="109"/>
      <c r="MXM24" s="109"/>
      <c r="MXN24" s="109"/>
      <c r="MXO24" s="109"/>
      <c r="MXP24" s="109"/>
      <c r="MXQ24" s="109"/>
      <c r="MXR24" s="109"/>
      <c r="MXS24" s="109"/>
      <c r="MXT24" s="109"/>
      <c r="MXU24" s="109"/>
      <c r="MXV24" s="109"/>
      <c r="MXW24" s="109"/>
      <c r="MXX24" s="109"/>
      <c r="MXY24" s="109"/>
      <c r="MXZ24" s="109"/>
      <c r="MYA24" s="109"/>
      <c r="MYB24" s="109"/>
      <c r="MYC24" s="109"/>
      <c r="MYD24" s="109"/>
      <c r="MYE24" s="109"/>
      <c r="MYF24" s="109"/>
      <c r="MYG24" s="109"/>
      <c r="MYH24" s="109"/>
      <c r="MYI24" s="109"/>
      <c r="MYJ24" s="109"/>
      <c r="MYK24" s="109"/>
      <c r="MYL24" s="109"/>
      <c r="MYM24" s="109"/>
      <c r="MYN24" s="109"/>
      <c r="MYO24" s="109"/>
      <c r="MYP24" s="109"/>
      <c r="MYQ24" s="109"/>
      <c r="MYR24" s="109"/>
      <c r="MYS24" s="109"/>
      <c r="MYT24" s="109"/>
      <c r="MYU24" s="109"/>
      <c r="MYV24" s="109"/>
      <c r="MYW24" s="109"/>
      <c r="MYX24" s="109"/>
      <c r="MYY24" s="109"/>
      <c r="MYZ24" s="109"/>
      <c r="MZA24" s="109"/>
      <c r="MZB24" s="109"/>
      <c r="MZC24" s="109"/>
      <c r="MZD24" s="109"/>
      <c r="MZE24" s="109"/>
      <c r="MZF24" s="109"/>
      <c r="MZG24" s="109"/>
      <c r="MZH24" s="109"/>
      <c r="MZI24" s="109"/>
      <c r="MZJ24" s="109"/>
      <c r="MZK24" s="109"/>
      <c r="MZL24" s="109"/>
      <c r="MZM24" s="109"/>
      <c r="MZN24" s="109"/>
      <c r="MZO24" s="109"/>
      <c r="MZP24" s="109"/>
      <c r="MZQ24" s="109"/>
      <c r="MZR24" s="109"/>
      <c r="MZS24" s="109"/>
      <c r="MZT24" s="109"/>
      <c r="MZU24" s="109"/>
      <c r="MZV24" s="109"/>
      <c r="MZW24" s="109"/>
      <c r="MZX24" s="109"/>
      <c r="MZY24" s="109"/>
      <c r="MZZ24" s="109"/>
      <c r="NAA24" s="109"/>
      <c r="NAB24" s="109"/>
      <c r="NAC24" s="109"/>
      <c r="NAD24" s="109"/>
      <c r="NAE24" s="109"/>
      <c r="NAF24" s="109"/>
      <c r="NAG24" s="109"/>
      <c r="NAH24" s="109"/>
      <c r="NAI24" s="109"/>
      <c r="NAJ24" s="109"/>
      <c r="NAK24" s="109"/>
      <c r="NAL24" s="109"/>
      <c r="NAM24" s="109"/>
      <c r="NAN24" s="109"/>
      <c r="NAO24" s="109"/>
      <c r="NAP24" s="109"/>
      <c r="NAQ24" s="109"/>
      <c r="NAR24" s="109"/>
      <c r="NAS24" s="109"/>
      <c r="NAT24" s="109"/>
      <c r="NAU24" s="109"/>
      <c r="NAV24" s="109"/>
      <c r="NAW24" s="109"/>
      <c r="NAX24" s="109"/>
      <c r="NAY24" s="109"/>
      <c r="NAZ24" s="109"/>
      <c r="NBA24" s="109"/>
      <c r="NBB24" s="109"/>
      <c r="NBC24" s="109"/>
      <c r="NBD24" s="109"/>
      <c r="NBE24" s="109"/>
      <c r="NBF24" s="109"/>
      <c r="NBG24" s="109"/>
      <c r="NBH24" s="109"/>
      <c r="NBI24" s="109"/>
      <c r="NBJ24" s="109"/>
      <c r="NBK24" s="109"/>
      <c r="NBL24" s="109"/>
      <c r="NBM24" s="109"/>
      <c r="NBN24" s="109"/>
      <c r="NBO24" s="109"/>
      <c r="NBP24" s="109"/>
      <c r="NBQ24" s="109"/>
      <c r="NBR24" s="109"/>
      <c r="NBS24" s="109"/>
      <c r="NBT24" s="109"/>
      <c r="NBU24" s="109"/>
      <c r="NBV24" s="109"/>
      <c r="NBW24" s="109"/>
      <c r="NBX24" s="109"/>
      <c r="NBY24" s="109"/>
      <c r="NBZ24" s="109"/>
      <c r="NCA24" s="109"/>
      <c r="NCB24" s="109"/>
      <c r="NCC24" s="109"/>
      <c r="NCD24" s="109"/>
      <c r="NCE24" s="109"/>
      <c r="NCF24" s="109"/>
      <c r="NCG24" s="109"/>
      <c r="NCH24" s="109"/>
      <c r="NCI24" s="109"/>
      <c r="NCJ24" s="109"/>
      <c r="NCK24" s="109"/>
      <c r="NCL24" s="109"/>
      <c r="NCM24" s="109"/>
      <c r="NCN24" s="109"/>
      <c r="NCO24" s="109"/>
      <c r="NCP24" s="109"/>
      <c r="NCQ24" s="109"/>
      <c r="NCR24" s="109"/>
      <c r="NCS24" s="109"/>
      <c r="NCT24" s="109"/>
      <c r="NCU24" s="109"/>
      <c r="NCV24" s="109"/>
      <c r="NCW24" s="109"/>
      <c r="NCX24" s="109"/>
      <c r="NCY24" s="109"/>
      <c r="NCZ24" s="109"/>
      <c r="NDA24" s="109"/>
      <c r="NDB24" s="109"/>
      <c r="NDC24" s="109"/>
      <c r="NDD24" s="109"/>
      <c r="NDE24" s="109"/>
      <c r="NDF24" s="109"/>
      <c r="NDG24" s="109"/>
      <c r="NDH24" s="109"/>
      <c r="NDI24" s="109"/>
      <c r="NDJ24" s="109"/>
      <c r="NDK24" s="109"/>
      <c r="NDL24" s="109"/>
      <c r="NDM24" s="109"/>
      <c r="NDN24" s="109"/>
      <c r="NDO24" s="109"/>
      <c r="NDP24" s="109"/>
      <c r="NDQ24" s="109"/>
      <c r="NDR24" s="109"/>
      <c r="NDS24" s="109"/>
      <c r="NDT24" s="109"/>
      <c r="NDU24" s="109"/>
      <c r="NDV24" s="109"/>
      <c r="NDW24" s="109"/>
      <c r="NDX24" s="109"/>
      <c r="NDY24" s="109"/>
      <c r="NDZ24" s="109"/>
      <c r="NEA24" s="109"/>
      <c r="NEB24" s="109"/>
      <c r="NEC24" s="109"/>
      <c r="NED24" s="109"/>
      <c r="NEE24" s="109"/>
      <c r="NEF24" s="109"/>
      <c r="NEG24" s="109"/>
      <c r="NEH24" s="109"/>
      <c r="NEI24" s="109"/>
      <c r="NEJ24" s="109"/>
      <c r="NEK24" s="109"/>
      <c r="NEL24" s="109"/>
      <c r="NEM24" s="109"/>
      <c r="NEN24" s="109"/>
      <c r="NEO24" s="109"/>
      <c r="NEP24" s="109"/>
      <c r="NEQ24" s="109"/>
      <c r="NER24" s="109"/>
      <c r="NES24" s="109"/>
      <c r="NET24" s="109"/>
      <c r="NEU24" s="109"/>
      <c r="NEV24" s="109"/>
      <c r="NEW24" s="109"/>
      <c r="NEX24" s="109"/>
      <c r="NEY24" s="109"/>
      <c r="NEZ24" s="109"/>
      <c r="NFA24" s="109"/>
      <c r="NFB24" s="109"/>
      <c r="NFC24" s="109"/>
      <c r="NFD24" s="109"/>
      <c r="NFE24" s="109"/>
      <c r="NFF24" s="109"/>
      <c r="NFG24" s="109"/>
      <c r="NFH24" s="109"/>
      <c r="NFI24" s="109"/>
      <c r="NFJ24" s="109"/>
      <c r="NFK24" s="109"/>
      <c r="NFL24" s="109"/>
      <c r="NFM24" s="109"/>
      <c r="NFN24" s="109"/>
      <c r="NFO24" s="109"/>
      <c r="NFP24" s="109"/>
      <c r="NFQ24" s="109"/>
      <c r="NFR24" s="109"/>
      <c r="NFS24" s="109"/>
      <c r="NFT24" s="109"/>
      <c r="NFU24" s="109"/>
      <c r="NFV24" s="109"/>
      <c r="NFW24" s="109"/>
      <c r="NFX24" s="109"/>
      <c r="NFY24" s="109"/>
      <c r="NFZ24" s="109"/>
      <c r="NGA24" s="109"/>
      <c r="NGB24" s="109"/>
      <c r="NGC24" s="109"/>
      <c r="NGD24" s="109"/>
      <c r="NGE24" s="109"/>
      <c r="NGF24" s="109"/>
      <c r="NGG24" s="109"/>
      <c r="NGH24" s="109"/>
      <c r="NGI24" s="109"/>
      <c r="NGJ24" s="109"/>
      <c r="NGK24" s="109"/>
      <c r="NGL24" s="109"/>
      <c r="NGM24" s="109"/>
      <c r="NGN24" s="109"/>
      <c r="NGO24" s="109"/>
      <c r="NGP24" s="109"/>
      <c r="NGQ24" s="109"/>
      <c r="NGR24" s="109"/>
      <c r="NGS24" s="109"/>
      <c r="NGT24" s="109"/>
      <c r="NGU24" s="109"/>
      <c r="NGV24" s="109"/>
      <c r="NGW24" s="109"/>
      <c r="NGX24" s="109"/>
      <c r="NGY24" s="109"/>
      <c r="NGZ24" s="109"/>
      <c r="NHA24" s="109"/>
      <c r="NHB24" s="109"/>
      <c r="NHC24" s="109"/>
      <c r="NHD24" s="109"/>
      <c r="NHE24" s="109"/>
      <c r="NHF24" s="109"/>
      <c r="NHG24" s="109"/>
      <c r="NHH24" s="109"/>
      <c r="NHI24" s="109"/>
      <c r="NHJ24" s="109"/>
      <c r="NHK24" s="109"/>
      <c r="NHL24" s="109"/>
      <c r="NHM24" s="109"/>
      <c r="NHN24" s="109"/>
      <c r="NHO24" s="109"/>
      <c r="NHP24" s="109"/>
      <c r="NHQ24" s="109"/>
      <c r="NHR24" s="109"/>
      <c r="NHS24" s="109"/>
      <c r="NHT24" s="109"/>
      <c r="NHU24" s="109"/>
      <c r="NHV24" s="109"/>
      <c r="NHW24" s="109"/>
      <c r="NHX24" s="109"/>
      <c r="NHY24" s="109"/>
      <c r="NHZ24" s="109"/>
      <c r="NIA24" s="109"/>
      <c r="NIB24" s="109"/>
      <c r="NIC24" s="109"/>
      <c r="NID24" s="109"/>
      <c r="NIE24" s="109"/>
      <c r="NIF24" s="109"/>
      <c r="NIG24" s="109"/>
      <c r="NIH24" s="109"/>
      <c r="NII24" s="109"/>
      <c r="NIJ24" s="109"/>
      <c r="NIK24" s="109"/>
      <c r="NIL24" s="109"/>
      <c r="NIM24" s="109"/>
      <c r="NIN24" s="109"/>
      <c r="NIO24" s="109"/>
      <c r="NIP24" s="109"/>
      <c r="NIQ24" s="109"/>
      <c r="NIR24" s="109"/>
      <c r="NIS24" s="109"/>
      <c r="NIT24" s="109"/>
      <c r="NIU24" s="109"/>
      <c r="NIV24" s="109"/>
      <c r="NIW24" s="109"/>
      <c r="NIX24" s="109"/>
      <c r="NIY24" s="109"/>
      <c r="NIZ24" s="109"/>
      <c r="NJA24" s="109"/>
      <c r="NJB24" s="109"/>
      <c r="NJC24" s="109"/>
      <c r="NJD24" s="109"/>
      <c r="NJE24" s="109"/>
      <c r="NJF24" s="109"/>
      <c r="NJG24" s="109"/>
      <c r="NJH24" s="109"/>
      <c r="NJI24" s="109"/>
      <c r="NJJ24" s="109"/>
      <c r="NJK24" s="109"/>
      <c r="NJL24" s="109"/>
      <c r="NJM24" s="109"/>
      <c r="NJN24" s="109"/>
      <c r="NJO24" s="109"/>
      <c r="NJP24" s="109"/>
      <c r="NJQ24" s="109"/>
      <c r="NJR24" s="109"/>
      <c r="NJS24" s="109"/>
      <c r="NJT24" s="109"/>
      <c r="NJU24" s="109"/>
      <c r="NJV24" s="109"/>
      <c r="NJW24" s="109"/>
      <c r="NJX24" s="109"/>
      <c r="NJY24" s="109"/>
      <c r="NJZ24" s="109"/>
      <c r="NKA24" s="109"/>
      <c r="NKB24" s="109"/>
      <c r="NKC24" s="109"/>
      <c r="NKD24" s="109"/>
      <c r="NKE24" s="109"/>
      <c r="NKF24" s="109"/>
      <c r="NKG24" s="109"/>
      <c r="NKH24" s="109"/>
      <c r="NKI24" s="109"/>
      <c r="NKJ24" s="109"/>
      <c r="NKK24" s="109"/>
      <c r="NKL24" s="109"/>
      <c r="NKM24" s="109"/>
      <c r="NKN24" s="109"/>
      <c r="NKO24" s="109"/>
      <c r="NKP24" s="109"/>
      <c r="NKQ24" s="109"/>
      <c r="NKR24" s="109"/>
      <c r="NKS24" s="109"/>
      <c r="NKT24" s="109"/>
      <c r="NKU24" s="109"/>
      <c r="NKV24" s="109"/>
      <c r="NKW24" s="109"/>
      <c r="NKX24" s="109"/>
      <c r="NKY24" s="109"/>
      <c r="NKZ24" s="109"/>
      <c r="NLA24" s="109"/>
      <c r="NLB24" s="109"/>
      <c r="NLC24" s="109"/>
      <c r="NLD24" s="109"/>
      <c r="NLE24" s="109"/>
      <c r="NLF24" s="109"/>
      <c r="NLG24" s="109"/>
      <c r="NLH24" s="109"/>
      <c r="NLI24" s="109"/>
      <c r="NLJ24" s="109"/>
      <c r="NLK24" s="109"/>
      <c r="NLL24" s="109"/>
      <c r="NLM24" s="109"/>
      <c r="NLN24" s="109"/>
      <c r="NLO24" s="109"/>
      <c r="NLP24" s="109"/>
      <c r="NLQ24" s="109"/>
      <c r="NLR24" s="109"/>
      <c r="NLS24" s="109"/>
      <c r="NLT24" s="109"/>
      <c r="NLU24" s="109"/>
      <c r="NLV24" s="109"/>
      <c r="NLW24" s="109"/>
      <c r="NLX24" s="109"/>
      <c r="NLY24" s="109"/>
      <c r="NLZ24" s="109"/>
      <c r="NMA24" s="109"/>
      <c r="NMB24" s="109"/>
      <c r="NMC24" s="109"/>
      <c r="NMD24" s="109"/>
      <c r="NME24" s="109"/>
      <c r="NMF24" s="109"/>
      <c r="NMG24" s="109"/>
      <c r="NMH24" s="109"/>
      <c r="NMI24" s="109"/>
      <c r="NMJ24" s="109"/>
      <c r="NMK24" s="109"/>
      <c r="NML24" s="109"/>
      <c r="NMM24" s="109"/>
      <c r="NMN24" s="109"/>
      <c r="NMO24" s="109"/>
      <c r="NMP24" s="109"/>
      <c r="NMQ24" s="109"/>
      <c r="NMR24" s="109"/>
      <c r="NMS24" s="109"/>
      <c r="NMT24" s="109"/>
      <c r="NMU24" s="109"/>
      <c r="NMV24" s="109"/>
      <c r="NMW24" s="109"/>
      <c r="NMX24" s="109"/>
      <c r="NMY24" s="109"/>
      <c r="NMZ24" s="109"/>
      <c r="NNA24" s="109"/>
      <c r="NNB24" s="109"/>
      <c r="NNC24" s="109"/>
      <c r="NND24" s="109"/>
      <c r="NNE24" s="109"/>
      <c r="NNF24" s="109"/>
      <c r="NNG24" s="109"/>
      <c r="NNH24" s="109"/>
      <c r="NNI24" s="109"/>
      <c r="NNJ24" s="109"/>
      <c r="NNK24" s="109"/>
      <c r="NNL24" s="109"/>
      <c r="NNM24" s="109"/>
      <c r="NNN24" s="109"/>
      <c r="NNO24" s="109"/>
      <c r="NNP24" s="109"/>
      <c r="NNQ24" s="109"/>
      <c r="NNR24" s="109"/>
      <c r="NNS24" s="109"/>
      <c r="NNT24" s="109"/>
      <c r="NNU24" s="109"/>
      <c r="NNV24" s="109"/>
      <c r="NNW24" s="109"/>
      <c r="NNX24" s="109"/>
      <c r="NNY24" s="109"/>
      <c r="NNZ24" s="109"/>
      <c r="NOA24" s="109"/>
      <c r="NOB24" s="109"/>
      <c r="NOC24" s="109"/>
      <c r="NOD24" s="109"/>
      <c r="NOE24" s="109"/>
      <c r="NOF24" s="109"/>
      <c r="NOG24" s="109"/>
      <c r="NOH24" s="109"/>
      <c r="NOI24" s="109"/>
      <c r="NOJ24" s="109"/>
      <c r="NOK24" s="109"/>
      <c r="NOL24" s="109"/>
      <c r="NOM24" s="109"/>
      <c r="NON24" s="109"/>
      <c r="NOO24" s="109"/>
      <c r="NOP24" s="109"/>
      <c r="NOQ24" s="109"/>
      <c r="NOR24" s="109"/>
      <c r="NOS24" s="109"/>
      <c r="NOT24" s="109"/>
      <c r="NOU24" s="109"/>
      <c r="NOV24" s="109"/>
      <c r="NOW24" s="109"/>
      <c r="NOX24" s="109"/>
      <c r="NOY24" s="109"/>
      <c r="NOZ24" s="109"/>
      <c r="NPA24" s="109"/>
      <c r="NPB24" s="109"/>
      <c r="NPC24" s="109"/>
      <c r="NPD24" s="109"/>
      <c r="NPE24" s="109"/>
      <c r="NPF24" s="109"/>
      <c r="NPG24" s="109"/>
      <c r="NPH24" s="109"/>
      <c r="NPI24" s="109"/>
      <c r="NPJ24" s="109"/>
      <c r="NPK24" s="109"/>
      <c r="NPL24" s="109"/>
      <c r="NPM24" s="109"/>
      <c r="NPN24" s="109"/>
      <c r="NPO24" s="109"/>
      <c r="NPP24" s="109"/>
      <c r="NPQ24" s="109"/>
      <c r="NPR24" s="109"/>
      <c r="NPS24" s="109"/>
      <c r="NPT24" s="109"/>
      <c r="NPU24" s="109"/>
      <c r="NPV24" s="109"/>
      <c r="NPW24" s="109"/>
      <c r="NPX24" s="109"/>
      <c r="NPY24" s="109"/>
      <c r="NPZ24" s="109"/>
      <c r="NQA24" s="109"/>
      <c r="NQB24" s="109"/>
      <c r="NQC24" s="109"/>
      <c r="NQD24" s="109"/>
      <c r="NQE24" s="109"/>
      <c r="NQF24" s="109"/>
      <c r="NQG24" s="109"/>
      <c r="NQH24" s="109"/>
      <c r="NQI24" s="109"/>
      <c r="NQJ24" s="109"/>
      <c r="NQK24" s="109"/>
      <c r="NQL24" s="109"/>
      <c r="NQM24" s="109"/>
      <c r="NQN24" s="109"/>
      <c r="NQO24" s="109"/>
      <c r="NQP24" s="109"/>
      <c r="NQQ24" s="109"/>
      <c r="NQR24" s="109"/>
      <c r="NQS24" s="109"/>
      <c r="NQT24" s="109"/>
      <c r="NQU24" s="109"/>
      <c r="NQV24" s="109"/>
      <c r="NQW24" s="109"/>
      <c r="NQX24" s="109"/>
      <c r="NQY24" s="109"/>
      <c r="NQZ24" s="109"/>
      <c r="NRA24" s="109"/>
      <c r="NRB24" s="109"/>
      <c r="NRC24" s="109"/>
      <c r="NRD24" s="109"/>
      <c r="NRE24" s="109"/>
      <c r="NRF24" s="109"/>
      <c r="NRG24" s="109"/>
      <c r="NRH24" s="109"/>
      <c r="NRI24" s="109"/>
      <c r="NRJ24" s="109"/>
      <c r="NRK24" s="109"/>
      <c r="NRL24" s="109"/>
      <c r="NRM24" s="109"/>
      <c r="NRN24" s="109"/>
      <c r="NRO24" s="109"/>
      <c r="NRP24" s="109"/>
      <c r="NRQ24" s="109"/>
      <c r="NRR24" s="109"/>
      <c r="NRS24" s="109"/>
      <c r="NRT24" s="109"/>
      <c r="NRU24" s="109"/>
      <c r="NRV24" s="109"/>
      <c r="NRW24" s="109"/>
      <c r="NRX24" s="109"/>
      <c r="NRY24" s="109"/>
      <c r="NRZ24" s="109"/>
      <c r="NSA24" s="109"/>
      <c r="NSB24" s="109"/>
      <c r="NSC24" s="109"/>
      <c r="NSD24" s="109"/>
      <c r="NSE24" s="109"/>
      <c r="NSF24" s="109"/>
      <c r="NSG24" s="109"/>
      <c r="NSH24" s="109"/>
      <c r="NSI24" s="109"/>
      <c r="NSJ24" s="109"/>
      <c r="NSK24" s="109"/>
      <c r="NSL24" s="109"/>
      <c r="NSM24" s="109"/>
      <c r="NSN24" s="109"/>
      <c r="NSO24" s="109"/>
      <c r="NSP24" s="109"/>
      <c r="NSQ24" s="109"/>
      <c r="NSR24" s="109"/>
      <c r="NSS24" s="109"/>
      <c r="NST24" s="109"/>
      <c r="NSU24" s="109"/>
      <c r="NSV24" s="109"/>
      <c r="NSW24" s="109"/>
      <c r="NSX24" s="109"/>
      <c r="NSY24" s="109"/>
      <c r="NSZ24" s="109"/>
      <c r="NTA24" s="109"/>
      <c r="NTB24" s="109"/>
      <c r="NTC24" s="109"/>
      <c r="NTD24" s="109"/>
      <c r="NTE24" s="109"/>
      <c r="NTF24" s="109"/>
      <c r="NTG24" s="109"/>
      <c r="NTH24" s="109"/>
      <c r="NTI24" s="109"/>
      <c r="NTJ24" s="109"/>
      <c r="NTK24" s="109"/>
      <c r="NTL24" s="109"/>
      <c r="NTM24" s="109"/>
      <c r="NTN24" s="109"/>
      <c r="NTO24" s="109"/>
      <c r="NTP24" s="109"/>
      <c r="NTQ24" s="109"/>
      <c r="NTR24" s="109"/>
      <c r="NTS24" s="109"/>
      <c r="NTT24" s="109"/>
      <c r="NTU24" s="109"/>
      <c r="NTV24" s="109"/>
      <c r="NTW24" s="109"/>
      <c r="NTX24" s="109"/>
      <c r="NTY24" s="109"/>
      <c r="NTZ24" s="109"/>
      <c r="NUA24" s="109"/>
      <c r="NUB24" s="109"/>
      <c r="NUC24" s="109"/>
      <c r="NUD24" s="109"/>
      <c r="NUE24" s="109"/>
      <c r="NUF24" s="109"/>
      <c r="NUG24" s="109"/>
      <c r="NUH24" s="109"/>
      <c r="NUI24" s="109"/>
      <c r="NUJ24" s="109"/>
      <c r="NUK24" s="109"/>
      <c r="NUL24" s="109"/>
      <c r="NUM24" s="109"/>
      <c r="NUN24" s="109"/>
      <c r="NUO24" s="109"/>
      <c r="NUP24" s="109"/>
      <c r="NUQ24" s="109"/>
      <c r="NUR24" s="109"/>
      <c r="NUS24" s="109"/>
      <c r="NUT24" s="109"/>
      <c r="NUU24" s="109"/>
      <c r="NUV24" s="109"/>
      <c r="NUW24" s="109"/>
      <c r="NUX24" s="109"/>
      <c r="NUY24" s="109"/>
      <c r="NUZ24" s="109"/>
      <c r="NVA24" s="109"/>
      <c r="NVB24" s="109"/>
      <c r="NVC24" s="109"/>
      <c r="NVD24" s="109"/>
      <c r="NVE24" s="109"/>
      <c r="NVF24" s="109"/>
      <c r="NVG24" s="109"/>
      <c r="NVH24" s="109"/>
      <c r="NVI24" s="109"/>
      <c r="NVJ24" s="109"/>
      <c r="NVK24" s="109"/>
      <c r="NVL24" s="109"/>
      <c r="NVM24" s="109"/>
      <c r="NVN24" s="109"/>
      <c r="NVO24" s="109"/>
      <c r="NVP24" s="109"/>
      <c r="NVQ24" s="109"/>
      <c r="NVR24" s="109"/>
      <c r="NVS24" s="109"/>
      <c r="NVT24" s="109"/>
      <c r="NVU24" s="109"/>
      <c r="NVV24" s="109"/>
      <c r="NVW24" s="109"/>
      <c r="NVX24" s="109"/>
      <c r="NVY24" s="109"/>
      <c r="NVZ24" s="109"/>
      <c r="NWA24" s="109"/>
      <c r="NWB24" s="109"/>
      <c r="NWC24" s="109"/>
      <c r="NWD24" s="109"/>
      <c r="NWE24" s="109"/>
      <c r="NWF24" s="109"/>
      <c r="NWG24" s="109"/>
      <c r="NWH24" s="109"/>
      <c r="NWI24" s="109"/>
      <c r="NWJ24" s="109"/>
      <c r="NWK24" s="109"/>
      <c r="NWL24" s="109"/>
      <c r="NWM24" s="109"/>
      <c r="NWN24" s="109"/>
      <c r="NWO24" s="109"/>
      <c r="NWP24" s="109"/>
      <c r="NWQ24" s="109"/>
      <c r="NWR24" s="109"/>
      <c r="NWS24" s="109"/>
      <c r="NWT24" s="109"/>
      <c r="NWU24" s="109"/>
      <c r="NWV24" s="109"/>
      <c r="NWW24" s="109"/>
      <c r="NWX24" s="109"/>
      <c r="NWY24" s="109"/>
      <c r="NWZ24" s="109"/>
      <c r="NXA24" s="109"/>
      <c r="NXB24" s="109"/>
      <c r="NXC24" s="109"/>
      <c r="NXD24" s="109"/>
      <c r="NXE24" s="109"/>
      <c r="NXF24" s="109"/>
      <c r="NXG24" s="109"/>
      <c r="NXH24" s="109"/>
      <c r="NXI24" s="109"/>
      <c r="NXJ24" s="109"/>
      <c r="NXK24" s="109"/>
      <c r="NXL24" s="109"/>
      <c r="NXM24" s="109"/>
      <c r="NXN24" s="109"/>
      <c r="NXO24" s="109"/>
      <c r="NXP24" s="109"/>
      <c r="NXQ24" s="109"/>
      <c r="NXR24" s="109"/>
      <c r="NXS24" s="109"/>
      <c r="NXT24" s="109"/>
      <c r="NXU24" s="109"/>
      <c r="NXV24" s="109"/>
      <c r="NXW24" s="109"/>
      <c r="NXX24" s="109"/>
      <c r="NXY24" s="109"/>
      <c r="NXZ24" s="109"/>
      <c r="NYA24" s="109"/>
      <c r="NYB24" s="109"/>
      <c r="NYC24" s="109"/>
      <c r="NYD24" s="109"/>
      <c r="NYE24" s="109"/>
      <c r="NYF24" s="109"/>
      <c r="NYG24" s="109"/>
      <c r="NYH24" s="109"/>
      <c r="NYI24" s="109"/>
      <c r="NYJ24" s="109"/>
      <c r="NYK24" s="109"/>
      <c r="NYL24" s="109"/>
      <c r="NYM24" s="109"/>
      <c r="NYN24" s="109"/>
      <c r="NYO24" s="109"/>
      <c r="NYP24" s="109"/>
      <c r="NYQ24" s="109"/>
      <c r="NYR24" s="109"/>
      <c r="NYS24" s="109"/>
      <c r="NYT24" s="109"/>
      <c r="NYU24" s="109"/>
      <c r="NYV24" s="109"/>
      <c r="NYW24" s="109"/>
      <c r="NYX24" s="109"/>
      <c r="NYY24" s="109"/>
      <c r="NYZ24" s="109"/>
      <c r="NZA24" s="109"/>
      <c r="NZB24" s="109"/>
      <c r="NZC24" s="109"/>
      <c r="NZD24" s="109"/>
      <c r="NZE24" s="109"/>
      <c r="NZF24" s="109"/>
      <c r="NZG24" s="109"/>
      <c r="NZH24" s="109"/>
      <c r="NZI24" s="109"/>
      <c r="NZJ24" s="109"/>
      <c r="NZK24" s="109"/>
      <c r="NZL24" s="109"/>
      <c r="NZM24" s="109"/>
      <c r="NZN24" s="109"/>
      <c r="NZO24" s="109"/>
      <c r="NZP24" s="109"/>
      <c r="NZQ24" s="109"/>
      <c r="NZR24" s="109"/>
      <c r="NZS24" s="109"/>
      <c r="NZT24" s="109"/>
      <c r="NZU24" s="109"/>
      <c r="NZV24" s="109"/>
      <c r="NZW24" s="109"/>
      <c r="NZX24" s="109"/>
      <c r="NZY24" s="109"/>
      <c r="NZZ24" s="109"/>
      <c r="OAA24" s="109"/>
      <c r="OAB24" s="109"/>
      <c r="OAC24" s="109"/>
      <c r="OAD24" s="109"/>
      <c r="OAE24" s="109"/>
      <c r="OAF24" s="109"/>
      <c r="OAG24" s="109"/>
      <c r="OAH24" s="109"/>
      <c r="OAI24" s="109"/>
      <c r="OAJ24" s="109"/>
      <c r="OAK24" s="109"/>
      <c r="OAL24" s="109"/>
      <c r="OAM24" s="109"/>
      <c r="OAN24" s="109"/>
      <c r="OAO24" s="109"/>
      <c r="OAP24" s="109"/>
      <c r="OAQ24" s="109"/>
      <c r="OAR24" s="109"/>
      <c r="OAS24" s="109"/>
      <c r="OAT24" s="109"/>
      <c r="OAU24" s="109"/>
      <c r="OAV24" s="109"/>
      <c r="OAW24" s="109"/>
      <c r="OAX24" s="109"/>
      <c r="OAY24" s="109"/>
      <c r="OAZ24" s="109"/>
      <c r="OBA24" s="109"/>
      <c r="OBB24" s="109"/>
      <c r="OBC24" s="109"/>
      <c r="OBD24" s="109"/>
      <c r="OBE24" s="109"/>
      <c r="OBF24" s="109"/>
      <c r="OBG24" s="109"/>
      <c r="OBH24" s="109"/>
      <c r="OBI24" s="109"/>
      <c r="OBJ24" s="109"/>
      <c r="OBK24" s="109"/>
      <c r="OBL24" s="109"/>
      <c r="OBM24" s="109"/>
      <c r="OBN24" s="109"/>
      <c r="OBO24" s="109"/>
      <c r="OBP24" s="109"/>
      <c r="OBQ24" s="109"/>
      <c r="OBR24" s="109"/>
      <c r="OBS24" s="109"/>
      <c r="OBT24" s="109"/>
      <c r="OBU24" s="109"/>
      <c r="OBV24" s="109"/>
      <c r="OBW24" s="109"/>
      <c r="OBX24" s="109"/>
      <c r="OBY24" s="109"/>
      <c r="OBZ24" s="109"/>
      <c r="OCA24" s="109"/>
      <c r="OCB24" s="109"/>
      <c r="OCC24" s="109"/>
      <c r="OCD24" s="109"/>
      <c r="OCE24" s="109"/>
      <c r="OCF24" s="109"/>
      <c r="OCG24" s="109"/>
      <c r="OCH24" s="109"/>
      <c r="OCI24" s="109"/>
      <c r="OCJ24" s="109"/>
      <c r="OCK24" s="109"/>
      <c r="OCL24" s="109"/>
      <c r="OCM24" s="109"/>
      <c r="OCN24" s="109"/>
      <c r="OCO24" s="109"/>
      <c r="OCP24" s="109"/>
      <c r="OCQ24" s="109"/>
      <c r="OCR24" s="109"/>
      <c r="OCS24" s="109"/>
      <c r="OCT24" s="109"/>
      <c r="OCU24" s="109"/>
      <c r="OCV24" s="109"/>
      <c r="OCW24" s="109"/>
      <c r="OCX24" s="109"/>
      <c r="OCY24" s="109"/>
      <c r="OCZ24" s="109"/>
      <c r="ODA24" s="109"/>
      <c r="ODB24" s="109"/>
      <c r="ODC24" s="109"/>
      <c r="ODD24" s="109"/>
      <c r="ODE24" s="109"/>
      <c r="ODF24" s="109"/>
      <c r="ODG24" s="109"/>
      <c r="ODH24" s="109"/>
      <c r="ODI24" s="109"/>
      <c r="ODJ24" s="109"/>
      <c r="ODK24" s="109"/>
      <c r="ODL24" s="109"/>
      <c r="ODM24" s="109"/>
      <c r="ODN24" s="109"/>
      <c r="ODO24" s="109"/>
      <c r="ODP24" s="109"/>
      <c r="ODQ24" s="109"/>
      <c r="ODR24" s="109"/>
      <c r="ODS24" s="109"/>
      <c r="ODT24" s="109"/>
      <c r="ODU24" s="109"/>
      <c r="ODV24" s="109"/>
      <c r="ODW24" s="109"/>
      <c r="ODX24" s="109"/>
      <c r="ODY24" s="109"/>
      <c r="ODZ24" s="109"/>
      <c r="OEA24" s="109"/>
      <c r="OEB24" s="109"/>
      <c r="OEC24" s="109"/>
      <c r="OED24" s="109"/>
      <c r="OEE24" s="109"/>
      <c r="OEF24" s="109"/>
      <c r="OEG24" s="109"/>
      <c r="OEH24" s="109"/>
      <c r="OEI24" s="109"/>
      <c r="OEJ24" s="109"/>
      <c r="OEK24" s="109"/>
      <c r="OEL24" s="109"/>
      <c r="OEM24" s="109"/>
      <c r="OEN24" s="109"/>
      <c r="OEO24" s="109"/>
      <c r="OEP24" s="109"/>
      <c r="OEQ24" s="109"/>
      <c r="OER24" s="109"/>
      <c r="OES24" s="109"/>
      <c r="OET24" s="109"/>
      <c r="OEU24" s="109"/>
      <c r="OEV24" s="109"/>
      <c r="OEW24" s="109"/>
      <c r="OEX24" s="109"/>
      <c r="OEY24" s="109"/>
      <c r="OEZ24" s="109"/>
      <c r="OFA24" s="109"/>
      <c r="OFB24" s="109"/>
      <c r="OFC24" s="109"/>
      <c r="OFD24" s="109"/>
      <c r="OFE24" s="109"/>
      <c r="OFF24" s="109"/>
      <c r="OFG24" s="109"/>
      <c r="OFH24" s="109"/>
      <c r="OFI24" s="109"/>
      <c r="OFJ24" s="109"/>
      <c r="OFK24" s="109"/>
      <c r="OFL24" s="109"/>
      <c r="OFM24" s="109"/>
      <c r="OFN24" s="109"/>
      <c r="OFO24" s="109"/>
      <c r="OFP24" s="109"/>
      <c r="OFQ24" s="109"/>
      <c r="OFR24" s="109"/>
      <c r="OFS24" s="109"/>
      <c r="OFT24" s="109"/>
      <c r="OFU24" s="109"/>
      <c r="OFV24" s="109"/>
      <c r="OFW24" s="109"/>
      <c r="OFX24" s="109"/>
      <c r="OFY24" s="109"/>
      <c r="OFZ24" s="109"/>
      <c r="OGA24" s="109"/>
      <c r="OGB24" s="109"/>
      <c r="OGC24" s="109"/>
      <c r="OGD24" s="109"/>
      <c r="OGE24" s="109"/>
      <c r="OGF24" s="109"/>
      <c r="OGG24" s="109"/>
      <c r="OGH24" s="109"/>
      <c r="OGI24" s="109"/>
      <c r="OGJ24" s="109"/>
      <c r="OGK24" s="109"/>
      <c r="OGL24" s="109"/>
      <c r="OGM24" s="109"/>
      <c r="OGN24" s="109"/>
      <c r="OGO24" s="109"/>
      <c r="OGP24" s="109"/>
      <c r="OGQ24" s="109"/>
      <c r="OGR24" s="109"/>
      <c r="OGS24" s="109"/>
      <c r="OGT24" s="109"/>
      <c r="OGU24" s="109"/>
      <c r="OGV24" s="109"/>
      <c r="OGW24" s="109"/>
      <c r="OGX24" s="109"/>
      <c r="OGY24" s="109"/>
      <c r="OGZ24" s="109"/>
      <c r="OHA24" s="109"/>
      <c r="OHB24" s="109"/>
      <c r="OHC24" s="109"/>
      <c r="OHD24" s="109"/>
      <c r="OHE24" s="109"/>
      <c r="OHF24" s="109"/>
      <c r="OHG24" s="109"/>
      <c r="OHH24" s="109"/>
      <c r="OHI24" s="109"/>
      <c r="OHJ24" s="109"/>
      <c r="OHK24" s="109"/>
      <c r="OHL24" s="109"/>
      <c r="OHM24" s="109"/>
      <c r="OHN24" s="109"/>
      <c r="OHO24" s="109"/>
      <c r="OHP24" s="109"/>
      <c r="OHQ24" s="109"/>
      <c r="OHR24" s="109"/>
      <c r="OHS24" s="109"/>
      <c r="OHT24" s="109"/>
      <c r="OHU24" s="109"/>
      <c r="OHV24" s="109"/>
      <c r="OHW24" s="109"/>
      <c r="OHX24" s="109"/>
      <c r="OHY24" s="109"/>
      <c r="OHZ24" s="109"/>
      <c r="OIA24" s="109"/>
      <c r="OIB24" s="109"/>
      <c r="OIC24" s="109"/>
      <c r="OID24" s="109"/>
      <c r="OIE24" s="109"/>
      <c r="OIF24" s="109"/>
      <c r="OIG24" s="109"/>
      <c r="OIH24" s="109"/>
      <c r="OII24" s="109"/>
      <c r="OIJ24" s="109"/>
      <c r="OIK24" s="109"/>
      <c r="OIL24" s="109"/>
      <c r="OIM24" s="109"/>
      <c r="OIN24" s="109"/>
      <c r="OIO24" s="109"/>
      <c r="OIP24" s="109"/>
      <c r="OIQ24" s="109"/>
      <c r="OIR24" s="109"/>
      <c r="OIS24" s="109"/>
      <c r="OIT24" s="109"/>
      <c r="OIU24" s="109"/>
      <c r="OIV24" s="109"/>
      <c r="OIW24" s="109"/>
      <c r="OIX24" s="109"/>
      <c r="OIY24" s="109"/>
      <c r="OIZ24" s="109"/>
      <c r="OJA24" s="109"/>
      <c r="OJB24" s="109"/>
      <c r="OJC24" s="109"/>
      <c r="OJD24" s="109"/>
      <c r="OJE24" s="109"/>
      <c r="OJF24" s="109"/>
      <c r="OJG24" s="109"/>
      <c r="OJH24" s="109"/>
      <c r="OJI24" s="109"/>
      <c r="OJJ24" s="109"/>
      <c r="OJK24" s="109"/>
      <c r="OJL24" s="109"/>
      <c r="OJM24" s="109"/>
      <c r="OJN24" s="109"/>
      <c r="OJO24" s="109"/>
      <c r="OJP24" s="109"/>
      <c r="OJQ24" s="109"/>
      <c r="OJR24" s="109"/>
      <c r="OJS24" s="109"/>
      <c r="OJT24" s="109"/>
      <c r="OJU24" s="109"/>
      <c r="OJV24" s="109"/>
      <c r="OJW24" s="109"/>
      <c r="OJX24" s="109"/>
      <c r="OJY24" s="109"/>
      <c r="OJZ24" s="109"/>
      <c r="OKA24" s="109"/>
      <c r="OKB24" s="109"/>
      <c r="OKC24" s="109"/>
      <c r="OKD24" s="109"/>
      <c r="OKE24" s="109"/>
      <c r="OKF24" s="109"/>
      <c r="OKG24" s="109"/>
      <c r="OKH24" s="109"/>
      <c r="OKI24" s="109"/>
      <c r="OKJ24" s="109"/>
      <c r="OKK24" s="109"/>
      <c r="OKL24" s="109"/>
      <c r="OKM24" s="109"/>
      <c r="OKN24" s="109"/>
      <c r="OKO24" s="109"/>
      <c r="OKP24" s="109"/>
      <c r="OKQ24" s="109"/>
      <c r="OKR24" s="109"/>
      <c r="OKS24" s="109"/>
      <c r="OKT24" s="109"/>
      <c r="OKU24" s="109"/>
      <c r="OKV24" s="109"/>
      <c r="OKW24" s="109"/>
      <c r="OKX24" s="109"/>
      <c r="OKY24" s="109"/>
      <c r="OKZ24" s="109"/>
      <c r="OLA24" s="109"/>
      <c r="OLB24" s="109"/>
      <c r="OLC24" s="109"/>
      <c r="OLD24" s="109"/>
      <c r="OLE24" s="109"/>
      <c r="OLF24" s="109"/>
      <c r="OLG24" s="109"/>
      <c r="OLH24" s="109"/>
      <c r="OLI24" s="109"/>
      <c r="OLJ24" s="109"/>
      <c r="OLK24" s="109"/>
      <c r="OLL24" s="109"/>
      <c r="OLM24" s="109"/>
      <c r="OLN24" s="109"/>
      <c r="OLO24" s="109"/>
      <c r="OLP24" s="109"/>
      <c r="OLQ24" s="109"/>
      <c r="OLR24" s="109"/>
      <c r="OLS24" s="109"/>
      <c r="OLT24" s="109"/>
      <c r="OLU24" s="109"/>
      <c r="OLV24" s="109"/>
      <c r="OLW24" s="109"/>
      <c r="OLX24" s="109"/>
      <c r="OLY24" s="109"/>
      <c r="OLZ24" s="109"/>
      <c r="OMA24" s="109"/>
      <c r="OMB24" s="109"/>
      <c r="OMC24" s="109"/>
      <c r="OMD24" s="109"/>
      <c r="OME24" s="109"/>
      <c r="OMF24" s="109"/>
      <c r="OMG24" s="109"/>
      <c r="OMH24" s="109"/>
      <c r="OMI24" s="109"/>
      <c r="OMJ24" s="109"/>
      <c r="OMK24" s="109"/>
      <c r="OML24" s="109"/>
      <c r="OMM24" s="109"/>
      <c r="OMN24" s="109"/>
      <c r="OMO24" s="109"/>
      <c r="OMP24" s="109"/>
      <c r="OMQ24" s="109"/>
      <c r="OMR24" s="109"/>
      <c r="OMS24" s="109"/>
      <c r="OMT24" s="109"/>
      <c r="OMU24" s="109"/>
      <c r="OMV24" s="109"/>
      <c r="OMW24" s="109"/>
      <c r="OMX24" s="109"/>
      <c r="OMY24" s="109"/>
      <c r="OMZ24" s="109"/>
      <c r="ONA24" s="109"/>
      <c r="ONB24" s="109"/>
      <c r="ONC24" s="109"/>
      <c r="OND24" s="109"/>
      <c r="ONE24" s="109"/>
      <c r="ONF24" s="109"/>
      <c r="ONG24" s="109"/>
      <c r="ONH24" s="109"/>
      <c r="ONI24" s="109"/>
      <c r="ONJ24" s="109"/>
      <c r="ONK24" s="109"/>
      <c r="ONL24" s="109"/>
      <c r="ONM24" s="109"/>
      <c r="ONN24" s="109"/>
      <c r="ONO24" s="109"/>
      <c r="ONP24" s="109"/>
      <c r="ONQ24" s="109"/>
      <c r="ONR24" s="109"/>
      <c r="ONS24" s="109"/>
      <c r="ONT24" s="109"/>
      <c r="ONU24" s="109"/>
      <c r="ONV24" s="109"/>
      <c r="ONW24" s="109"/>
      <c r="ONX24" s="109"/>
      <c r="ONY24" s="109"/>
      <c r="ONZ24" s="109"/>
      <c r="OOA24" s="109"/>
      <c r="OOB24" s="109"/>
      <c r="OOC24" s="109"/>
      <c r="OOD24" s="109"/>
      <c r="OOE24" s="109"/>
      <c r="OOF24" s="109"/>
      <c r="OOG24" s="109"/>
      <c r="OOH24" s="109"/>
      <c r="OOI24" s="109"/>
      <c r="OOJ24" s="109"/>
      <c r="OOK24" s="109"/>
      <c r="OOL24" s="109"/>
      <c r="OOM24" s="109"/>
      <c r="OON24" s="109"/>
      <c r="OOO24" s="109"/>
      <c r="OOP24" s="109"/>
      <c r="OOQ24" s="109"/>
      <c r="OOR24" s="109"/>
      <c r="OOS24" s="109"/>
      <c r="OOT24" s="109"/>
      <c r="OOU24" s="109"/>
      <c r="OOV24" s="109"/>
      <c r="OOW24" s="109"/>
      <c r="OOX24" s="109"/>
      <c r="OOY24" s="109"/>
      <c r="OOZ24" s="109"/>
      <c r="OPA24" s="109"/>
      <c r="OPB24" s="109"/>
      <c r="OPC24" s="109"/>
      <c r="OPD24" s="109"/>
      <c r="OPE24" s="109"/>
      <c r="OPF24" s="109"/>
      <c r="OPG24" s="109"/>
      <c r="OPH24" s="109"/>
      <c r="OPI24" s="109"/>
      <c r="OPJ24" s="109"/>
      <c r="OPK24" s="109"/>
      <c r="OPL24" s="109"/>
      <c r="OPM24" s="109"/>
      <c r="OPN24" s="109"/>
      <c r="OPO24" s="109"/>
      <c r="OPP24" s="109"/>
      <c r="OPQ24" s="109"/>
      <c r="OPR24" s="109"/>
      <c r="OPS24" s="109"/>
      <c r="OPT24" s="109"/>
      <c r="OPU24" s="109"/>
      <c r="OPV24" s="109"/>
      <c r="OPW24" s="109"/>
      <c r="OPX24" s="109"/>
      <c r="OPY24" s="109"/>
      <c r="OPZ24" s="109"/>
      <c r="OQA24" s="109"/>
      <c r="OQB24" s="109"/>
      <c r="OQC24" s="109"/>
      <c r="OQD24" s="109"/>
      <c r="OQE24" s="109"/>
      <c r="OQF24" s="109"/>
      <c r="OQG24" s="109"/>
      <c r="OQH24" s="109"/>
      <c r="OQI24" s="109"/>
      <c r="OQJ24" s="109"/>
      <c r="OQK24" s="109"/>
      <c r="OQL24" s="109"/>
      <c r="OQM24" s="109"/>
      <c r="OQN24" s="109"/>
      <c r="OQO24" s="109"/>
      <c r="OQP24" s="109"/>
      <c r="OQQ24" s="109"/>
      <c r="OQR24" s="109"/>
      <c r="OQS24" s="109"/>
      <c r="OQT24" s="109"/>
      <c r="OQU24" s="109"/>
      <c r="OQV24" s="109"/>
      <c r="OQW24" s="109"/>
      <c r="OQX24" s="109"/>
      <c r="OQY24" s="109"/>
      <c r="OQZ24" s="109"/>
      <c r="ORA24" s="109"/>
      <c r="ORB24" s="109"/>
      <c r="ORC24" s="109"/>
      <c r="ORD24" s="109"/>
      <c r="ORE24" s="109"/>
      <c r="ORF24" s="109"/>
      <c r="ORG24" s="109"/>
      <c r="ORH24" s="109"/>
      <c r="ORI24" s="109"/>
      <c r="ORJ24" s="109"/>
      <c r="ORK24" s="109"/>
      <c r="ORL24" s="109"/>
      <c r="ORM24" s="109"/>
      <c r="ORN24" s="109"/>
      <c r="ORO24" s="109"/>
      <c r="ORP24" s="109"/>
      <c r="ORQ24" s="109"/>
      <c r="ORR24" s="109"/>
      <c r="ORS24" s="109"/>
      <c r="ORT24" s="109"/>
      <c r="ORU24" s="109"/>
      <c r="ORV24" s="109"/>
      <c r="ORW24" s="109"/>
      <c r="ORX24" s="109"/>
      <c r="ORY24" s="109"/>
      <c r="ORZ24" s="109"/>
      <c r="OSA24" s="109"/>
      <c r="OSB24" s="109"/>
      <c r="OSC24" s="109"/>
      <c r="OSD24" s="109"/>
      <c r="OSE24" s="109"/>
      <c r="OSF24" s="109"/>
      <c r="OSG24" s="109"/>
      <c r="OSH24" s="109"/>
      <c r="OSI24" s="109"/>
      <c r="OSJ24" s="109"/>
      <c r="OSK24" s="109"/>
      <c r="OSL24" s="109"/>
      <c r="OSM24" s="109"/>
      <c r="OSN24" s="109"/>
      <c r="OSO24" s="109"/>
      <c r="OSP24" s="109"/>
      <c r="OSQ24" s="109"/>
      <c r="OSR24" s="109"/>
      <c r="OSS24" s="109"/>
      <c r="OST24" s="109"/>
      <c r="OSU24" s="109"/>
      <c r="OSV24" s="109"/>
      <c r="OSW24" s="109"/>
      <c r="OSX24" s="109"/>
      <c r="OSY24" s="109"/>
      <c r="OSZ24" s="109"/>
      <c r="OTA24" s="109"/>
      <c r="OTB24" s="109"/>
      <c r="OTC24" s="109"/>
      <c r="OTD24" s="109"/>
      <c r="OTE24" s="109"/>
      <c r="OTF24" s="109"/>
      <c r="OTG24" s="109"/>
      <c r="OTH24" s="109"/>
      <c r="OTI24" s="109"/>
      <c r="OTJ24" s="109"/>
      <c r="OTK24" s="109"/>
      <c r="OTL24" s="109"/>
      <c r="OTM24" s="109"/>
      <c r="OTN24" s="109"/>
      <c r="OTO24" s="109"/>
      <c r="OTP24" s="109"/>
      <c r="OTQ24" s="109"/>
      <c r="OTR24" s="109"/>
      <c r="OTS24" s="109"/>
      <c r="OTT24" s="109"/>
      <c r="OTU24" s="109"/>
      <c r="OTV24" s="109"/>
      <c r="OTW24" s="109"/>
      <c r="OTX24" s="109"/>
      <c r="OTY24" s="109"/>
      <c r="OTZ24" s="109"/>
      <c r="OUA24" s="109"/>
      <c r="OUB24" s="109"/>
      <c r="OUC24" s="109"/>
      <c r="OUD24" s="109"/>
      <c r="OUE24" s="109"/>
      <c r="OUF24" s="109"/>
      <c r="OUG24" s="109"/>
      <c r="OUH24" s="109"/>
      <c r="OUI24" s="109"/>
      <c r="OUJ24" s="109"/>
      <c r="OUK24" s="109"/>
      <c r="OUL24" s="109"/>
      <c r="OUM24" s="109"/>
      <c r="OUN24" s="109"/>
      <c r="OUO24" s="109"/>
      <c r="OUP24" s="109"/>
      <c r="OUQ24" s="109"/>
      <c r="OUR24" s="109"/>
      <c r="OUS24" s="109"/>
      <c r="OUT24" s="109"/>
      <c r="OUU24" s="109"/>
      <c r="OUV24" s="109"/>
      <c r="OUW24" s="109"/>
      <c r="OUX24" s="109"/>
      <c r="OUY24" s="109"/>
      <c r="OUZ24" s="109"/>
      <c r="OVA24" s="109"/>
      <c r="OVB24" s="109"/>
      <c r="OVC24" s="109"/>
      <c r="OVD24" s="109"/>
      <c r="OVE24" s="109"/>
      <c r="OVF24" s="109"/>
      <c r="OVG24" s="109"/>
      <c r="OVH24" s="109"/>
      <c r="OVI24" s="109"/>
      <c r="OVJ24" s="109"/>
      <c r="OVK24" s="109"/>
      <c r="OVL24" s="109"/>
      <c r="OVM24" s="109"/>
      <c r="OVN24" s="109"/>
      <c r="OVO24" s="109"/>
      <c r="OVP24" s="109"/>
      <c r="OVQ24" s="109"/>
      <c r="OVR24" s="109"/>
      <c r="OVS24" s="109"/>
      <c r="OVT24" s="109"/>
      <c r="OVU24" s="109"/>
      <c r="OVV24" s="109"/>
      <c r="OVW24" s="109"/>
      <c r="OVX24" s="109"/>
      <c r="OVY24" s="109"/>
      <c r="OVZ24" s="109"/>
      <c r="OWA24" s="109"/>
      <c r="OWB24" s="109"/>
      <c r="OWC24" s="109"/>
      <c r="OWD24" s="109"/>
      <c r="OWE24" s="109"/>
      <c r="OWF24" s="109"/>
      <c r="OWG24" s="109"/>
      <c r="OWH24" s="109"/>
      <c r="OWI24" s="109"/>
      <c r="OWJ24" s="109"/>
      <c r="OWK24" s="109"/>
      <c r="OWL24" s="109"/>
      <c r="OWM24" s="109"/>
      <c r="OWN24" s="109"/>
      <c r="OWO24" s="109"/>
      <c r="OWP24" s="109"/>
      <c r="OWQ24" s="109"/>
      <c r="OWR24" s="109"/>
      <c r="OWS24" s="109"/>
      <c r="OWT24" s="109"/>
      <c r="OWU24" s="109"/>
      <c r="OWV24" s="109"/>
      <c r="OWW24" s="109"/>
      <c r="OWX24" s="109"/>
      <c r="OWY24" s="109"/>
      <c r="OWZ24" s="109"/>
      <c r="OXA24" s="109"/>
      <c r="OXB24" s="109"/>
      <c r="OXC24" s="109"/>
      <c r="OXD24" s="109"/>
      <c r="OXE24" s="109"/>
      <c r="OXF24" s="109"/>
      <c r="OXG24" s="109"/>
      <c r="OXH24" s="109"/>
      <c r="OXI24" s="109"/>
      <c r="OXJ24" s="109"/>
      <c r="OXK24" s="109"/>
      <c r="OXL24" s="109"/>
      <c r="OXM24" s="109"/>
      <c r="OXN24" s="109"/>
      <c r="OXO24" s="109"/>
      <c r="OXP24" s="109"/>
      <c r="OXQ24" s="109"/>
      <c r="OXR24" s="109"/>
      <c r="OXS24" s="109"/>
      <c r="OXT24" s="109"/>
      <c r="OXU24" s="109"/>
      <c r="OXV24" s="109"/>
      <c r="OXW24" s="109"/>
      <c r="OXX24" s="109"/>
      <c r="OXY24" s="109"/>
      <c r="OXZ24" s="109"/>
      <c r="OYA24" s="109"/>
      <c r="OYB24" s="109"/>
      <c r="OYC24" s="109"/>
      <c r="OYD24" s="109"/>
      <c r="OYE24" s="109"/>
      <c r="OYF24" s="109"/>
      <c r="OYG24" s="109"/>
      <c r="OYH24" s="109"/>
      <c r="OYI24" s="109"/>
      <c r="OYJ24" s="109"/>
      <c r="OYK24" s="109"/>
      <c r="OYL24" s="109"/>
      <c r="OYM24" s="109"/>
      <c r="OYN24" s="109"/>
      <c r="OYO24" s="109"/>
      <c r="OYP24" s="109"/>
      <c r="OYQ24" s="109"/>
      <c r="OYR24" s="109"/>
      <c r="OYS24" s="109"/>
      <c r="OYT24" s="109"/>
      <c r="OYU24" s="109"/>
      <c r="OYV24" s="109"/>
      <c r="OYW24" s="109"/>
      <c r="OYX24" s="109"/>
      <c r="OYY24" s="109"/>
      <c r="OYZ24" s="109"/>
      <c r="OZA24" s="109"/>
      <c r="OZB24" s="109"/>
      <c r="OZC24" s="109"/>
      <c r="OZD24" s="109"/>
      <c r="OZE24" s="109"/>
      <c r="OZF24" s="109"/>
      <c r="OZG24" s="109"/>
      <c r="OZH24" s="109"/>
      <c r="OZI24" s="109"/>
      <c r="OZJ24" s="109"/>
      <c r="OZK24" s="109"/>
      <c r="OZL24" s="109"/>
      <c r="OZM24" s="109"/>
      <c r="OZN24" s="109"/>
      <c r="OZO24" s="109"/>
      <c r="OZP24" s="109"/>
      <c r="OZQ24" s="109"/>
      <c r="OZR24" s="109"/>
      <c r="OZS24" s="109"/>
      <c r="OZT24" s="109"/>
      <c r="OZU24" s="109"/>
      <c r="OZV24" s="109"/>
      <c r="OZW24" s="109"/>
      <c r="OZX24" s="109"/>
      <c r="OZY24" s="109"/>
      <c r="OZZ24" s="109"/>
      <c r="PAA24" s="109"/>
      <c r="PAB24" s="109"/>
      <c r="PAC24" s="109"/>
      <c r="PAD24" s="109"/>
      <c r="PAE24" s="109"/>
      <c r="PAF24" s="109"/>
      <c r="PAG24" s="109"/>
      <c r="PAH24" s="109"/>
      <c r="PAI24" s="109"/>
      <c r="PAJ24" s="109"/>
      <c r="PAK24" s="109"/>
      <c r="PAL24" s="109"/>
      <c r="PAM24" s="109"/>
      <c r="PAN24" s="109"/>
      <c r="PAO24" s="109"/>
      <c r="PAP24" s="109"/>
      <c r="PAQ24" s="109"/>
      <c r="PAR24" s="109"/>
      <c r="PAS24" s="109"/>
      <c r="PAT24" s="109"/>
      <c r="PAU24" s="109"/>
      <c r="PAV24" s="109"/>
      <c r="PAW24" s="109"/>
      <c r="PAX24" s="109"/>
      <c r="PAY24" s="109"/>
      <c r="PAZ24" s="109"/>
      <c r="PBA24" s="109"/>
      <c r="PBB24" s="109"/>
      <c r="PBC24" s="109"/>
      <c r="PBD24" s="109"/>
      <c r="PBE24" s="109"/>
      <c r="PBF24" s="109"/>
      <c r="PBG24" s="109"/>
      <c r="PBH24" s="109"/>
      <c r="PBI24" s="109"/>
      <c r="PBJ24" s="109"/>
      <c r="PBK24" s="109"/>
      <c r="PBL24" s="109"/>
      <c r="PBM24" s="109"/>
      <c r="PBN24" s="109"/>
      <c r="PBO24" s="109"/>
      <c r="PBP24" s="109"/>
      <c r="PBQ24" s="109"/>
      <c r="PBR24" s="109"/>
      <c r="PBS24" s="109"/>
      <c r="PBT24" s="109"/>
      <c r="PBU24" s="109"/>
      <c r="PBV24" s="109"/>
      <c r="PBW24" s="109"/>
      <c r="PBX24" s="109"/>
      <c r="PBY24" s="109"/>
      <c r="PBZ24" s="109"/>
      <c r="PCA24" s="109"/>
      <c r="PCB24" s="109"/>
      <c r="PCC24" s="109"/>
      <c r="PCD24" s="109"/>
      <c r="PCE24" s="109"/>
      <c r="PCF24" s="109"/>
      <c r="PCG24" s="109"/>
      <c r="PCH24" s="109"/>
      <c r="PCI24" s="109"/>
      <c r="PCJ24" s="109"/>
      <c r="PCK24" s="109"/>
      <c r="PCL24" s="109"/>
      <c r="PCM24" s="109"/>
      <c r="PCN24" s="109"/>
      <c r="PCO24" s="109"/>
      <c r="PCP24" s="109"/>
      <c r="PCQ24" s="109"/>
      <c r="PCR24" s="109"/>
      <c r="PCS24" s="109"/>
      <c r="PCT24" s="109"/>
      <c r="PCU24" s="109"/>
      <c r="PCV24" s="109"/>
      <c r="PCW24" s="109"/>
      <c r="PCX24" s="109"/>
      <c r="PCY24" s="109"/>
      <c r="PCZ24" s="109"/>
      <c r="PDA24" s="109"/>
      <c r="PDB24" s="109"/>
      <c r="PDC24" s="109"/>
      <c r="PDD24" s="109"/>
      <c r="PDE24" s="109"/>
      <c r="PDF24" s="109"/>
      <c r="PDG24" s="109"/>
      <c r="PDH24" s="109"/>
      <c r="PDI24" s="109"/>
      <c r="PDJ24" s="109"/>
      <c r="PDK24" s="109"/>
      <c r="PDL24" s="109"/>
      <c r="PDM24" s="109"/>
      <c r="PDN24" s="109"/>
      <c r="PDO24" s="109"/>
      <c r="PDP24" s="109"/>
      <c r="PDQ24" s="109"/>
      <c r="PDR24" s="109"/>
      <c r="PDS24" s="109"/>
      <c r="PDT24" s="109"/>
      <c r="PDU24" s="109"/>
      <c r="PDV24" s="109"/>
      <c r="PDW24" s="109"/>
      <c r="PDX24" s="109"/>
      <c r="PDY24" s="109"/>
      <c r="PDZ24" s="109"/>
      <c r="PEA24" s="109"/>
      <c r="PEB24" s="109"/>
      <c r="PEC24" s="109"/>
      <c r="PED24" s="109"/>
      <c r="PEE24" s="109"/>
      <c r="PEF24" s="109"/>
      <c r="PEG24" s="109"/>
      <c r="PEH24" s="109"/>
      <c r="PEI24" s="109"/>
      <c r="PEJ24" s="109"/>
      <c r="PEK24" s="109"/>
      <c r="PEL24" s="109"/>
      <c r="PEM24" s="109"/>
      <c r="PEN24" s="109"/>
      <c r="PEO24" s="109"/>
      <c r="PEP24" s="109"/>
      <c r="PEQ24" s="109"/>
      <c r="PER24" s="109"/>
      <c r="PES24" s="109"/>
      <c r="PET24" s="109"/>
      <c r="PEU24" s="109"/>
      <c r="PEV24" s="109"/>
      <c r="PEW24" s="109"/>
      <c r="PEX24" s="109"/>
      <c r="PEY24" s="109"/>
      <c r="PEZ24" s="109"/>
      <c r="PFA24" s="109"/>
      <c r="PFB24" s="109"/>
      <c r="PFC24" s="109"/>
      <c r="PFD24" s="109"/>
      <c r="PFE24" s="109"/>
      <c r="PFF24" s="109"/>
      <c r="PFG24" s="109"/>
      <c r="PFH24" s="109"/>
      <c r="PFI24" s="109"/>
      <c r="PFJ24" s="109"/>
      <c r="PFK24" s="109"/>
      <c r="PFL24" s="109"/>
      <c r="PFM24" s="109"/>
      <c r="PFN24" s="109"/>
      <c r="PFO24" s="109"/>
      <c r="PFP24" s="109"/>
      <c r="PFQ24" s="109"/>
      <c r="PFR24" s="109"/>
      <c r="PFS24" s="109"/>
      <c r="PFT24" s="109"/>
      <c r="PFU24" s="109"/>
      <c r="PFV24" s="109"/>
      <c r="PFW24" s="109"/>
      <c r="PFX24" s="109"/>
      <c r="PFY24" s="109"/>
      <c r="PFZ24" s="109"/>
      <c r="PGA24" s="109"/>
      <c r="PGB24" s="109"/>
      <c r="PGC24" s="109"/>
      <c r="PGD24" s="109"/>
      <c r="PGE24" s="109"/>
      <c r="PGF24" s="109"/>
      <c r="PGG24" s="109"/>
      <c r="PGH24" s="109"/>
      <c r="PGI24" s="109"/>
      <c r="PGJ24" s="109"/>
      <c r="PGK24" s="109"/>
      <c r="PGL24" s="109"/>
      <c r="PGM24" s="109"/>
      <c r="PGN24" s="109"/>
      <c r="PGO24" s="109"/>
      <c r="PGP24" s="109"/>
      <c r="PGQ24" s="109"/>
      <c r="PGR24" s="109"/>
      <c r="PGS24" s="109"/>
      <c r="PGT24" s="109"/>
      <c r="PGU24" s="109"/>
      <c r="PGV24" s="109"/>
      <c r="PGW24" s="109"/>
      <c r="PGX24" s="109"/>
      <c r="PGY24" s="109"/>
      <c r="PGZ24" s="109"/>
      <c r="PHA24" s="109"/>
      <c r="PHB24" s="109"/>
      <c r="PHC24" s="109"/>
      <c r="PHD24" s="109"/>
      <c r="PHE24" s="109"/>
      <c r="PHF24" s="109"/>
      <c r="PHG24" s="109"/>
      <c r="PHH24" s="109"/>
      <c r="PHI24" s="109"/>
      <c r="PHJ24" s="109"/>
      <c r="PHK24" s="109"/>
      <c r="PHL24" s="109"/>
      <c r="PHM24" s="109"/>
      <c r="PHN24" s="109"/>
      <c r="PHO24" s="109"/>
      <c r="PHP24" s="109"/>
      <c r="PHQ24" s="109"/>
      <c r="PHR24" s="109"/>
      <c r="PHS24" s="109"/>
      <c r="PHT24" s="109"/>
      <c r="PHU24" s="109"/>
      <c r="PHV24" s="109"/>
      <c r="PHW24" s="109"/>
      <c r="PHX24" s="109"/>
      <c r="PHY24" s="109"/>
      <c r="PHZ24" s="109"/>
      <c r="PIA24" s="109"/>
      <c r="PIB24" s="109"/>
      <c r="PIC24" s="109"/>
      <c r="PID24" s="109"/>
      <c r="PIE24" s="109"/>
      <c r="PIF24" s="109"/>
      <c r="PIG24" s="109"/>
      <c r="PIH24" s="109"/>
      <c r="PII24" s="109"/>
      <c r="PIJ24" s="109"/>
      <c r="PIK24" s="109"/>
      <c r="PIL24" s="109"/>
      <c r="PIM24" s="109"/>
      <c r="PIN24" s="109"/>
      <c r="PIO24" s="109"/>
      <c r="PIP24" s="109"/>
      <c r="PIQ24" s="109"/>
      <c r="PIR24" s="109"/>
      <c r="PIS24" s="109"/>
      <c r="PIT24" s="109"/>
      <c r="PIU24" s="109"/>
      <c r="PIV24" s="109"/>
      <c r="PIW24" s="109"/>
      <c r="PIX24" s="109"/>
      <c r="PIY24" s="109"/>
      <c r="PIZ24" s="109"/>
      <c r="PJA24" s="109"/>
      <c r="PJB24" s="109"/>
      <c r="PJC24" s="109"/>
      <c r="PJD24" s="109"/>
      <c r="PJE24" s="109"/>
      <c r="PJF24" s="109"/>
      <c r="PJG24" s="109"/>
      <c r="PJH24" s="109"/>
      <c r="PJI24" s="109"/>
      <c r="PJJ24" s="109"/>
      <c r="PJK24" s="109"/>
      <c r="PJL24" s="109"/>
      <c r="PJM24" s="109"/>
      <c r="PJN24" s="109"/>
      <c r="PJO24" s="109"/>
      <c r="PJP24" s="109"/>
      <c r="PJQ24" s="109"/>
      <c r="PJR24" s="109"/>
      <c r="PJS24" s="109"/>
      <c r="PJT24" s="109"/>
      <c r="PJU24" s="109"/>
      <c r="PJV24" s="109"/>
      <c r="PJW24" s="109"/>
      <c r="PJX24" s="109"/>
      <c r="PJY24" s="109"/>
      <c r="PJZ24" s="109"/>
      <c r="PKA24" s="109"/>
      <c r="PKB24" s="109"/>
      <c r="PKC24" s="109"/>
      <c r="PKD24" s="109"/>
      <c r="PKE24" s="109"/>
      <c r="PKF24" s="109"/>
      <c r="PKG24" s="109"/>
      <c r="PKH24" s="109"/>
      <c r="PKI24" s="109"/>
      <c r="PKJ24" s="109"/>
      <c r="PKK24" s="109"/>
      <c r="PKL24" s="109"/>
      <c r="PKM24" s="109"/>
      <c r="PKN24" s="109"/>
      <c r="PKO24" s="109"/>
      <c r="PKP24" s="109"/>
      <c r="PKQ24" s="109"/>
      <c r="PKR24" s="109"/>
      <c r="PKS24" s="109"/>
      <c r="PKT24" s="109"/>
      <c r="PKU24" s="109"/>
      <c r="PKV24" s="109"/>
      <c r="PKW24" s="109"/>
      <c r="PKX24" s="109"/>
      <c r="PKY24" s="109"/>
      <c r="PKZ24" s="109"/>
      <c r="PLA24" s="109"/>
      <c r="PLB24" s="109"/>
      <c r="PLC24" s="109"/>
      <c r="PLD24" s="109"/>
      <c r="PLE24" s="109"/>
      <c r="PLF24" s="109"/>
      <c r="PLG24" s="109"/>
      <c r="PLH24" s="109"/>
      <c r="PLI24" s="109"/>
      <c r="PLJ24" s="109"/>
      <c r="PLK24" s="109"/>
      <c r="PLL24" s="109"/>
      <c r="PLM24" s="109"/>
      <c r="PLN24" s="109"/>
      <c r="PLO24" s="109"/>
      <c r="PLP24" s="109"/>
      <c r="PLQ24" s="109"/>
      <c r="PLR24" s="109"/>
      <c r="PLS24" s="109"/>
      <c r="PLT24" s="109"/>
      <c r="PLU24" s="109"/>
      <c r="PLV24" s="109"/>
      <c r="PLW24" s="109"/>
      <c r="PLX24" s="109"/>
      <c r="PLY24" s="109"/>
      <c r="PLZ24" s="109"/>
      <c r="PMA24" s="109"/>
      <c r="PMB24" s="109"/>
      <c r="PMC24" s="109"/>
      <c r="PMD24" s="109"/>
      <c r="PME24" s="109"/>
      <c r="PMF24" s="109"/>
      <c r="PMG24" s="109"/>
      <c r="PMH24" s="109"/>
      <c r="PMI24" s="109"/>
      <c r="PMJ24" s="109"/>
      <c r="PMK24" s="109"/>
      <c r="PML24" s="109"/>
      <c r="PMM24" s="109"/>
      <c r="PMN24" s="109"/>
      <c r="PMO24" s="109"/>
      <c r="PMP24" s="109"/>
      <c r="PMQ24" s="109"/>
      <c r="PMR24" s="109"/>
      <c r="PMS24" s="109"/>
      <c r="PMT24" s="109"/>
      <c r="PMU24" s="109"/>
      <c r="PMV24" s="109"/>
      <c r="PMW24" s="109"/>
      <c r="PMX24" s="109"/>
      <c r="PMY24" s="109"/>
      <c r="PMZ24" s="109"/>
      <c r="PNA24" s="109"/>
      <c r="PNB24" s="109"/>
      <c r="PNC24" s="109"/>
      <c r="PND24" s="109"/>
      <c r="PNE24" s="109"/>
      <c r="PNF24" s="109"/>
      <c r="PNG24" s="109"/>
      <c r="PNH24" s="109"/>
      <c r="PNI24" s="109"/>
      <c r="PNJ24" s="109"/>
      <c r="PNK24" s="109"/>
      <c r="PNL24" s="109"/>
      <c r="PNM24" s="109"/>
      <c r="PNN24" s="109"/>
      <c r="PNO24" s="109"/>
      <c r="PNP24" s="109"/>
      <c r="PNQ24" s="109"/>
      <c r="PNR24" s="109"/>
      <c r="PNS24" s="109"/>
      <c r="PNT24" s="109"/>
      <c r="PNU24" s="109"/>
      <c r="PNV24" s="109"/>
      <c r="PNW24" s="109"/>
      <c r="PNX24" s="109"/>
      <c r="PNY24" s="109"/>
      <c r="PNZ24" s="109"/>
      <c r="POA24" s="109"/>
      <c r="POB24" s="109"/>
      <c r="POC24" s="109"/>
      <c r="POD24" s="109"/>
      <c r="POE24" s="109"/>
      <c r="POF24" s="109"/>
      <c r="POG24" s="109"/>
      <c r="POH24" s="109"/>
      <c r="POI24" s="109"/>
      <c r="POJ24" s="109"/>
      <c r="POK24" s="109"/>
      <c r="POL24" s="109"/>
      <c r="POM24" s="109"/>
      <c r="PON24" s="109"/>
      <c r="POO24" s="109"/>
      <c r="POP24" s="109"/>
      <c r="POQ24" s="109"/>
      <c r="POR24" s="109"/>
      <c r="POS24" s="109"/>
      <c r="POT24" s="109"/>
      <c r="POU24" s="109"/>
      <c r="POV24" s="109"/>
      <c r="POW24" s="109"/>
      <c r="POX24" s="109"/>
      <c r="POY24" s="109"/>
      <c r="POZ24" s="109"/>
      <c r="PPA24" s="109"/>
      <c r="PPB24" s="109"/>
      <c r="PPC24" s="109"/>
      <c r="PPD24" s="109"/>
      <c r="PPE24" s="109"/>
      <c r="PPF24" s="109"/>
      <c r="PPG24" s="109"/>
      <c r="PPH24" s="109"/>
      <c r="PPI24" s="109"/>
      <c r="PPJ24" s="109"/>
      <c r="PPK24" s="109"/>
      <c r="PPL24" s="109"/>
      <c r="PPM24" s="109"/>
      <c r="PPN24" s="109"/>
      <c r="PPO24" s="109"/>
      <c r="PPP24" s="109"/>
      <c r="PPQ24" s="109"/>
      <c r="PPR24" s="109"/>
      <c r="PPS24" s="109"/>
      <c r="PPT24" s="109"/>
      <c r="PPU24" s="109"/>
      <c r="PPV24" s="109"/>
      <c r="PPW24" s="109"/>
      <c r="PPX24" s="109"/>
      <c r="PPY24" s="109"/>
      <c r="PPZ24" s="109"/>
      <c r="PQA24" s="109"/>
      <c r="PQB24" s="109"/>
      <c r="PQC24" s="109"/>
      <c r="PQD24" s="109"/>
      <c r="PQE24" s="109"/>
      <c r="PQF24" s="109"/>
      <c r="PQG24" s="109"/>
      <c r="PQH24" s="109"/>
      <c r="PQI24" s="109"/>
      <c r="PQJ24" s="109"/>
      <c r="PQK24" s="109"/>
      <c r="PQL24" s="109"/>
      <c r="PQM24" s="109"/>
      <c r="PQN24" s="109"/>
      <c r="PQO24" s="109"/>
      <c r="PQP24" s="109"/>
      <c r="PQQ24" s="109"/>
      <c r="PQR24" s="109"/>
      <c r="PQS24" s="109"/>
      <c r="PQT24" s="109"/>
      <c r="PQU24" s="109"/>
      <c r="PQV24" s="109"/>
      <c r="PQW24" s="109"/>
      <c r="PQX24" s="109"/>
      <c r="PQY24" s="109"/>
      <c r="PQZ24" s="109"/>
      <c r="PRA24" s="109"/>
      <c r="PRB24" s="109"/>
      <c r="PRC24" s="109"/>
      <c r="PRD24" s="109"/>
      <c r="PRE24" s="109"/>
      <c r="PRF24" s="109"/>
      <c r="PRG24" s="109"/>
      <c r="PRH24" s="109"/>
      <c r="PRI24" s="109"/>
      <c r="PRJ24" s="109"/>
      <c r="PRK24" s="109"/>
      <c r="PRL24" s="109"/>
      <c r="PRM24" s="109"/>
      <c r="PRN24" s="109"/>
      <c r="PRO24" s="109"/>
      <c r="PRP24" s="109"/>
      <c r="PRQ24" s="109"/>
      <c r="PRR24" s="109"/>
      <c r="PRS24" s="109"/>
      <c r="PRT24" s="109"/>
      <c r="PRU24" s="109"/>
      <c r="PRV24" s="109"/>
      <c r="PRW24" s="109"/>
      <c r="PRX24" s="109"/>
      <c r="PRY24" s="109"/>
      <c r="PRZ24" s="109"/>
      <c r="PSA24" s="109"/>
      <c r="PSB24" s="109"/>
      <c r="PSC24" s="109"/>
      <c r="PSD24" s="109"/>
      <c r="PSE24" s="109"/>
      <c r="PSF24" s="109"/>
      <c r="PSG24" s="109"/>
      <c r="PSH24" s="109"/>
      <c r="PSI24" s="109"/>
      <c r="PSJ24" s="109"/>
      <c r="PSK24" s="109"/>
      <c r="PSL24" s="109"/>
      <c r="PSM24" s="109"/>
      <c r="PSN24" s="109"/>
      <c r="PSO24" s="109"/>
      <c r="PSP24" s="109"/>
      <c r="PSQ24" s="109"/>
      <c r="PSR24" s="109"/>
      <c r="PSS24" s="109"/>
      <c r="PST24" s="109"/>
      <c r="PSU24" s="109"/>
      <c r="PSV24" s="109"/>
      <c r="PSW24" s="109"/>
      <c r="PSX24" s="109"/>
      <c r="PSY24" s="109"/>
      <c r="PSZ24" s="109"/>
      <c r="PTA24" s="109"/>
      <c r="PTB24" s="109"/>
      <c r="PTC24" s="109"/>
      <c r="PTD24" s="109"/>
      <c r="PTE24" s="109"/>
      <c r="PTF24" s="109"/>
      <c r="PTG24" s="109"/>
      <c r="PTH24" s="109"/>
      <c r="PTI24" s="109"/>
      <c r="PTJ24" s="109"/>
      <c r="PTK24" s="109"/>
      <c r="PTL24" s="109"/>
      <c r="PTM24" s="109"/>
      <c r="PTN24" s="109"/>
      <c r="PTO24" s="109"/>
      <c r="PTP24" s="109"/>
      <c r="PTQ24" s="109"/>
      <c r="PTR24" s="109"/>
      <c r="PTS24" s="109"/>
      <c r="PTT24" s="109"/>
      <c r="PTU24" s="109"/>
      <c r="PTV24" s="109"/>
      <c r="PTW24" s="109"/>
      <c r="PTX24" s="109"/>
      <c r="PTY24" s="109"/>
      <c r="PTZ24" s="109"/>
      <c r="PUA24" s="109"/>
      <c r="PUB24" s="109"/>
      <c r="PUC24" s="109"/>
      <c r="PUD24" s="109"/>
      <c r="PUE24" s="109"/>
      <c r="PUF24" s="109"/>
      <c r="PUG24" s="109"/>
      <c r="PUH24" s="109"/>
      <c r="PUI24" s="109"/>
      <c r="PUJ24" s="109"/>
      <c r="PUK24" s="109"/>
      <c r="PUL24" s="109"/>
      <c r="PUM24" s="109"/>
      <c r="PUN24" s="109"/>
      <c r="PUO24" s="109"/>
      <c r="PUP24" s="109"/>
      <c r="PUQ24" s="109"/>
      <c r="PUR24" s="109"/>
      <c r="PUS24" s="109"/>
      <c r="PUT24" s="109"/>
      <c r="PUU24" s="109"/>
      <c r="PUV24" s="109"/>
      <c r="PUW24" s="109"/>
      <c r="PUX24" s="109"/>
      <c r="PUY24" s="109"/>
      <c r="PUZ24" s="109"/>
      <c r="PVA24" s="109"/>
      <c r="PVB24" s="109"/>
      <c r="PVC24" s="109"/>
      <c r="PVD24" s="109"/>
      <c r="PVE24" s="109"/>
      <c r="PVF24" s="109"/>
      <c r="PVG24" s="109"/>
      <c r="PVH24" s="109"/>
      <c r="PVI24" s="109"/>
      <c r="PVJ24" s="109"/>
      <c r="PVK24" s="109"/>
      <c r="PVL24" s="109"/>
      <c r="PVM24" s="109"/>
      <c r="PVN24" s="109"/>
      <c r="PVO24" s="109"/>
      <c r="PVP24" s="109"/>
      <c r="PVQ24" s="109"/>
      <c r="PVR24" s="109"/>
      <c r="PVS24" s="109"/>
      <c r="PVT24" s="109"/>
      <c r="PVU24" s="109"/>
      <c r="PVV24" s="109"/>
      <c r="PVW24" s="109"/>
      <c r="PVX24" s="109"/>
      <c r="PVY24" s="109"/>
      <c r="PVZ24" s="109"/>
      <c r="PWA24" s="109"/>
      <c r="PWB24" s="109"/>
      <c r="PWC24" s="109"/>
      <c r="PWD24" s="109"/>
      <c r="PWE24" s="109"/>
      <c r="PWF24" s="109"/>
      <c r="PWG24" s="109"/>
      <c r="PWH24" s="109"/>
      <c r="PWI24" s="109"/>
      <c r="PWJ24" s="109"/>
      <c r="PWK24" s="109"/>
      <c r="PWL24" s="109"/>
      <c r="PWM24" s="109"/>
      <c r="PWN24" s="109"/>
      <c r="PWO24" s="109"/>
      <c r="PWP24" s="109"/>
      <c r="PWQ24" s="109"/>
      <c r="PWR24" s="109"/>
      <c r="PWS24" s="109"/>
      <c r="PWT24" s="109"/>
      <c r="PWU24" s="109"/>
      <c r="PWV24" s="109"/>
      <c r="PWW24" s="109"/>
      <c r="PWX24" s="109"/>
      <c r="PWY24" s="109"/>
      <c r="PWZ24" s="109"/>
      <c r="PXA24" s="109"/>
      <c r="PXB24" s="109"/>
      <c r="PXC24" s="109"/>
      <c r="PXD24" s="109"/>
      <c r="PXE24" s="109"/>
      <c r="PXF24" s="109"/>
      <c r="PXG24" s="109"/>
      <c r="PXH24" s="109"/>
      <c r="PXI24" s="109"/>
      <c r="PXJ24" s="109"/>
      <c r="PXK24" s="109"/>
      <c r="PXL24" s="109"/>
      <c r="PXM24" s="109"/>
      <c r="PXN24" s="109"/>
      <c r="PXO24" s="109"/>
      <c r="PXP24" s="109"/>
      <c r="PXQ24" s="109"/>
      <c r="PXR24" s="109"/>
      <c r="PXS24" s="109"/>
      <c r="PXT24" s="109"/>
      <c r="PXU24" s="109"/>
      <c r="PXV24" s="109"/>
      <c r="PXW24" s="109"/>
      <c r="PXX24" s="109"/>
      <c r="PXY24" s="109"/>
      <c r="PXZ24" s="109"/>
      <c r="PYA24" s="109"/>
      <c r="PYB24" s="109"/>
      <c r="PYC24" s="109"/>
      <c r="PYD24" s="109"/>
      <c r="PYE24" s="109"/>
      <c r="PYF24" s="109"/>
      <c r="PYG24" s="109"/>
      <c r="PYH24" s="109"/>
      <c r="PYI24" s="109"/>
      <c r="PYJ24" s="109"/>
      <c r="PYK24" s="109"/>
      <c r="PYL24" s="109"/>
      <c r="PYM24" s="109"/>
      <c r="PYN24" s="109"/>
      <c r="PYO24" s="109"/>
      <c r="PYP24" s="109"/>
      <c r="PYQ24" s="109"/>
      <c r="PYR24" s="109"/>
      <c r="PYS24" s="109"/>
      <c r="PYT24" s="109"/>
      <c r="PYU24" s="109"/>
      <c r="PYV24" s="109"/>
      <c r="PYW24" s="109"/>
      <c r="PYX24" s="109"/>
      <c r="PYY24" s="109"/>
      <c r="PYZ24" s="109"/>
      <c r="PZA24" s="109"/>
      <c r="PZB24" s="109"/>
      <c r="PZC24" s="109"/>
      <c r="PZD24" s="109"/>
      <c r="PZE24" s="109"/>
      <c r="PZF24" s="109"/>
      <c r="PZG24" s="109"/>
      <c r="PZH24" s="109"/>
      <c r="PZI24" s="109"/>
      <c r="PZJ24" s="109"/>
      <c r="PZK24" s="109"/>
      <c r="PZL24" s="109"/>
      <c r="PZM24" s="109"/>
      <c r="PZN24" s="109"/>
      <c r="PZO24" s="109"/>
      <c r="PZP24" s="109"/>
      <c r="PZQ24" s="109"/>
      <c r="PZR24" s="109"/>
      <c r="PZS24" s="109"/>
      <c r="PZT24" s="109"/>
      <c r="PZU24" s="109"/>
      <c r="PZV24" s="109"/>
      <c r="PZW24" s="109"/>
      <c r="PZX24" s="109"/>
      <c r="PZY24" s="109"/>
      <c r="PZZ24" s="109"/>
      <c r="QAA24" s="109"/>
      <c r="QAB24" s="109"/>
      <c r="QAC24" s="109"/>
      <c r="QAD24" s="109"/>
      <c r="QAE24" s="109"/>
      <c r="QAF24" s="109"/>
      <c r="QAG24" s="109"/>
      <c r="QAH24" s="109"/>
      <c r="QAI24" s="109"/>
      <c r="QAJ24" s="109"/>
      <c r="QAK24" s="109"/>
      <c r="QAL24" s="109"/>
      <c r="QAM24" s="109"/>
      <c r="QAN24" s="109"/>
      <c r="QAO24" s="109"/>
      <c r="QAP24" s="109"/>
      <c r="QAQ24" s="109"/>
      <c r="QAR24" s="109"/>
      <c r="QAS24" s="109"/>
      <c r="QAT24" s="109"/>
      <c r="QAU24" s="109"/>
      <c r="QAV24" s="109"/>
      <c r="QAW24" s="109"/>
      <c r="QAX24" s="109"/>
      <c r="QAY24" s="109"/>
      <c r="QAZ24" s="109"/>
      <c r="QBA24" s="109"/>
      <c r="QBB24" s="109"/>
      <c r="QBC24" s="109"/>
      <c r="QBD24" s="109"/>
      <c r="QBE24" s="109"/>
      <c r="QBF24" s="109"/>
      <c r="QBG24" s="109"/>
      <c r="QBH24" s="109"/>
      <c r="QBI24" s="109"/>
      <c r="QBJ24" s="109"/>
      <c r="QBK24" s="109"/>
      <c r="QBL24" s="109"/>
      <c r="QBM24" s="109"/>
      <c r="QBN24" s="109"/>
      <c r="QBO24" s="109"/>
      <c r="QBP24" s="109"/>
      <c r="QBQ24" s="109"/>
      <c r="QBR24" s="109"/>
      <c r="QBS24" s="109"/>
      <c r="QBT24" s="109"/>
      <c r="QBU24" s="109"/>
      <c r="QBV24" s="109"/>
      <c r="QBW24" s="109"/>
      <c r="QBX24" s="109"/>
      <c r="QBY24" s="109"/>
      <c r="QBZ24" s="109"/>
      <c r="QCA24" s="109"/>
      <c r="QCB24" s="109"/>
      <c r="QCC24" s="109"/>
      <c r="QCD24" s="109"/>
      <c r="QCE24" s="109"/>
      <c r="QCF24" s="109"/>
      <c r="QCG24" s="109"/>
      <c r="QCH24" s="109"/>
      <c r="QCI24" s="109"/>
      <c r="QCJ24" s="109"/>
      <c r="QCK24" s="109"/>
      <c r="QCL24" s="109"/>
      <c r="QCM24" s="109"/>
      <c r="QCN24" s="109"/>
      <c r="QCO24" s="109"/>
      <c r="QCP24" s="109"/>
      <c r="QCQ24" s="109"/>
      <c r="QCR24" s="109"/>
      <c r="QCS24" s="109"/>
      <c r="QCT24" s="109"/>
      <c r="QCU24" s="109"/>
      <c r="QCV24" s="109"/>
      <c r="QCW24" s="109"/>
      <c r="QCX24" s="109"/>
      <c r="QCY24" s="109"/>
      <c r="QCZ24" s="109"/>
      <c r="QDA24" s="109"/>
      <c r="QDB24" s="109"/>
      <c r="QDC24" s="109"/>
      <c r="QDD24" s="109"/>
      <c r="QDE24" s="109"/>
      <c r="QDF24" s="109"/>
      <c r="QDG24" s="109"/>
      <c r="QDH24" s="109"/>
      <c r="QDI24" s="109"/>
      <c r="QDJ24" s="109"/>
      <c r="QDK24" s="109"/>
      <c r="QDL24" s="109"/>
      <c r="QDM24" s="109"/>
      <c r="QDN24" s="109"/>
      <c r="QDO24" s="109"/>
      <c r="QDP24" s="109"/>
      <c r="QDQ24" s="109"/>
      <c r="QDR24" s="109"/>
      <c r="QDS24" s="109"/>
      <c r="QDT24" s="109"/>
      <c r="QDU24" s="109"/>
      <c r="QDV24" s="109"/>
      <c r="QDW24" s="109"/>
      <c r="QDX24" s="109"/>
      <c r="QDY24" s="109"/>
      <c r="QDZ24" s="109"/>
      <c r="QEA24" s="109"/>
      <c r="QEB24" s="109"/>
      <c r="QEC24" s="109"/>
      <c r="QED24" s="109"/>
      <c r="QEE24" s="109"/>
      <c r="QEF24" s="109"/>
      <c r="QEG24" s="109"/>
      <c r="QEH24" s="109"/>
      <c r="QEI24" s="109"/>
      <c r="QEJ24" s="109"/>
      <c r="QEK24" s="109"/>
      <c r="QEL24" s="109"/>
      <c r="QEM24" s="109"/>
      <c r="QEN24" s="109"/>
      <c r="QEO24" s="109"/>
      <c r="QEP24" s="109"/>
      <c r="QEQ24" s="109"/>
      <c r="QER24" s="109"/>
      <c r="QES24" s="109"/>
      <c r="QET24" s="109"/>
      <c r="QEU24" s="109"/>
      <c r="QEV24" s="109"/>
      <c r="QEW24" s="109"/>
      <c r="QEX24" s="109"/>
      <c r="QEY24" s="109"/>
      <c r="QEZ24" s="109"/>
      <c r="QFA24" s="109"/>
      <c r="QFB24" s="109"/>
      <c r="QFC24" s="109"/>
      <c r="QFD24" s="109"/>
      <c r="QFE24" s="109"/>
      <c r="QFF24" s="109"/>
      <c r="QFG24" s="109"/>
      <c r="QFH24" s="109"/>
      <c r="QFI24" s="109"/>
      <c r="QFJ24" s="109"/>
      <c r="QFK24" s="109"/>
      <c r="QFL24" s="109"/>
      <c r="QFM24" s="109"/>
      <c r="QFN24" s="109"/>
      <c r="QFO24" s="109"/>
      <c r="QFP24" s="109"/>
      <c r="QFQ24" s="109"/>
      <c r="QFR24" s="109"/>
      <c r="QFS24" s="109"/>
      <c r="QFT24" s="109"/>
      <c r="QFU24" s="109"/>
      <c r="QFV24" s="109"/>
      <c r="QFW24" s="109"/>
      <c r="QFX24" s="109"/>
      <c r="QFY24" s="109"/>
      <c r="QFZ24" s="109"/>
      <c r="QGA24" s="109"/>
      <c r="QGB24" s="109"/>
      <c r="QGC24" s="109"/>
      <c r="QGD24" s="109"/>
      <c r="QGE24" s="109"/>
      <c r="QGF24" s="109"/>
      <c r="QGG24" s="109"/>
      <c r="QGH24" s="109"/>
      <c r="QGI24" s="109"/>
      <c r="QGJ24" s="109"/>
      <c r="QGK24" s="109"/>
      <c r="QGL24" s="109"/>
      <c r="QGM24" s="109"/>
      <c r="QGN24" s="109"/>
      <c r="QGO24" s="109"/>
      <c r="QGP24" s="109"/>
      <c r="QGQ24" s="109"/>
      <c r="QGR24" s="109"/>
      <c r="QGS24" s="109"/>
      <c r="QGT24" s="109"/>
      <c r="QGU24" s="109"/>
      <c r="QGV24" s="109"/>
      <c r="QGW24" s="109"/>
      <c r="QGX24" s="109"/>
      <c r="QGY24" s="109"/>
      <c r="QGZ24" s="109"/>
      <c r="QHA24" s="109"/>
      <c r="QHB24" s="109"/>
      <c r="QHC24" s="109"/>
      <c r="QHD24" s="109"/>
      <c r="QHE24" s="109"/>
      <c r="QHF24" s="109"/>
      <c r="QHG24" s="109"/>
      <c r="QHH24" s="109"/>
      <c r="QHI24" s="109"/>
      <c r="QHJ24" s="109"/>
      <c r="QHK24" s="109"/>
      <c r="QHL24" s="109"/>
      <c r="QHM24" s="109"/>
      <c r="QHN24" s="109"/>
      <c r="QHO24" s="109"/>
      <c r="QHP24" s="109"/>
      <c r="QHQ24" s="109"/>
      <c r="QHR24" s="109"/>
      <c r="QHS24" s="109"/>
      <c r="QHT24" s="109"/>
      <c r="QHU24" s="109"/>
      <c r="QHV24" s="109"/>
      <c r="QHW24" s="109"/>
      <c r="QHX24" s="109"/>
      <c r="QHY24" s="109"/>
      <c r="QHZ24" s="109"/>
      <c r="QIA24" s="109"/>
      <c r="QIB24" s="109"/>
      <c r="QIC24" s="109"/>
      <c r="QID24" s="109"/>
      <c r="QIE24" s="109"/>
      <c r="QIF24" s="109"/>
      <c r="QIG24" s="109"/>
      <c r="QIH24" s="109"/>
      <c r="QII24" s="109"/>
      <c r="QIJ24" s="109"/>
      <c r="QIK24" s="109"/>
      <c r="QIL24" s="109"/>
      <c r="QIM24" s="109"/>
      <c r="QIN24" s="109"/>
      <c r="QIO24" s="109"/>
      <c r="QIP24" s="109"/>
      <c r="QIQ24" s="109"/>
      <c r="QIR24" s="109"/>
      <c r="QIS24" s="109"/>
      <c r="QIT24" s="109"/>
      <c r="QIU24" s="109"/>
      <c r="QIV24" s="109"/>
      <c r="QIW24" s="109"/>
      <c r="QIX24" s="109"/>
      <c r="QIY24" s="109"/>
      <c r="QIZ24" s="109"/>
      <c r="QJA24" s="109"/>
      <c r="QJB24" s="109"/>
      <c r="QJC24" s="109"/>
      <c r="QJD24" s="109"/>
      <c r="QJE24" s="109"/>
      <c r="QJF24" s="109"/>
      <c r="QJG24" s="109"/>
      <c r="QJH24" s="109"/>
      <c r="QJI24" s="109"/>
      <c r="QJJ24" s="109"/>
      <c r="QJK24" s="109"/>
      <c r="QJL24" s="109"/>
      <c r="QJM24" s="109"/>
      <c r="QJN24" s="109"/>
      <c r="QJO24" s="109"/>
      <c r="QJP24" s="109"/>
      <c r="QJQ24" s="109"/>
      <c r="QJR24" s="109"/>
      <c r="QJS24" s="109"/>
      <c r="QJT24" s="109"/>
      <c r="QJU24" s="109"/>
      <c r="QJV24" s="109"/>
      <c r="QJW24" s="109"/>
      <c r="QJX24" s="109"/>
      <c r="QJY24" s="109"/>
      <c r="QJZ24" s="109"/>
      <c r="QKA24" s="109"/>
      <c r="QKB24" s="109"/>
      <c r="QKC24" s="109"/>
      <c r="QKD24" s="109"/>
      <c r="QKE24" s="109"/>
      <c r="QKF24" s="109"/>
      <c r="QKG24" s="109"/>
      <c r="QKH24" s="109"/>
      <c r="QKI24" s="109"/>
      <c r="QKJ24" s="109"/>
      <c r="QKK24" s="109"/>
      <c r="QKL24" s="109"/>
      <c r="QKM24" s="109"/>
      <c r="QKN24" s="109"/>
      <c r="QKO24" s="109"/>
      <c r="QKP24" s="109"/>
      <c r="QKQ24" s="109"/>
      <c r="QKR24" s="109"/>
      <c r="QKS24" s="109"/>
      <c r="QKT24" s="109"/>
      <c r="QKU24" s="109"/>
      <c r="QKV24" s="109"/>
      <c r="QKW24" s="109"/>
      <c r="QKX24" s="109"/>
      <c r="QKY24" s="109"/>
      <c r="QKZ24" s="109"/>
      <c r="QLA24" s="109"/>
      <c r="QLB24" s="109"/>
      <c r="QLC24" s="109"/>
      <c r="QLD24" s="109"/>
      <c r="QLE24" s="109"/>
      <c r="QLF24" s="109"/>
      <c r="QLG24" s="109"/>
      <c r="QLH24" s="109"/>
      <c r="QLI24" s="109"/>
      <c r="QLJ24" s="109"/>
      <c r="QLK24" s="109"/>
      <c r="QLL24" s="109"/>
      <c r="QLM24" s="109"/>
      <c r="QLN24" s="109"/>
      <c r="QLO24" s="109"/>
      <c r="QLP24" s="109"/>
      <c r="QLQ24" s="109"/>
      <c r="QLR24" s="109"/>
      <c r="QLS24" s="109"/>
      <c r="QLT24" s="109"/>
      <c r="QLU24" s="109"/>
      <c r="QLV24" s="109"/>
      <c r="QLW24" s="109"/>
      <c r="QLX24" s="109"/>
      <c r="QLY24" s="109"/>
      <c r="QLZ24" s="109"/>
      <c r="QMA24" s="109"/>
      <c r="QMB24" s="109"/>
      <c r="QMC24" s="109"/>
      <c r="QMD24" s="109"/>
      <c r="QME24" s="109"/>
      <c r="QMF24" s="109"/>
      <c r="QMG24" s="109"/>
      <c r="QMH24" s="109"/>
      <c r="QMI24" s="109"/>
      <c r="QMJ24" s="109"/>
      <c r="QMK24" s="109"/>
      <c r="QML24" s="109"/>
      <c r="QMM24" s="109"/>
      <c r="QMN24" s="109"/>
      <c r="QMO24" s="109"/>
      <c r="QMP24" s="109"/>
      <c r="QMQ24" s="109"/>
      <c r="QMR24" s="109"/>
      <c r="QMS24" s="109"/>
      <c r="QMT24" s="109"/>
      <c r="QMU24" s="109"/>
      <c r="QMV24" s="109"/>
      <c r="QMW24" s="109"/>
      <c r="QMX24" s="109"/>
      <c r="QMY24" s="109"/>
      <c r="QMZ24" s="109"/>
      <c r="QNA24" s="109"/>
      <c r="QNB24" s="109"/>
      <c r="QNC24" s="109"/>
      <c r="QND24" s="109"/>
      <c r="QNE24" s="109"/>
      <c r="QNF24" s="109"/>
      <c r="QNG24" s="109"/>
      <c r="QNH24" s="109"/>
      <c r="QNI24" s="109"/>
      <c r="QNJ24" s="109"/>
      <c r="QNK24" s="109"/>
      <c r="QNL24" s="109"/>
      <c r="QNM24" s="109"/>
      <c r="QNN24" s="109"/>
      <c r="QNO24" s="109"/>
      <c r="QNP24" s="109"/>
      <c r="QNQ24" s="109"/>
      <c r="QNR24" s="109"/>
      <c r="QNS24" s="109"/>
      <c r="QNT24" s="109"/>
      <c r="QNU24" s="109"/>
      <c r="QNV24" s="109"/>
      <c r="QNW24" s="109"/>
      <c r="QNX24" s="109"/>
      <c r="QNY24" s="109"/>
      <c r="QNZ24" s="109"/>
      <c r="QOA24" s="109"/>
      <c r="QOB24" s="109"/>
      <c r="QOC24" s="109"/>
      <c r="QOD24" s="109"/>
      <c r="QOE24" s="109"/>
      <c r="QOF24" s="109"/>
      <c r="QOG24" s="109"/>
      <c r="QOH24" s="109"/>
      <c r="QOI24" s="109"/>
      <c r="QOJ24" s="109"/>
      <c r="QOK24" s="109"/>
      <c r="QOL24" s="109"/>
      <c r="QOM24" s="109"/>
      <c r="QON24" s="109"/>
      <c r="QOO24" s="109"/>
      <c r="QOP24" s="109"/>
      <c r="QOQ24" s="109"/>
      <c r="QOR24" s="109"/>
      <c r="QOS24" s="109"/>
      <c r="QOT24" s="109"/>
      <c r="QOU24" s="109"/>
      <c r="QOV24" s="109"/>
      <c r="QOW24" s="109"/>
      <c r="QOX24" s="109"/>
      <c r="QOY24" s="109"/>
      <c r="QOZ24" s="109"/>
      <c r="QPA24" s="109"/>
      <c r="QPB24" s="109"/>
      <c r="QPC24" s="109"/>
      <c r="QPD24" s="109"/>
      <c r="QPE24" s="109"/>
      <c r="QPF24" s="109"/>
      <c r="QPG24" s="109"/>
      <c r="QPH24" s="109"/>
      <c r="QPI24" s="109"/>
      <c r="QPJ24" s="109"/>
      <c r="QPK24" s="109"/>
      <c r="QPL24" s="109"/>
      <c r="QPM24" s="109"/>
      <c r="QPN24" s="109"/>
      <c r="QPO24" s="109"/>
      <c r="QPP24" s="109"/>
      <c r="QPQ24" s="109"/>
      <c r="QPR24" s="109"/>
      <c r="QPS24" s="109"/>
      <c r="QPT24" s="109"/>
      <c r="QPU24" s="109"/>
      <c r="QPV24" s="109"/>
      <c r="QPW24" s="109"/>
      <c r="QPX24" s="109"/>
      <c r="QPY24" s="109"/>
      <c r="QPZ24" s="109"/>
      <c r="QQA24" s="109"/>
      <c r="QQB24" s="109"/>
      <c r="QQC24" s="109"/>
      <c r="QQD24" s="109"/>
      <c r="QQE24" s="109"/>
      <c r="QQF24" s="109"/>
      <c r="QQG24" s="109"/>
      <c r="QQH24" s="109"/>
      <c r="QQI24" s="109"/>
      <c r="QQJ24" s="109"/>
      <c r="QQK24" s="109"/>
      <c r="QQL24" s="109"/>
      <c r="QQM24" s="109"/>
      <c r="QQN24" s="109"/>
      <c r="QQO24" s="109"/>
      <c r="QQP24" s="109"/>
      <c r="QQQ24" s="109"/>
      <c r="QQR24" s="109"/>
      <c r="QQS24" s="109"/>
      <c r="QQT24" s="109"/>
      <c r="QQU24" s="109"/>
      <c r="QQV24" s="109"/>
      <c r="QQW24" s="109"/>
      <c r="QQX24" s="109"/>
      <c r="QQY24" s="109"/>
      <c r="QQZ24" s="109"/>
      <c r="QRA24" s="109"/>
      <c r="QRB24" s="109"/>
      <c r="QRC24" s="109"/>
      <c r="QRD24" s="109"/>
      <c r="QRE24" s="109"/>
      <c r="QRF24" s="109"/>
      <c r="QRG24" s="109"/>
      <c r="QRH24" s="109"/>
      <c r="QRI24" s="109"/>
      <c r="QRJ24" s="109"/>
      <c r="QRK24" s="109"/>
      <c r="QRL24" s="109"/>
      <c r="QRM24" s="109"/>
      <c r="QRN24" s="109"/>
      <c r="QRO24" s="109"/>
      <c r="QRP24" s="109"/>
      <c r="QRQ24" s="109"/>
      <c r="QRR24" s="109"/>
      <c r="QRS24" s="109"/>
      <c r="QRT24" s="109"/>
      <c r="QRU24" s="109"/>
      <c r="QRV24" s="109"/>
      <c r="QRW24" s="109"/>
      <c r="QRX24" s="109"/>
      <c r="QRY24" s="109"/>
      <c r="QRZ24" s="109"/>
      <c r="QSA24" s="109"/>
      <c r="QSB24" s="109"/>
      <c r="QSC24" s="109"/>
      <c r="QSD24" s="109"/>
      <c r="QSE24" s="109"/>
      <c r="QSF24" s="109"/>
      <c r="QSG24" s="109"/>
      <c r="QSH24" s="109"/>
      <c r="QSI24" s="109"/>
      <c r="QSJ24" s="109"/>
      <c r="QSK24" s="109"/>
      <c r="QSL24" s="109"/>
      <c r="QSM24" s="109"/>
      <c r="QSN24" s="109"/>
      <c r="QSO24" s="109"/>
      <c r="QSP24" s="109"/>
      <c r="QSQ24" s="109"/>
      <c r="QSR24" s="109"/>
      <c r="QSS24" s="109"/>
      <c r="QST24" s="109"/>
      <c r="QSU24" s="109"/>
      <c r="QSV24" s="109"/>
      <c r="QSW24" s="109"/>
      <c r="QSX24" s="109"/>
      <c r="QSY24" s="109"/>
      <c r="QSZ24" s="109"/>
      <c r="QTA24" s="109"/>
      <c r="QTB24" s="109"/>
      <c r="QTC24" s="109"/>
      <c r="QTD24" s="109"/>
      <c r="QTE24" s="109"/>
      <c r="QTF24" s="109"/>
      <c r="QTG24" s="109"/>
      <c r="QTH24" s="109"/>
      <c r="QTI24" s="109"/>
      <c r="QTJ24" s="109"/>
      <c r="QTK24" s="109"/>
      <c r="QTL24" s="109"/>
      <c r="QTM24" s="109"/>
      <c r="QTN24" s="109"/>
      <c r="QTO24" s="109"/>
      <c r="QTP24" s="109"/>
      <c r="QTQ24" s="109"/>
      <c r="QTR24" s="109"/>
      <c r="QTS24" s="109"/>
      <c r="QTT24" s="109"/>
      <c r="QTU24" s="109"/>
      <c r="QTV24" s="109"/>
      <c r="QTW24" s="109"/>
      <c r="QTX24" s="109"/>
      <c r="QTY24" s="109"/>
      <c r="QTZ24" s="109"/>
      <c r="QUA24" s="109"/>
      <c r="QUB24" s="109"/>
      <c r="QUC24" s="109"/>
      <c r="QUD24" s="109"/>
      <c r="QUE24" s="109"/>
      <c r="QUF24" s="109"/>
      <c r="QUG24" s="109"/>
      <c r="QUH24" s="109"/>
      <c r="QUI24" s="109"/>
      <c r="QUJ24" s="109"/>
      <c r="QUK24" s="109"/>
      <c r="QUL24" s="109"/>
      <c r="QUM24" s="109"/>
      <c r="QUN24" s="109"/>
      <c r="QUO24" s="109"/>
      <c r="QUP24" s="109"/>
      <c r="QUQ24" s="109"/>
      <c r="QUR24" s="109"/>
      <c r="QUS24" s="109"/>
      <c r="QUT24" s="109"/>
      <c r="QUU24" s="109"/>
      <c r="QUV24" s="109"/>
      <c r="QUW24" s="109"/>
      <c r="QUX24" s="109"/>
      <c r="QUY24" s="109"/>
      <c r="QUZ24" s="109"/>
      <c r="QVA24" s="109"/>
      <c r="QVB24" s="109"/>
      <c r="QVC24" s="109"/>
      <c r="QVD24" s="109"/>
      <c r="QVE24" s="109"/>
      <c r="QVF24" s="109"/>
      <c r="QVG24" s="109"/>
      <c r="QVH24" s="109"/>
      <c r="QVI24" s="109"/>
      <c r="QVJ24" s="109"/>
      <c r="QVK24" s="109"/>
      <c r="QVL24" s="109"/>
      <c r="QVM24" s="109"/>
      <c r="QVN24" s="109"/>
      <c r="QVO24" s="109"/>
      <c r="QVP24" s="109"/>
      <c r="QVQ24" s="109"/>
      <c r="QVR24" s="109"/>
      <c r="QVS24" s="109"/>
      <c r="QVT24" s="109"/>
      <c r="QVU24" s="109"/>
      <c r="QVV24" s="109"/>
      <c r="QVW24" s="109"/>
      <c r="QVX24" s="109"/>
      <c r="QVY24" s="109"/>
      <c r="QVZ24" s="109"/>
      <c r="QWA24" s="109"/>
      <c r="QWB24" s="109"/>
      <c r="QWC24" s="109"/>
      <c r="QWD24" s="109"/>
      <c r="QWE24" s="109"/>
      <c r="QWF24" s="109"/>
      <c r="QWG24" s="109"/>
      <c r="QWH24" s="109"/>
      <c r="QWI24" s="109"/>
      <c r="QWJ24" s="109"/>
      <c r="QWK24" s="109"/>
      <c r="QWL24" s="109"/>
      <c r="QWM24" s="109"/>
      <c r="QWN24" s="109"/>
      <c r="QWO24" s="109"/>
      <c r="QWP24" s="109"/>
      <c r="QWQ24" s="109"/>
      <c r="QWR24" s="109"/>
      <c r="QWS24" s="109"/>
      <c r="QWT24" s="109"/>
      <c r="QWU24" s="109"/>
      <c r="QWV24" s="109"/>
      <c r="QWW24" s="109"/>
      <c r="QWX24" s="109"/>
      <c r="QWY24" s="109"/>
      <c r="QWZ24" s="109"/>
      <c r="QXA24" s="109"/>
      <c r="QXB24" s="109"/>
      <c r="QXC24" s="109"/>
      <c r="QXD24" s="109"/>
      <c r="QXE24" s="109"/>
      <c r="QXF24" s="109"/>
      <c r="QXG24" s="109"/>
      <c r="QXH24" s="109"/>
      <c r="QXI24" s="109"/>
      <c r="QXJ24" s="109"/>
      <c r="QXK24" s="109"/>
      <c r="QXL24" s="109"/>
      <c r="QXM24" s="109"/>
      <c r="QXN24" s="109"/>
      <c r="QXO24" s="109"/>
      <c r="QXP24" s="109"/>
      <c r="QXQ24" s="109"/>
      <c r="QXR24" s="109"/>
      <c r="QXS24" s="109"/>
      <c r="QXT24" s="109"/>
      <c r="QXU24" s="109"/>
      <c r="QXV24" s="109"/>
      <c r="QXW24" s="109"/>
      <c r="QXX24" s="109"/>
      <c r="QXY24" s="109"/>
      <c r="QXZ24" s="109"/>
      <c r="QYA24" s="109"/>
      <c r="QYB24" s="109"/>
      <c r="QYC24" s="109"/>
      <c r="QYD24" s="109"/>
      <c r="QYE24" s="109"/>
      <c r="QYF24" s="109"/>
      <c r="QYG24" s="109"/>
      <c r="QYH24" s="109"/>
      <c r="QYI24" s="109"/>
      <c r="QYJ24" s="109"/>
      <c r="QYK24" s="109"/>
      <c r="QYL24" s="109"/>
      <c r="QYM24" s="109"/>
      <c r="QYN24" s="109"/>
      <c r="QYO24" s="109"/>
      <c r="QYP24" s="109"/>
      <c r="QYQ24" s="109"/>
      <c r="QYR24" s="109"/>
      <c r="QYS24" s="109"/>
      <c r="QYT24" s="109"/>
      <c r="QYU24" s="109"/>
      <c r="QYV24" s="109"/>
      <c r="QYW24" s="109"/>
      <c r="QYX24" s="109"/>
      <c r="QYY24" s="109"/>
      <c r="QYZ24" s="109"/>
      <c r="QZA24" s="109"/>
      <c r="QZB24" s="109"/>
      <c r="QZC24" s="109"/>
      <c r="QZD24" s="109"/>
      <c r="QZE24" s="109"/>
      <c r="QZF24" s="109"/>
      <c r="QZG24" s="109"/>
      <c r="QZH24" s="109"/>
      <c r="QZI24" s="109"/>
      <c r="QZJ24" s="109"/>
      <c r="QZK24" s="109"/>
      <c r="QZL24" s="109"/>
      <c r="QZM24" s="109"/>
      <c r="QZN24" s="109"/>
      <c r="QZO24" s="109"/>
      <c r="QZP24" s="109"/>
      <c r="QZQ24" s="109"/>
      <c r="QZR24" s="109"/>
      <c r="QZS24" s="109"/>
      <c r="QZT24" s="109"/>
      <c r="QZU24" s="109"/>
      <c r="QZV24" s="109"/>
      <c r="QZW24" s="109"/>
      <c r="QZX24" s="109"/>
      <c r="QZY24" s="109"/>
      <c r="QZZ24" s="109"/>
      <c r="RAA24" s="109"/>
      <c r="RAB24" s="109"/>
      <c r="RAC24" s="109"/>
      <c r="RAD24" s="109"/>
      <c r="RAE24" s="109"/>
      <c r="RAF24" s="109"/>
      <c r="RAG24" s="109"/>
      <c r="RAH24" s="109"/>
      <c r="RAI24" s="109"/>
      <c r="RAJ24" s="109"/>
      <c r="RAK24" s="109"/>
      <c r="RAL24" s="109"/>
      <c r="RAM24" s="109"/>
      <c r="RAN24" s="109"/>
      <c r="RAO24" s="109"/>
      <c r="RAP24" s="109"/>
      <c r="RAQ24" s="109"/>
      <c r="RAR24" s="109"/>
      <c r="RAS24" s="109"/>
      <c r="RAT24" s="109"/>
      <c r="RAU24" s="109"/>
      <c r="RAV24" s="109"/>
      <c r="RAW24" s="109"/>
      <c r="RAX24" s="109"/>
      <c r="RAY24" s="109"/>
      <c r="RAZ24" s="109"/>
      <c r="RBA24" s="109"/>
      <c r="RBB24" s="109"/>
      <c r="RBC24" s="109"/>
      <c r="RBD24" s="109"/>
      <c r="RBE24" s="109"/>
      <c r="RBF24" s="109"/>
      <c r="RBG24" s="109"/>
      <c r="RBH24" s="109"/>
      <c r="RBI24" s="109"/>
      <c r="RBJ24" s="109"/>
      <c r="RBK24" s="109"/>
      <c r="RBL24" s="109"/>
      <c r="RBM24" s="109"/>
      <c r="RBN24" s="109"/>
      <c r="RBO24" s="109"/>
      <c r="RBP24" s="109"/>
      <c r="RBQ24" s="109"/>
      <c r="RBR24" s="109"/>
      <c r="RBS24" s="109"/>
      <c r="RBT24" s="109"/>
      <c r="RBU24" s="109"/>
      <c r="RBV24" s="109"/>
      <c r="RBW24" s="109"/>
      <c r="RBX24" s="109"/>
      <c r="RBY24" s="109"/>
      <c r="RBZ24" s="109"/>
      <c r="RCA24" s="109"/>
      <c r="RCB24" s="109"/>
      <c r="RCC24" s="109"/>
      <c r="RCD24" s="109"/>
      <c r="RCE24" s="109"/>
      <c r="RCF24" s="109"/>
      <c r="RCG24" s="109"/>
      <c r="RCH24" s="109"/>
      <c r="RCI24" s="109"/>
      <c r="RCJ24" s="109"/>
      <c r="RCK24" s="109"/>
      <c r="RCL24" s="109"/>
      <c r="RCM24" s="109"/>
      <c r="RCN24" s="109"/>
      <c r="RCO24" s="109"/>
      <c r="RCP24" s="109"/>
      <c r="RCQ24" s="109"/>
      <c r="RCR24" s="109"/>
      <c r="RCS24" s="109"/>
      <c r="RCT24" s="109"/>
      <c r="RCU24" s="109"/>
      <c r="RCV24" s="109"/>
      <c r="RCW24" s="109"/>
      <c r="RCX24" s="109"/>
      <c r="RCY24" s="109"/>
      <c r="RCZ24" s="109"/>
      <c r="RDA24" s="109"/>
      <c r="RDB24" s="109"/>
      <c r="RDC24" s="109"/>
      <c r="RDD24" s="109"/>
      <c r="RDE24" s="109"/>
      <c r="RDF24" s="109"/>
      <c r="RDG24" s="109"/>
      <c r="RDH24" s="109"/>
      <c r="RDI24" s="109"/>
      <c r="RDJ24" s="109"/>
      <c r="RDK24" s="109"/>
      <c r="RDL24" s="109"/>
      <c r="RDM24" s="109"/>
      <c r="RDN24" s="109"/>
      <c r="RDO24" s="109"/>
      <c r="RDP24" s="109"/>
      <c r="RDQ24" s="109"/>
      <c r="RDR24" s="109"/>
      <c r="RDS24" s="109"/>
      <c r="RDT24" s="109"/>
      <c r="RDU24" s="109"/>
      <c r="RDV24" s="109"/>
      <c r="RDW24" s="109"/>
      <c r="RDX24" s="109"/>
      <c r="RDY24" s="109"/>
      <c r="RDZ24" s="109"/>
      <c r="REA24" s="109"/>
      <c r="REB24" s="109"/>
      <c r="REC24" s="109"/>
      <c r="RED24" s="109"/>
      <c r="REE24" s="109"/>
      <c r="REF24" s="109"/>
      <c r="REG24" s="109"/>
      <c r="REH24" s="109"/>
      <c r="REI24" s="109"/>
      <c r="REJ24" s="109"/>
      <c r="REK24" s="109"/>
      <c r="REL24" s="109"/>
      <c r="REM24" s="109"/>
      <c r="REN24" s="109"/>
      <c r="REO24" s="109"/>
      <c r="REP24" s="109"/>
      <c r="REQ24" s="109"/>
      <c r="RER24" s="109"/>
      <c r="RES24" s="109"/>
      <c r="RET24" s="109"/>
      <c r="REU24" s="109"/>
      <c r="REV24" s="109"/>
      <c r="REW24" s="109"/>
      <c r="REX24" s="109"/>
      <c r="REY24" s="109"/>
      <c r="REZ24" s="109"/>
      <c r="RFA24" s="109"/>
      <c r="RFB24" s="109"/>
      <c r="RFC24" s="109"/>
      <c r="RFD24" s="109"/>
      <c r="RFE24" s="109"/>
      <c r="RFF24" s="109"/>
      <c r="RFG24" s="109"/>
      <c r="RFH24" s="109"/>
      <c r="RFI24" s="109"/>
      <c r="RFJ24" s="109"/>
      <c r="RFK24" s="109"/>
      <c r="RFL24" s="109"/>
      <c r="RFM24" s="109"/>
      <c r="RFN24" s="109"/>
      <c r="RFO24" s="109"/>
      <c r="RFP24" s="109"/>
      <c r="RFQ24" s="109"/>
      <c r="RFR24" s="109"/>
      <c r="RFS24" s="109"/>
      <c r="RFT24" s="109"/>
      <c r="RFU24" s="109"/>
      <c r="RFV24" s="109"/>
      <c r="RFW24" s="109"/>
      <c r="RFX24" s="109"/>
      <c r="RFY24" s="109"/>
      <c r="RFZ24" s="109"/>
      <c r="RGA24" s="109"/>
      <c r="RGB24" s="109"/>
      <c r="RGC24" s="109"/>
      <c r="RGD24" s="109"/>
      <c r="RGE24" s="109"/>
      <c r="RGF24" s="109"/>
      <c r="RGG24" s="109"/>
      <c r="RGH24" s="109"/>
      <c r="RGI24" s="109"/>
      <c r="RGJ24" s="109"/>
      <c r="RGK24" s="109"/>
      <c r="RGL24" s="109"/>
      <c r="RGM24" s="109"/>
      <c r="RGN24" s="109"/>
      <c r="RGO24" s="109"/>
      <c r="RGP24" s="109"/>
      <c r="RGQ24" s="109"/>
      <c r="RGR24" s="109"/>
      <c r="RGS24" s="109"/>
      <c r="RGT24" s="109"/>
      <c r="RGU24" s="109"/>
      <c r="RGV24" s="109"/>
      <c r="RGW24" s="109"/>
      <c r="RGX24" s="109"/>
      <c r="RGY24" s="109"/>
      <c r="RGZ24" s="109"/>
      <c r="RHA24" s="109"/>
      <c r="RHB24" s="109"/>
      <c r="RHC24" s="109"/>
      <c r="RHD24" s="109"/>
      <c r="RHE24" s="109"/>
      <c r="RHF24" s="109"/>
      <c r="RHG24" s="109"/>
      <c r="RHH24" s="109"/>
      <c r="RHI24" s="109"/>
      <c r="RHJ24" s="109"/>
      <c r="RHK24" s="109"/>
      <c r="RHL24" s="109"/>
      <c r="RHM24" s="109"/>
      <c r="RHN24" s="109"/>
      <c r="RHO24" s="109"/>
      <c r="RHP24" s="109"/>
      <c r="RHQ24" s="109"/>
      <c r="RHR24" s="109"/>
      <c r="RHS24" s="109"/>
      <c r="RHT24" s="109"/>
      <c r="RHU24" s="109"/>
      <c r="RHV24" s="109"/>
      <c r="RHW24" s="109"/>
      <c r="RHX24" s="109"/>
      <c r="RHY24" s="109"/>
      <c r="RHZ24" s="109"/>
      <c r="RIA24" s="109"/>
      <c r="RIB24" s="109"/>
      <c r="RIC24" s="109"/>
      <c r="RID24" s="109"/>
      <c r="RIE24" s="109"/>
      <c r="RIF24" s="109"/>
      <c r="RIG24" s="109"/>
      <c r="RIH24" s="109"/>
      <c r="RII24" s="109"/>
      <c r="RIJ24" s="109"/>
      <c r="RIK24" s="109"/>
      <c r="RIL24" s="109"/>
      <c r="RIM24" s="109"/>
      <c r="RIN24" s="109"/>
      <c r="RIO24" s="109"/>
      <c r="RIP24" s="109"/>
      <c r="RIQ24" s="109"/>
      <c r="RIR24" s="109"/>
      <c r="RIS24" s="109"/>
      <c r="RIT24" s="109"/>
      <c r="RIU24" s="109"/>
      <c r="RIV24" s="109"/>
      <c r="RIW24" s="109"/>
      <c r="RIX24" s="109"/>
      <c r="RIY24" s="109"/>
      <c r="RIZ24" s="109"/>
      <c r="RJA24" s="109"/>
      <c r="RJB24" s="109"/>
      <c r="RJC24" s="109"/>
      <c r="RJD24" s="109"/>
      <c r="RJE24" s="109"/>
      <c r="RJF24" s="109"/>
      <c r="RJG24" s="109"/>
      <c r="RJH24" s="109"/>
      <c r="RJI24" s="109"/>
      <c r="RJJ24" s="109"/>
      <c r="RJK24" s="109"/>
      <c r="RJL24" s="109"/>
      <c r="RJM24" s="109"/>
      <c r="RJN24" s="109"/>
      <c r="RJO24" s="109"/>
      <c r="RJP24" s="109"/>
      <c r="RJQ24" s="109"/>
      <c r="RJR24" s="109"/>
      <c r="RJS24" s="109"/>
      <c r="RJT24" s="109"/>
      <c r="RJU24" s="109"/>
      <c r="RJV24" s="109"/>
      <c r="RJW24" s="109"/>
      <c r="RJX24" s="109"/>
      <c r="RJY24" s="109"/>
      <c r="RJZ24" s="109"/>
      <c r="RKA24" s="109"/>
      <c r="RKB24" s="109"/>
      <c r="RKC24" s="109"/>
      <c r="RKD24" s="109"/>
      <c r="RKE24" s="109"/>
      <c r="RKF24" s="109"/>
      <c r="RKG24" s="109"/>
      <c r="RKH24" s="109"/>
      <c r="RKI24" s="109"/>
      <c r="RKJ24" s="109"/>
      <c r="RKK24" s="109"/>
      <c r="RKL24" s="109"/>
      <c r="RKM24" s="109"/>
      <c r="RKN24" s="109"/>
      <c r="RKO24" s="109"/>
      <c r="RKP24" s="109"/>
      <c r="RKQ24" s="109"/>
      <c r="RKR24" s="109"/>
      <c r="RKS24" s="109"/>
      <c r="RKT24" s="109"/>
      <c r="RKU24" s="109"/>
      <c r="RKV24" s="109"/>
      <c r="RKW24" s="109"/>
      <c r="RKX24" s="109"/>
      <c r="RKY24" s="109"/>
      <c r="RKZ24" s="109"/>
      <c r="RLA24" s="109"/>
      <c r="RLB24" s="109"/>
      <c r="RLC24" s="109"/>
      <c r="RLD24" s="109"/>
      <c r="RLE24" s="109"/>
      <c r="RLF24" s="109"/>
      <c r="RLG24" s="109"/>
      <c r="RLH24" s="109"/>
      <c r="RLI24" s="109"/>
      <c r="RLJ24" s="109"/>
      <c r="RLK24" s="109"/>
      <c r="RLL24" s="109"/>
      <c r="RLM24" s="109"/>
      <c r="RLN24" s="109"/>
      <c r="RLO24" s="109"/>
      <c r="RLP24" s="109"/>
      <c r="RLQ24" s="109"/>
      <c r="RLR24" s="109"/>
      <c r="RLS24" s="109"/>
      <c r="RLT24" s="109"/>
      <c r="RLU24" s="109"/>
      <c r="RLV24" s="109"/>
      <c r="RLW24" s="109"/>
      <c r="RLX24" s="109"/>
      <c r="RLY24" s="109"/>
      <c r="RLZ24" s="109"/>
      <c r="RMA24" s="109"/>
      <c r="RMB24" s="109"/>
      <c r="RMC24" s="109"/>
      <c r="RMD24" s="109"/>
      <c r="RME24" s="109"/>
      <c r="RMF24" s="109"/>
      <c r="RMG24" s="109"/>
      <c r="RMH24" s="109"/>
      <c r="RMI24" s="109"/>
      <c r="RMJ24" s="109"/>
      <c r="RMK24" s="109"/>
      <c r="RML24" s="109"/>
      <c r="RMM24" s="109"/>
      <c r="RMN24" s="109"/>
      <c r="RMO24" s="109"/>
      <c r="RMP24" s="109"/>
      <c r="RMQ24" s="109"/>
      <c r="RMR24" s="109"/>
      <c r="RMS24" s="109"/>
      <c r="RMT24" s="109"/>
      <c r="RMU24" s="109"/>
      <c r="RMV24" s="109"/>
      <c r="RMW24" s="109"/>
      <c r="RMX24" s="109"/>
      <c r="RMY24" s="109"/>
      <c r="RMZ24" s="109"/>
      <c r="RNA24" s="109"/>
      <c r="RNB24" s="109"/>
      <c r="RNC24" s="109"/>
      <c r="RND24" s="109"/>
      <c r="RNE24" s="109"/>
      <c r="RNF24" s="109"/>
      <c r="RNG24" s="109"/>
      <c r="RNH24" s="109"/>
      <c r="RNI24" s="109"/>
      <c r="RNJ24" s="109"/>
      <c r="RNK24" s="109"/>
      <c r="RNL24" s="109"/>
      <c r="RNM24" s="109"/>
      <c r="RNN24" s="109"/>
      <c r="RNO24" s="109"/>
      <c r="RNP24" s="109"/>
      <c r="RNQ24" s="109"/>
      <c r="RNR24" s="109"/>
      <c r="RNS24" s="109"/>
      <c r="RNT24" s="109"/>
      <c r="RNU24" s="109"/>
      <c r="RNV24" s="109"/>
      <c r="RNW24" s="109"/>
      <c r="RNX24" s="109"/>
      <c r="RNY24" s="109"/>
      <c r="RNZ24" s="109"/>
      <c r="ROA24" s="109"/>
      <c r="ROB24" s="109"/>
      <c r="ROC24" s="109"/>
      <c r="ROD24" s="109"/>
      <c r="ROE24" s="109"/>
      <c r="ROF24" s="109"/>
      <c r="ROG24" s="109"/>
      <c r="ROH24" s="109"/>
      <c r="ROI24" s="109"/>
      <c r="ROJ24" s="109"/>
      <c r="ROK24" s="109"/>
      <c r="ROL24" s="109"/>
      <c r="ROM24" s="109"/>
      <c r="RON24" s="109"/>
      <c r="ROO24" s="109"/>
      <c r="ROP24" s="109"/>
      <c r="ROQ24" s="109"/>
      <c r="ROR24" s="109"/>
      <c r="ROS24" s="109"/>
      <c r="ROT24" s="109"/>
      <c r="ROU24" s="109"/>
      <c r="ROV24" s="109"/>
      <c r="ROW24" s="109"/>
      <c r="ROX24" s="109"/>
      <c r="ROY24" s="109"/>
      <c r="ROZ24" s="109"/>
      <c r="RPA24" s="109"/>
      <c r="RPB24" s="109"/>
      <c r="RPC24" s="109"/>
      <c r="RPD24" s="109"/>
      <c r="RPE24" s="109"/>
      <c r="RPF24" s="109"/>
      <c r="RPG24" s="109"/>
      <c r="RPH24" s="109"/>
      <c r="RPI24" s="109"/>
      <c r="RPJ24" s="109"/>
      <c r="RPK24" s="109"/>
      <c r="RPL24" s="109"/>
      <c r="RPM24" s="109"/>
      <c r="RPN24" s="109"/>
      <c r="RPO24" s="109"/>
      <c r="RPP24" s="109"/>
      <c r="RPQ24" s="109"/>
      <c r="RPR24" s="109"/>
      <c r="RPS24" s="109"/>
      <c r="RPT24" s="109"/>
      <c r="RPU24" s="109"/>
      <c r="RPV24" s="109"/>
      <c r="RPW24" s="109"/>
      <c r="RPX24" s="109"/>
      <c r="RPY24" s="109"/>
      <c r="RPZ24" s="109"/>
      <c r="RQA24" s="109"/>
      <c r="RQB24" s="109"/>
      <c r="RQC24" s="109"/>
      <c r="RQD24" s="109"/>
      <c r="RQE24" s="109"/>
      <c r="RQF24" s="109"/>
      <c r="RQG24" s="109"/>
      <c r="RQH24" s="109"/>
      <c r="RQI24" s="109"/>
      <c r="RQJ24" s="109"/>
      <c r="RQK24" s="109"/>
      <c r="RQL24" s="109"/>
      <c r="RQM24" s="109"/>
      <c r="RQN24" s="109"/>
      <c r="RQO24" s="109"/>
      <c r="RQP24" s="109"/>
      <c r="RQQ24" s="109"/>
      <c r="RQR24" s="109"/>
      <c r="RQS24" s="109"/>
      <c r="RQT24" s="109"/>
      <c r="RQU24" s="109"/>
      <c r="RQV24" s="109"/>
      <c r="RQW24" s="109"/>
      <c r="RQX24" s="109"/>
      <c r="RQY24" s="109"/>
      <c r="RQZ24" s="109"/>
      <c r="RRA24" s="109"/>
      <c r="RRB24" s="109"/>
      <c r="RRC24" s="109"/>
      <c r="RRD24" s="109"/>
      <c r="RRE24" s="109"/>
      <c r="RRF24" s="109"/>
      <c r="RRG24" s="109"/>
      <c r="RRH24" s="109"/>
      <c r="RRI24" s="109"/>
      <c r="RRJ24" s="109"/>
      <c r="RRK24" s="109"/>
      <c r="RRL24" s="109"/>
      <c r="RRM24" s="109"/>
      <c r="RRN24" s="109"/>
      <c r="RRO24" s="109"/>
      <c r="RRP24" s="109"/>
      <c r="RRQ24" s="109"/>
      <c r="RRR24" s="109"/>
      <c r="RRS24" s="109"/>
      <c r="RRT24" s="109"/>
      <c r="RRU24" s="109"/>
      <c r="RRV24" s="109"/>
      <c r="RRW24" s="109"/>
      <c r="RRX24" s="109"/>
      <c r="RRY24" s="109"/>
      <c r="RRZ24" s="109"/>
      <c r="RSA24" s="109"/>
      <c r="RSB24" s="109"/>
      <c r="RSC24" s="109"/>
      <c r="RSD24" s="109"/>
      <c r="RSE24" s="109"/>
      <c r="RSF24" s="109"/>
      <c r="RSG24" s="109"/>
      <c r="RSH24" s="109"/>
      <c r="RSI24" s="109"/>
      <c r="RSJ24" s="109"/>
      <c r="RSK24" s="109"/>
      <c r="RSL24" s="109"/>
      <c r="RSM24" s="109"/>
      <c r="RSN24" s="109"/>
      <c r="RSO24" s="109"/>
      <c r="RSP24" s="109"/>
      <c r="RSQ24" s="109"/>
      <c r="RSR24" s="109"/>
      <c r="RSS24" s="109"/>
      <c r="RST24" s="109"/>
      <c r="RSU24" s="109"/>
      <c r="RSV24" s="109"/>
      <c r="RSW24" s="109"/>
      <c r="RSX24" s="109"/>
      <c r="RSY24" s="109"/>
      <c r="RSZ24" s="109"/>
      <c r="RTA24" s="109"/>
      <c r="RTB24" s="109"/>
      <c r="RTC24" s="109"/>
      <c r="RTD24" s="109"/>
      <c r="RTE24" s="109"/>
      <c r="RTF24" s="109"/>
      <c r="RTG24" s="109"/>
      <c r="RTH24" s="109"/>
      <c r="RTI24" s="109"/>
      <c r="RTJ24" s="109"/>
      <c r="RTK24" s="109"/>
      <c r="RTL24" s="109"/>
      <c r="RTM24" s="109"/>
      <c r="RTN24" s="109"/>
      <c r="RTO24" s="109"/>
      <c r="RTP24" s="109"/>
      <c r="RTQ24" s="109"/>
      <c r="RTR24" s="109"/>
      <c r="RTS24" s="109"/>
      <c r="RTT24" s="109"/>
      <c r="RTU24" s="109"/>
      <c r="RTV24" s="109"/>
      <c r="RTW24" s="109"/>
      <c r="RTX24" s="109"/>
      <c r="RTY24" s="109"/>
      <c r="RTZ24" s="109"/>
      <c r="RUA24" s="109"/>
      <c r="RUB24" s="109"/>
      <c r="RUC24" s="109"/>
      <c r="RUD24" s="109"/>
      <c r="RUE24" s="109"/>
      <c r="RUF24" s="109"/>
      <c r="RUG24" s="109"/>
      <c r="RUH24" s="109"/>
      <c r="RUI24" s="109"/>
      <c r="RUJ24" s="109"/>
      <c r="RUK24" s="109"/>
      <c r="RUL24" s="109"/>
      <c r="RUM24" s="109"/>
      <c r="RUN24" s="109"/>
      <c r="RUO24" s="109"/>
      <c r="RUP24" s="109"/>
      <c r="RUQ24" s="109"/>
      <c r="RUR24" s="109"/>
      <c r="RUS24" s="109"/>
      <c r="RUT24" s="109"/>
      <c r="RUU24" s="109"/>
      <c r="RUV24" s="109"/>
      <c r="RUW24" s="109"/>
      <c r="RUX24" s="109"/>
      <c r="RUY24" s="109"/>
      <c r="RUZ24" s="109"/>
      <c r="RVA24" s="109"/>
      <c r="RVB24" s="109"/>
      <c r="RVC24" s="109"/>
      <c r="RVD24" s="109"/>
      <c r="RVE24" s="109"/>
      <c r="RVF24" s="109"/>
      <c r="RVG24" s="109"/>
      <c r="RVH24" s="109"/>
      <c r="RVI24" s="109"/>
      <c r="RVJ24" s="109"/>
      <c r="RVK24" s="109"/>
      <c r="RVL24" s="109"/>
      <c r="RVM24" s="109"/>
      <c r="RVN24" s="109"/>
      <c r="RVO24" s="109"/>
      <c r="RVP24" s="109"/>
      <c r="RVQ24" s="109"/>
      <c r="RVR24" s="109"/>
      <c r="RVS24" s="109"/>
      <c r="RVT24" s="109"/>
      <c r="RVU24" s="109"/>
      <c r="RVV24" s="109"/>
      <c r="RVW24" s="109"/>
      <c r="RVX24" s="109"/>
      <c r="RVY24" s="109"/>
      <c r="RVZ24" s="109"/>
      <c r="RWA24" s="109"/>
      <c r="RWB24" s="109"/>
      <c r="RWC24" s="109"/>
      <c r="RWD24" s="109"/>
      <c r="RWE24" s="109"/>
      <c r="RWF24" s="109"/>
      <c r="RWG24" s="109"/>
      <c r="RWH24" s="109"/>
      <c r="RWI24" s="109"/>
      <c r="RWJ24" s="109"/>
      <c r="RWK24" s="109"/>
      <c r="RWL24" s="109"/>
      <c r="RWM24" s="109"/>
      <c r="RWN24" s="109"/>
      <c r="RWO24" s="109"/>
      <c r="RWP24" s="109"/>
      <c r="RWQ24" s="109"/>
      <c r="RWR24" s="109"/>
      <c r="RWS24" s="109"/>
      <c r="RWT24" s="109"/>
      <c r="RWU24" s="109"/>
      <c r="RWV24" s="109"/>
      <c r="RWW24" s="109"/>
      <c r="RWX24" s="109"/>
      <c r="RWY24" s="109"/>
      <c r="RWZ24" s="109"/>
      <c r="RXA24" s="109"/>
      <c r="RXB24" s="109"/>
      <c r="RXC24" s="109"/>
      <c r="RXD24" s="109"/>
      <c r="RXE24" s="109"/>
      <c r="RXF24" s="109"/>
      <c r="RXG24" s="109"/>
      <c r="RXH24" s="109"/>
      <c r="RXI24" s="109"/>
      <c r="RXJ24" s="109"/>
      <c r="RXK24" s="109"/>
      <c r="RXL24" s="109"/>
      <c r="RXM24" s="109"/>
      <c r="RXN24" s="109"/>
      <c r="RXO24" s="109"/>
      <c r="RXP24" s="109"/>
      <c r="RXQ24" s="109"/>
      <c r="RXR24" s="109"/>
      <c r="RXS24" s="109"/>
      <c r="RXT24" s="109"/>
      <c r="RXU24" s="109"/>
      <c r="RXV24" s="109"/>
      <c r="RXW24" s="109"/>
      <c r="RXX24" s="109"/>
      <c r="RXY24" s="109"/>
      <c r="RXZ24" s="109"/>
      <c r="RYA24" s="109"/>
      <c r="RYB24" s="109"/>
      <c r="RYC24" s="109"/>
      <c r="RYD24" s="109"/>
      <c r="RYE24" s="109"/>
      <c r="RYF24" s="109"/>
      <c r="RYG24" s="109"/>
      <c r="RYH24" s="109"/>
      <c r="RYI24" s="109"/>
      <c r="RYJ24" s="109"/>
      <c r="RYK24" s="109"/>
      <c r="RYL24" s="109"/>
      <c r="RYM24" s="109"/>
      <c r="RYN24" s="109"/>
      <c r="RYO24" s="109"/>
      <c r="RYP24" s="109"/>
      <c r="RYQ24" s="109"/>
      <c r="RYR24" s="109"/>
      <c r="RYS24" s="109"/>
      <c r="RYT24" s="109"/>
      <c r="RYU24" s="109"/>
      <c r="RYV24" s="109"/>
      <c r="RYW24" s="109"/>
      <c r="RYX24" s="109"/>
      <c r="RYY24" s="109"/>
      <c r="RYZ24" s="109"/>
      <c r="RZA24" s="109"/>
      <c r="RZB24" s="109"/>
      <c r="RZC24" s="109"/>
      <c r="RZD24" s="109"/>
      <c r="RZE24" s="109"/>
      <c r="RZF24" s="109"/>
      <c r="RZG24" s="109"/>
      <c r="RZH24" s="109"/>
      <c r="RZI24" s="109"/>
      <c r="RZJ24" s="109"/>
      <c r="RZK24" s="109"/>
      <c r="RZL24" s="109"/>
      <c r="RZM24" s="109"/>
      <c r="RZN24" s="109"/>
      <c r="RZO24" s="109"/>
      <c r="RZP24" s="109"/>
      <c r="RZQ24" s="109"/>
      <c r="RZR24" s="109"/>
      <c r="RZS24" s="109"/>
      <c r="RZT24" s="109"/>
      <c r="RZU24" s="109"/>
      <c r="RZV24" s="109"/>
      <c r="RZW24" s="109"/>
      <c r="RZX24" s="109"/>
      <c r="RZY24" s="109"/>
      <c r="RZZ24" s="109"/>
      <c r="SAA24" s="109"/>
      <c r="SAB24" s="109"/>
      <c r="SAC24" s="109"/>
      <c r="SAD24" s="109"/>
      <c r="SAE24" s="109"/>
      <c r="SAF24" s="109"/>
      <c r="SAG24" s="109"/>
      <c r="SAH24" s="109"/>
      <c r="SAI24" s="109"/>
      <c r="SAJ24" s="109"/>
      <c r="SAK24" s="109"/>
      <c r="SAL24" s="109"/>
      <c r="SAM24" s="109"/>
      <c r="SAN24" s="109"/>
      <c r="SAO24" s="109"/>
      <c r="SAP24" s="109"/>
      <c r="SAQ24" s="109"/>
      <c r="SAR24" s="109"/>
      <c r="SAS24" s="109"/>
      <c r="SAT24" s="109"/>
      <c r="SAU24" s="109"/>
      <c r="SAV24" s="109"/>
      <c r="SAW24" s="109"/>
      <c r="SAX24" s="109"/>
      <c r="SAY24" s="109"/>
      <c r="SAZ24" s="109"/>
      <c r="SBA24" s="109"/>
      <c r="SBB24" s="109"/>
      <c r="SBC24" s="109"/>
      <c r="SBD24" s="109"/>
      <c r="SBE24" s="109"/>
      <c r="SBF24" s="109"/>
      <c r="SBG24" s="109"/>
      <c r="SBH24" s="109"/>
      <c r="SBI24" s="109"/>
      <c r="SBJ24" s="109"/>
      <c r="SBK24" s="109"/>
      <c r="SBL24" s="109"/>
      <c r="SBM24" s="109"/>
      <c r="SBN24" s="109"/>
      <c r="SBO24" s="109"/>
      <c r="SBP24" s="109"/>
      <c r="SBQ24" s="109"/>
      <c r="SBR24" s="109"/>
      <c r="SBS24" s="109"/>
      <c r="SBT24" s="109"/>
      <c r="SBU24" s="109"/>
      <c r="SBV24" s="109"/>
      <c r="SBW24" s="109"/>
      <c r="SBX24" s="109"/>
      <c r="SBY24" s="109"/>
      <c r="SBZ24" s="109"/>
      <c r="SCA24" s="109"/>
      <c r="SCB24" s="109"/>
      <c r="SCC24" s="109"/>
      <c r="SCD24" s="109"/>
      <c r="SCE24" s="109"/>
      <c r="SCF24" s="109"/>
      <c r="SCG24" s="109"/>
      <c r="SCH24" s="109"/>
      <c r="SCI24" s="109"/>
      <c r="SCJ24" s="109"/>
      <c r="SCK24" s="109"/>
      <c r="SCL24" s="109"/>
      <c r="SCM24" s="109"/>
      <c r="SCN24" s="109"/>
      <c r="SCO24" s="109"/>
      <c r="SCP24" s="109"/>
      <c r="SCQ24" s="109"/>
      <c r="SCR24" s="109"/>
      <c r="SCS24" s="109"/>
      <c r="SCT24" s="109"/>
      <c r="SCU24" s="109"/>
      <c r="SCV24" s="109"/>
      <c r="SCW24" s="109"/>
      <c r="SCX24" s="109"/>
      <c r="SCY24" s="109"/>
      <c r="SCZ24" s="109"/>
      <c r="SDA24" s="109"/>
      <c r="SDB24" s="109"/>
      <c r="SDC24" s="109"/>
      <c r="SDD24" s="109"/>
      <c r="SDE24" s="109"/>
      <c r="SDF24" s="109"/>
      <c r="SDG24" s="109"/>
      <c r="SDH24" s="109"/>
      <c r="SDI24" s="109"/>
      <c r="SDJ24" s="109"/>
      <c r="SDK24" s="109"/>
      <c r="SDL24" s="109"/>
      <c r="SDM24" s="109"/>
      <c r="SDN24" s="109"/>
      <c r="SDO24" s="109"/>
      <c r="SDP24" s="109"/>
      <c r="SDQ24" s="109"/>
      <c r="SDR24" s="109"/>
      <c r="SDS24" s="109"/>
      <c r="SDT24" s="109"/>
      <c r="SDU24" s="109"/>
      <c r="SDV24" s="109"/>
      <c r="SDW24" s="109"/>
      <c r="SDX24" s="109"/>
      <c r="SDY24" s="109"/>
      <c r="SDZ24" s="109"/>
      <c r="SEA24" s="109"/>
      <c r="SEB24" s="109"/>
      <c r="SEC24" s="109"/>
      <c r="SED24" s="109"/>
      <c r="SEE24" s="109"/>
      <c r="SEF24" s="109"/>
      <c r="SEG24" s="109"/>
      <c r="SEH24" s="109"/>
      <c r="SEI24" s="109"/>
      <c r="SEJ24" s="109"/>
      <c r="SEK24" s="109"/>
      <c r="SEL24" s="109"/>
      <c r="SEM24" s="109"/>
      <c r="SEN24" s="109"/>
      <c r="SEO24" s="109"/>
      <c r="SEP24" s="109"/>
      <c r="SEQ24" s="109"/>
      <c r="SER24" s="109"/>
      <c r="SES24" s="109"/>
      <c r="SET24" s="109"/>
      <c r="SEU24" s="109"/>
      <c r="SEV24" s="109"/>
      <c r="SEW24" s="109"/>
      <c r="SEX24" s="109"/>
      <c r="SEY24" s="109"/>
      <c r="SEZ24" s="109"/>
      <c r="SFA24" s="109"/>
      <c r="SFB24" s="109"/>
      <c r="SFC24" s="109"/>
      <c r="SFD24" s="109"/>
      <c r="SFE24" s="109"/>
      <c r="SFF24" s="109"/>
      <c r="SFG24" s="109"/>
      <c r="SFH24" s="109"/>
      <c r="SFI24" s="109"/>
      <c r="SFJ24" s="109"/>
      <c r="SFK24" s="109"/>
      <c r="SFL24" s="109"/>
      <c r="SFM24" s="109"/>
      <c r="SFN24" s="109"/>
      <c r="SFO24" s="109"/>
      <c r="SFP24" s="109"/>
      <c r="SFQ24" s="109"/>
      <c r="SFR24" s="109"/>
      <c r="SFS24" s="109"/>
      <c r="SFT24" s="109"/>
      <c r="SFU24" s="109"/>
      <c r="SFV24" s="109"/>
      <c r="SFW24" s="109"/>
      <c r="SFX24" s="109"/>
      <c r="SFY24" s="109"/>
      <c r="SFZ24" s="109"/>
      <c r="SGA24" s="109"/>
      <c r="SGB24" s="109"/>
      <c r="SGC24" s="109"/>
      <c r="SGD24" s="109"/>
      <c r="SGE24" s="109"/>
      <c r="SGF24" s="109"/>
      <c r="SGG24" s="109"/>
      <c r="SGH24" s="109"/>
      <c r="SGI24" s="109"/>
      <c r="SGJ24" s="109"/>
      <c r="SGK24" s="109"/>
      <c r="SGL24" s="109"/>
      <c r="SGM24" s="109"/>
      <c r="SGN24" s="109"/>
      <c r="SGO24" s="109"/>
      <c r="SGP24" s="109"/>
      <c r="SGQ24" s="109"/>
      <c r="SGR24" s="109"/>
      <c r="SGS24" s="109"/>
      <c r="SGT24" s="109"/>
      <c r="SGU24" s="109"/>
      <c r="SGV24" s="109"/>
      <c r="SGW24" s="109"/>
      <c r="SGX24" s="109"/>
      <c r="SGY24" s="109"/>
      <c r="SGZ24" s="109"/>
      <c r="SHA24" s="109"/>
      <c r="SHB24" s="109"/>
      <c r="SHC24" s="109"/>
      <c r="SHD24" s="109"/>
      <c r="SHE24" s="109"/>
      <c r="SHF24" s="109"/>
      <c r="SHG24" s="109"/>
      <c r="SHH24" s="109"/>
      <c r="SHI24" s="109"/>
      <c r="SHJ24" s="109"/>
      <c r="SHK24" s="109"/>
      <c r="SHL24" s="109"/>
      <c r="SHM24" s="109"/>
      <c r="SHN24" s="109"/>
      <c r="SHO24" s="109"/>
      <c r="SHP24" s="109"/>
      <c r="SHQ24" s="109"/>
      <c r="SHR24" s="109"/>
      <c r="SHS24" s="109"/>
      <c r="SHT24" s="109"/>
      <c r="SHU24" s="109"/>
      <c r="SHV24" s="109"/>
      <c r="SHW24" s="109"/>
      <c r="SHX24" s="109"/>
      <c r="SHY24" s="109"/>
      <c r="SHZ24" s="109"/>
      <c r="SIA24" s="109"/>
      <c r="SIB24" s="109"/>
      <c r="SIC24" s="109"/>
      <c r="SID24" s="109"/>
      <c r="SIE24" s="109"/>
      <c r="SIF24" s="109"/>
      <c r="SIG24" s="109"/>
      <c r="SIH24" s="109"/>
      <c r="SII24" s="109"/>
      <c r="SIJ24" s="109"/>
      <c r="SIK24" s="109"/>
      <c r="SIL24" s="109"/>
      <c r="SIM24" s="109"/>
      <c r="SIN24" s="109"/>
      <c r="SIO24" s="109"/>
      <c r="SIP24" s="109"/>
      <c r="SIQ24" s="109"/>
      <c r="SIR24" s="109"/>
      <c r="SIS24" s="109"/>
      <c r="SIT24" s="109"/>
      <c r="SIU24" s="109"/>
      <c r="SIV24" s="109"/>
      <c r="SIW24" s="109"/>
      <c r="SIX24" s="109"/>
      <c r="SIY24" s="109"/>
      <c r="SIZ24" s="109"/>
      <c r="SJA24" s="109"/>
      <c r="SJB24" s="109"/>
      <c r="SJC24" s="109"/>
      <c r="SJD24" s="109"/>
      <c r="SJE24" s="109"/>
      <c r="SJF24" s="109"/>
      <c r="SJG24" s="109"/>
      <c r="SJH24" s="109"/>
      <c r="SJI24" s="109"/>
      <c r="SJJ24" s="109"/>
      <c r="SJK24" s="109"/>
      <c r="SJL24" s="109"/>
      <c r="SJM24" s="109"/>
      <c r="SJN24" s="109"/>
      <c r="SJO24" s="109"/>
      <c r="SJP24" s="109"/>
      <c r="SJQ24" s="109"/>
      <c r="SJR24" s="109"/>
      <c r="SJS24" s="109"/>
      <c r="SJT24" s="109"/>
      <c r="SJU24" s="109"/>
      <c r="SJV24" s="109"/>
      <c r="SJW24" s="109"/>
      <c r="SJX24" s="109"/>
      <c r="SJY24" s="109"/>
      <c r="SJZ24" s="109"/>
      <c r="SKA24" s="109"/>
      <c r="SKB24" s="109"/>
      <c r="SKC24" s="109"/>
      <c r="SKD24" s="109"/>
      <c r="SKE24" s="109"/>
      <c r="SKF24" s="109"/>
      <c r="SKG24" s="109"/>
      <c r="SKH24" s="109"/>
      <c r="SKI24" s="109"/>
      <c r="SKJ24" s="109"/>
      <c r="SKK24" s="109"/>
      <c r="SKL24" s="109"/>
      <c r="SKM24" s="109"/>
      <c r="SKN24" s="109"/>
      <c r="SKO24" s="109"/>
      <c r="SKP24" s="109"/>
      <c r="SKQ24" s="109"/>
      <c r="SKR24" s="109"/>
      <c r="SKS24" s="109"/>
      <c r="SKT24" s="109"/>
      <c r="SKU24" s="109"/>
      <c r="SKV24" s="109"/>
      <c r="SKW24" s="109"/>
      <c r="SKX24" s="109"/>
      <c r="SKY24" s="109"/>
      <c r="SKZ24" s="109"/>
      <c r="SLA24" s="109"/>
      <c r="SLB24" s="109"/>
      <c r="SLC24" s="109"/>
      <c r="SLD24" s="109"/>
      <c r="SLE24" s="109"/>
      <c r="SLF24" s="109"/>
      <c r="SLG24" s="109"/>
      <c r="SLH24" s="109"/>
      <c r="SLI24" s="109"/>
      <c r="SLJ24" s="109"/>
      <c r="SLK24" s="109"/>
      <c r="SLL24" s="109"/>
      <c r="SLM24" s="109"/>
      <c r="SLN24" s="109"/>
      <c r="SLO24" s="109"/>
      <c r="SLP24" s="109"/>
      <c r="SLQ24" s="109"/>
      <c r="SLR24" s="109"/>
      <c r="SLS24" s="109"/>
      <c r="SLT24" s="109"/>
      <c r="SLU24" s="109"/>
      <c r="SLV24" s="109"/>
      <c r="SLW24" s="109"/>
      <c r="SLX24" s="109"/>
      <c r="SLY24" s="109"/>
      <c r="SLZ24" s="109"/>
      <c r="SMA24" s="109"/>
      <c r="SMB24" s="109"/>
      <c r="SMC24" s="109"/>
      <c r="SMD24" s="109"/>
      <c r="SME24" s="109"/>
      <c r="SMF24" s="109"/>
      <c r="SMG24" s="109"/>
      <c r="SMH24" s="109"/>
      <c r="SMI24" s="109"/>
      <c r="SMJ24" s="109"/>
      <c r="SMK24" s="109"/>
      <c r="SML24" s="109"/>
      <c r="SMM24" s="109"/>
      <c r="SMN24" s="109"/>
      <c r="SMO24" s="109"/>
      <c r="SMP24" s="109"/>
      <c r="SMQ24" s="109"/>
      <c r="SMR24" s="109"/>
      <c r="SMS24" s="109"/>
      <c r="SMT24" s="109"/>
      <c r="SMU24" s="109"/>
      <c r="SMV24" s="109"/>
      <c r="SMW24" s="109"/>
      <c r="SMX24" s="109"/>
      <c r="SMY24" s="109"/>
      <c r="SMZ24" s="109"/>
      <c r="SNA24" s="109"/>
      <c r="SNB24" s="109"/>
      <c r="SNC24" s="109"/>
      <c r="SND24" s="109"/>
      <c r="SNE24" s="109"/>
      <c r="SNF24" s="109"/>
      <c r="SNG24" s="109"/>
      <c r="SNH24" s="109"/>
      <c r="SNI24" s="109"/>
      <c r="SNJ24" s="109"/>
      <c r="SNK24" s="109"/>
      <c r="SNL24" s="109"/>
      <c r="SNM24" s="109"/>
      <c r="SNN24" s="109"/>
      <c r="SNO24" s="109"/>
      <c r="SNP24" s="109"/>
      <c r="SNQ24" s="109"/>
      <c r="SNR24" s="109"/>
      <c r="SNS24" s="109"/>
      <c r="SNT24" s="109"/>
      <c r="SNU24" s="109"/>
      <c r="SNV24" s="109"/>
      <c r="SNW24" s="109"/>
      <c r="SNX24" s="109"/>
      <c r="SNY24" s="109"/>
      <c r="SNZ24" s="109"/>
      <c r="SOA24" s="109"/>
      <c r="SOB24" s="109"/>
      <c r="SOC24" s="109"/>
      <c r="SOD24" s="109"/>
      <c r="SOE24" s="109"/>
      <c r="SOF24" s="109"/>
      <c r="SOG24" s="109"/>
      <c r="SOH24" s="109"/>
      <c r="SOI24" s="109"/>
      <c r="SOJ24" s="109"/>
      <c r="SOK24" s="109"/>
      <c r="SOL24" s="109"/>
      <c r="SOM24" s="109"/>
      <c r="SON24" s="109"/>
      <c r="SOO24" s="109"/>
      <c r="SOP24" s="109"/>
      <c r="SOQ24" s="109"/>
      <c r="SOR24" s="109"/>
      <c r="SOS24" s="109"/>
      <c r="SOT24" s="109"/>
      <c r="SOU24" s="109"/>
      <c r="SOV24" s="109"/>
      <c r="SOW24" s="109"/>
      <c r="SOX24" s="109"/>
      <c r="SOY24" s="109"/>
      <c r="SOZ24" s="109"/>
      <c r="SPA24" s="109"/>
      <c r="SPB24" s="109"/>
      <c r="SPC24" s="109"/>
      <c r="SPD24" s="109"/>
      <c r="SPE24" s="109"/>
      <c r="SPF24" s="109"/>
      <c r="SPG24" s="109"/>
      <c r="SPH24" s="109"/>
      <c r="SPI24" s="109"/>
      <c r="SPJ24" s="109"/>
      <c r="SPK24" s="109"/>
      <c r="SPL24" s="109"/>
      <c r="SPM24" s="109"/>
      <c r="SPN24" s="109"/>
      <c r="SPO24" s="109"/>
      <c r="SPP24" s="109"/>
      <c r="SPQ24" s="109"/>
      <c r="SPR24" s="109"/>
      <c r="SPS24" s="109"/>
      <c r="SPT24" s="109"/>
      <c r="SPU24" s="109"/>
      <c r="SPV24" s="109"/>
      <c r="SPW24" s="109"/>
      <c r="SPX24" s="109"/>
      <c r="SPY24" s="109"/>
      <c r="SPZ24" s="109"/>
      <c r="SQA24" s="109"/>
      <c r="SQB24" s="109"/>
      <c r="SQC24" s="109"/>
      <c r="SQD24" s="109"/>
      <c r="SQE24" s="109"/>
      <c r="SQF24" s="109"/>
      <c r="SQG24" s="109"/>
      <c r="SQH24" s="109"/>
      <c r="SQI24" s="109"/>
      <c r="SQJ24" s="109"/>
      <c r="SQK24" s="109"/>
      <c r="SQL24" s="109"/>
      <c r="SQM24" s="109"/>
      <c r="SQN24" s="109"/>
      <c r="SQO24" s="109"/>
      <c r="SQP24" s="109"/>
      <c r="SQQ24" s="109"/>
      <c r="SQR24" s="109"/>
      <c r="SQS24" s="109"/>
      <c r="SQT24" s="109"/>
      <c r="SQU24" s="109"/>
      <c r="SQV24" s="109"/>
      <c r="SQW24" s="109"/>
      <c r="SQX24" s="109"/>
      <c r="SQY24" s="109"/>
      <c r="SQZ24" s="109"/>
      <c r="SRA24" s="109"/>
      <c r="SRB24" s="109"/>
      <c r="SRC24" s="109"/>
      <c r="SRD24" s="109"/>
      <c r="SRE24" s="109"/>
      <c r="SRF24" s="109"/>
      <c r="SRG24" s="109"/>
      <c r="SRH24" s="109"/>
      <c r="SRI24" s="109"/>
      <c r="SRJ24" s="109"/>
      <c r="SRK24" s="109"/>
      <c r="SRL24" s="109"/>
      <c r="SRM24" s="109"/>
      <c r="SRN24" s="109"/>
      <c r="SRO24" s="109"/>
      <c r="SRP24" s="109"/>
      <c r="SRQ24" s="109"/>
      <c r="SRR24" s="109"/>
      <c r="SRS24" s="109"/>
      <c r="SRT24" s="109"/>
      <c r="SRU24" s="109"/>
      <c r="SRV24" s="109"/>
      <c r="SRW24" s="109"/>
      <c r="SRX24" s="109"/>
      <c r="SRY24" s="109"/>
      <c r="SRZ24" s="109"/>
      <c r="SSA24" s="109"/>
      <c r="SSB24" s="109"/>
      <c r="SSC24" s="109"/>
      <c r="SSD24" s="109"/>
      <c r="SSE24" s="109"/>
      <c r="SSF24" s="109"/>
      <c r="SSG24" s="109"/>
      <c r="SSH24" s="109"/>
      <c r="SSI24" s="109"/>
      <c r="SSJ24" s="109"/>
      <c r="SSK24" s="109"/>
      <c r="SSL24" s="109"/>
      <c r="SSM24" s="109"/>
      <c r="SSN24" s="109"/>
      <c r="SSO24" s="109"/>
      <c r="SSP24" s="109"/>
      <c r="SSQ24" s="109"/>
      <c r="SSR24" s="109"/>
      <c r="SSS24" s="109"/>
      <c r="SST24" s="109"/>
      <c r="SSU24" s="109"/>
      <c r="SSV24" s="109"/>
      <c r="SSW24" s="109"/>
      <c r="SSX24" s="109"/>
      <c r="SSY24" s="109"/>
      <c r="SSZ24" s="109"/>
      <c r="STA24" s="109"/>
      <c r="STB24" s="109"/>
      <c r="STC24" s="109"/>
      <c r="STD24" s="109"/>
      <c r="STE24" s="109"/>
      <c r="STF24" s="109"/>
      <c r="STG24" s="109"/>
      <c r="STH24" s="109"/>
      <c r="STI24" s="109"/>
      <c r="STJ24" s="109"/>
      <c r="STK24" s="109"/>
      <c r="STL24" s="109"/>
      <c r="STM24" s="109"/>
      <c r="STN24" s="109"/>
      <c r="STO24" s="109"/>
      <c r="STP24" s="109"/>
      <c r="STQ24" s="109"/>
      <c r="STR24" s="109"/>
      <c r="STS24" s="109"/>
      <c r="STT24" s="109"/>
      <c r="STU24" s="109"/>
      <c r="STV24" s="109"/>
      <c r="STW24" s="109"/>
      <c r="STX24" s="109"/>
      <c r="STY24" s="109"/>
      <c r="STZ24" s="109"/>
      <c r="SUA24" s="109"/>
      <c r="SUB24" s="109"/>
      <c r="SUC24" s="109"/>
      <c r="SUD24" s="109"/>
      <c r="SUE24" s="109"/>
      <c r="SUF24" s="109"/>
      <c r="SUG24" s="109"/>
      <c r="SUH24" s="109"/>
      <c r="SUI24" s="109"/>
      <c r="SUJ24" s="109"/>
      <c r="SUK24" s="109"/>
      <c r="SUL24" s="109"/>
      <c r="SUM24" s="109"/>
      <c r="SUN24" s="109"/>
      <c r="SUO24" s="109"/>
      <c r="SUP24" s="109"/>
      <c r="SUQ24" s="109"/>
      <c r="SUR24" s="109"/>
      <c r="SUS24" s="109"/>
      <c r="SUT24" s="109"/>
      <c r="SUU24" s="109"/>
      <c r="SUV24" s="109"/>
      <c r="SUW24" s="109"/>
      <c r="SUX24" s="109"/>
      <c r="SUY24" s="109"/>
      <c r="SUZ24" s="109"/>
      <c r="SVA24" s="109"/>
      <c r="SVB24" s="109"/>
      <c r="SVC24" s="109"/>
      <c r="SVD24" s="109"/>
      <c r="SVE24" s="109"/>
      <c r="SVF24" s="109"/>
      <c r="SVG24" s="109"/>
      <c r="SVH24" s="109"/>
      <c r="SVI24" s="109"/>
      <c r="SVJ24" s="109"/>
      <c r="SVK24" s="109"/>
      <c r="SVL24" s="109"/>
      <c r="SVM24" s="109"/>
      <c r="SVN24" s="109"/>
      <c r="SVO24" s="109"/>
      <c r="SVP24" s="109"/>
      <c r="SVQ24" s="109"/>
      <c r="SVR24" s="109"/>
      <c r="SVS24" s="109"/>
      <c r="SVT24" s="109"/>
      <c r="SVU24" s="109"/>
      <c r="SVV24" s="109"/>
      <c r="SVW24" s="109"/>
      <c r="SVX24" s="109"/>
      <c r="SVY24" s="109"/>
      <c r="SVZ24" s="109"/>
      <c r="SWA24" s="109"/>
      <c r="SWB24" s="109"/>
      <c r="SWC24" s="109"/>
      <c r="SWD24" s="109"/>
      <c r="SWE24" s="109"/>
      <c r="SWF24" s="109"/>
      <c r="SWG24" s="109"/>
      <c r="SWH24" s="109"/>
      <c r="SWI24" s="109"/>
      <c r="SWJ24" s="109"/>
      <c r="SWK24" s="109"/>
      <c r="SWL24" s="109"/>
      <c r="SWM24" s="109"/>
      <c r="SWN24" s="109"/>
      <c r="SWO24" s="109"/>
      <c r="SWP24" s="109"/>
      <c r="SWQ24" s="109"/>
      <c r="SWR24" s="109"/>
      <c r="SWS24" s="109"/>
      <c r="SWT24" s="109"/>
      <c r="SWU24" s="109"/>
      <c r="SWV24" s="109"/>
      <c r="SWW24" s="109"/>
      <c r="SWX24" s="109"/>
      <c r="SWY24" s="109"/>
      <c r="SWZ24" s="109"/>
      <c r="SXA24" s="109"/>
      <c r="SXB24" s="109"/>
      <c r="SXC24" s="109"/>
      <c r="SXD24" s="109"/>
      <c r="SXE24" s="109"/>
      <c r="SXF24" s="109"/>
      <c r="SXG24" s="109"/>
      <c r="SXH24" s="109"/>
      <c r="SXI24" s="109"/>
      <c r="SXJ24" s="109"/>
      <c r="SXK24" s="109"/>
      <c r="SXL24" s="109"/>
      <c r="SXM24" s="109"/>
      <c r="SXN24" s="109"/>
      <c r="SXO24" s="109"/>
      <c r="SXP24" s="109"/>
      <c r="SXQ24" s="109"/>
      <c r="SXR24" s="109"/>
      <c r="SXS24" s="109"/>
      <c r="SXT24" s="109"/>
      <c r="SXU24" s="109"/>
      <c r="SXV24" s="109"/>
      <c r="SXW24" s="109"/>
      <c r="SXX24" s="109"/>
      <c r="SXY24" s="109"/>
      <c r="SXZ24" s="109"/>
      <c r="SYA24" s="109"/>
      <c r="SYB24" s="109"/>
      <c r="SYC24" s="109"/>
      <c r="SYD24" s="109"/>
      <c r="SYE24" s="109"/>
      <c r="SYF24" s="109"/>
      <c r="SYG24" s="109"/>
      <c r="SYH24" s="109"/>
      <c r="SYI24" s="109"/>
      <c r="SYJ24" s="109"/>
      <c r="SYK24" s="109"/>
      <c r="SYL24" s="109"/>
      <c r="SYM24" s="109"/>
      <c r="SYN24" s="109"/>
      <c r="SYO24" s="109"/>
      <c r="SYP24" s="109"/>
      <c r="SYQ24" s="109"/>
      <c r="SYR24" s="109"/>
      <c r="SYS24" s="109"/>
      <c r="SYT24" s="109"/>
      <c r="SYU24" s="109"/>
      <c r="SYV24" s="109"/>
      <c r="SYW24" s="109"/>
      <c r="SYX24" s="109"/>
      <c r="SYY24" s="109"/>
      <c r="SYZ24" s="109"/>
      <c r="SZA24" s="109"/>
      <c r="SZB24" s="109"/>
      <c r="SZC24" s="109"/>
      <c r="SZD24" s="109"/>
      <c r="SZE24" s="109"/>
      <c r="SZF24" s="109"/>
      <c r="SZG24" s="109"/>
      <c r="SZH24" s="109"/>
      <c r="SZI24" s="109"/>
      <c r="SZJ24" s="109"/>
      <c r="SZK24" s="109"/>
      <c r="SZL24" s="109"/>
      <c r="SZM24" s="109"/>
      <c r="SZN24" s="109"/>
      <c r="SZO24" s="109"/>
      <c r="SZP24" s="109"/>
      <c r="SZQ24" s="109"/>
      <c r="SZR24" s="109"/>
      <c r="SZS24" s="109"/>
      <c r="SZT24" s="109"/>
      <c r="SZU24" s="109"/>
      <c r="SZV24" s="109"/>
      <c r="SZW24" s="109"/>
      <c r="SZX24" s="109"/>
      <c r="SZY24" s="109"/>
      <c r="SZZ24" s="109"/>
      <c r="TAA24" s="109"/>
      <c r="TAB24" s="109"/>
      <c r="TAC24" s="109"/>
      <c r="TAD24" s="109"/>
      <c r="TAE24" s="109"/>
      <c r="TAF24" s="109"/>
      <c r="TAG24" s="109"/>
      <c r="TAH24" s="109"/>
      <c r="TAI24" s="109"/>
      <c r="TAJ24" s="109"/>
      <c r="TAK24" s="109"/>
      <c r="TAL24" s="109"/>
      <c r="TAM24" s="109"/>
      <c r="TAN24" s="109"/>
      <c r="TAO24" s="109"/>
      <c r="TAP24" s="109"/>
      <c r="TAQ24" s="109"/>
      <c r="TAR24" s="109"/>
      <c r="TAS24" s="109"/>
      <c r="TAT24" s="109"/>
      <c r="TAU24" s="109"/>
      <c r="TAV24" s="109"/>
      <c r="TAW24" s="109"/>
      <c r="TAX24" s="109"/>
      <c r="TAY24" s="109"/>
      <c r="TAZ24" s="109"/>
      <c r="TBA24" s="109"/>
      <c r="TBB24" s="109"/>
      <c r="TBC24" s="109"/>
      <c r="TBD24" s="109"/>
      <c r="TBE24" s="109"/>
      <c r="TBF24" s="109"/>
      <c r="TBG24" s="109"/>
      <c r="TBH24" s="109"/>
      <c r="TBI24" s="109"/>
      <c r="TBJ24" s="109"/>
      <c r="TBK24" s="109"/>
      <c r="TBL24" s="109"/>
      <c r="TBM24" s="109"/>
      <c r="TBN24" s="109"/>
      <c r="TBO24" s="109"/>
      <c r="TBP24" s="109"/>
      <c r="TBQ24" s="109"/>
      <c r="TBR24" s="109"/>
      <c r="TBS24" s="109"/>
      <c r="TBT24" s="109"/>
      <c r="TBU24" s="109"/>
      <c r="TBV24" s="109"/>
      <c r="TBW24" s="109"/>
      <c r="TBX24" s="109"/>
      <c r="TBY24" s="109"/>
      <c r="TBZ24" s="109"/>
      <c r="TCA24" s="109"/>
      <c r="TCB24" s="109"/>
      <c r="TCC24" s="109"/>
      <c r="TCD24" s="109"/>
      <c r="TCE24" s="109"/>
      <c r="TCF24" s="109"/>
      <c r="TCG24" s="109"/>
      <c r="TCH24" s="109"/>
      <c r="TCI24" s="109"/>
      <c r="TCJ24" s="109"/>
      <c r="TCK24" s="109"/>
      <c r="TCL24" s="109"/>
      <c r="TCM24" s="109"/>
      <c r="TCN24" s="109"/>
      <c r="TCO24" s="109"/>
      <c r="TCP24" s="109"/>
      <c r="TCQ24" s="109"/>
      <c r="TCR24" s="109"/>
      <c r="TCS24" s="109"/>
      <c r="TCT24" s="109"/>
      <c r="TCU24" s="109"/>
      <c r="TCV24" s="109"/>
      <c r="TCW24" s="109"/>
      <c r="TCX24" s="109"/>
      <c r="TCY24" s="109"/>
      <c r="TCZ24" s="109"/>
      <c r="TDA24" s="109"/>
      <c r="TDB24" s="109"/>
      <c r="TDC24" s="109"/>
      <c r="TDD24" s="109"/>
      <c r="TDE24" s="109"/>
      <c r="TDF24" s="109"/>
      <c r="TDG24" s="109"/>
      <c r="TDH24" s="109"/>
      <c r="TDI24" s="109"/>
      <c r="TDJ24" s="109"/>
      <c r="TDK24" s="109"/>
      <c r="TDL24" s="109"/>
      <c r="TDM24" s="109"/>
      <c r="TDN24" s="109"/>
      <c r="TDO24" s="109"/>
      <c r="TDP24" s="109"/>
      <c r="TDQ24" s="109"/>
      <c r="TDR24" s="109"/>
      <c r="TDS24" s="109"/>
      <c r="TDT24" s="109"/>
      <c r="TDU24" s="109"/>
      <c r="TDV24" s="109"/>
      <c r="TDW24" s="109"/>
      <c r="TDX24" s="109"/>
      <c r="TDY24" s="109"/>
      <c r="TDZ24" s="109"/>
      <c r="TEA24" s="109"/>
      <c r="TEB24" s="109"/>
      <c r="TEC24" s="109"/>
      <c r="TED24" s="109"/>
      <c r="TEE24" s="109"/>
      <c r="TEF24" s="109"/>
      <c r="TEG24" s="109"/>
      <c r="TEH24" s="109"/>
      <c r="TEI24" s="109"/>
      <c r="TEJ24" s="109"/>
      <c r="TEK24" s="109"/>
      <c r="TEL24" s="109"/>
      <c r="TEM24" s="109"/>
      <c r="TEN24" s="109"/>
      <c r="TEO24" s="109"/>
      <c r="TEP24" s="109"/>
      <c r="TEQ24" s="109"/>
      <c r="TER24" s="109"/>
      <c r="TES24" s="109"/>
      <c r="TET24" s="109"/>
      <c r="TEU24" s="109"/>
      <c r="TEV24" s="109"/>
      <c r="TEW24" s="109"/>
      <c r="TEX24" s="109"/>
      <c r="TEY24" s="109"/>
      <c r="TEZ24" s="109"/>
      <c r="TFA24" s="109"/>
      <c r="TFB24" s="109"/>
      <c r="TFC24" s="109"/>
      <c r="TFD24" s="109"/>
      <c r="TFE24" s="109"/>
      <c r="TFF24" s="109"/>
      <c r="TFG24" s="109"/>
      <c r="TFH24" s="109"/>
      <c r="TFI24" s="109"/>
      <c r="TFJ24" s="109"/>
      <c r="TFK24" s="109"/>
      <c r="TFL24" s="109"/>
      <c r="TFM24" s="109"/>
      <c r="TFN24" s="109"/>
      <c r="TFO24" s="109"/>
      <c r="TFP24" s="109"/>
      <c r="TFQ24" s="109"/>
      <c r="TFR24" s="109"/>
      <c r="TFS24" s="109"/>
      <c r="TFT24" s="109"/>
      <c r="TFU24" s="109"/>
      <c r="TFV24" s="109"/>
      <c r="TFW24" s="109"/>
      <c r="TFX24" s="109"/>
      <c r="TFY24" s="109"/>
      <c r="TFZ24" s="109"/>
      <c r="TGA24" s="109"/>
      <c r="TGB24" s="109"/>
      <c r="TGC24" s="109"/>
      <c r="TGD24" s="109"/>
      <c r="TGE24" s="109"/>
      <c r="TGF24" s="109"/>
      <c r="TGG24" s="109"/>
      <c r="TGH24" s="109"/>
      <c r="TGI24" s="109"/>
      <c r="TGJ24" s="109"/>
      <c r="TGK24" s="109"/>
      <c r="TGL24" s="109"/>
      <c r="TGM24" s="109"/>
      <c r="TGN24" s="109"/>
      <c r="TGO24" s="109"/>
      <c r="TGP24" s="109"/>
      <c r="TGQ24" s="109"/>
      <c r="TGR24" s="109"/>
      <c r="TGS24" s="109"/>
      <c r="TGT24" s="109"/>
      <c r="TGU24" s="109"/>
      <c r="TGV24" s="109"/>
      <c r="TGW24" s="109"/>
      <c r="TGX24" s="109"/>
      <c r="TGY24" s="109"/>
      <c r="TGZ24" s="109"/>
      <c r="THA24" s="109"/>
      <c r="THB24" s="109"/>
      <c r="THC24" s="109"/>
      <c r="THD24" s="109"/>
      <c r="THE24" s="109"/>
      <c r="THF24" s="109"/>
      <c r="THG24" s="109"/>
      <c r="THH24" s="109"/>
      <c r="THI24" s="109"/>
      <c r="THJ24" s="109"/>
      <c r="THK24" s="109"/>
      <c r="THL24" s="109"/>
      <c r="THM24" s="109"/>
      <c r="THN24" s="109"/>
      <c r="THO24" s="109"/>
      <c r="THP24" s="109"/>
      <c r="THQ24" s="109"/>
      <c r="THR24" s="109"/>
      <c r="THS24" s="109"/>
      <c r="THT24" s="109"/>
      <c r="THU24" s="109"/>
      <c r="THV24" s="109"/>
      <c r="THW24" s="109"/>
      <c r="THX24" s="109"/>
      <c r="THY24" s="109"/>
      <c r="THZ24" s="109"/>
      <c r="TIA24" s="109"/>
      <c r="TIB24" s="109"/>
      <c r="TIC24" s="109"/>
      <c r="TID24" s="109"/>
      <c r="TIE24" s="109"/>
      <c r="TIF24" s="109"/>
      <c r="TIG24" s="109"/>
      <c r="TIH24" s="109"/>
      <c r="TII24" s="109"/>
      <c r="TIJ24" s="109"/>
      <c r="TIK24" s="109"/>
      <c r="TIL24" s="109"/>
      <c r="TIM24" s="109"/>
      <c r="TIN24" s="109"/>
      <c r="TIO24" s="109"/>
      <c r="TIP24" s="109"/>
      <c r="TIQ24" s="109"/>
      <c r="TIR24" s="109"/>
      <c r="TIS24" s="109"/>
      <c r="TIT24" s="109"/>
      <c r="TIU24" s="109"/>
      <c r="TIV24" s="109"/>
      <c r="TIW24" s="109"/>
      <c r="TIX24" s="109"/>
      <c r="TIY24" s="109"/>
      <c r="TIZ24" s="109"/>
      <c r="TJA24" s="109"/>
      <c r="TJB24" s="109"/>
      <c r="TJC24" s="109"/>
      <c r="TJD24" s="109"/>
      <c r="TJE24" s="109"/>
      <c r="TJF24" s="109"/>
      <c r="TJG24" s="109"/>
      <c r="TJH24" s="109"/>
      <c r="TJI24" s="109"/>
      <c r="TJJ24" s="109"/>
      <c r="TJK24" s="109"/>
      <c r="TJL24" s="109"/>
      <c r="TJM24" s="109"/>
      <c r="TJN24" s="109"/>
      <c r="TJO24" s="109"/>
      <c r="TJP24" s="109"/>
      <c r="TJQ24" s="109"/>
      <c r="TJR24" s="109"/>
      <c r="TJS24" s="109"/>
      <c r="TJT24" s="109"/>
      <c r="TJU24" s="109"/>
      <c r="TJV24" s="109"/>
      <c r="TJW24" s="109"/>
      <c r="TJX24" s="109"/>
      <c r="TJY24" s="109"/>
      <c r="TJZ24" s="109"/>
      <c r="TKA24" s="109"/>
      <c r="TKB24" s="109"/>
      <c r="TKC24" s="109"/>
      <c r="TKD24" s="109"/>
      <c r="TKE24" s="109"/>
      <c r="TKF24" s="109"/>
      <c r="TKG24" s="109"/>
      <c r="TKH24" s="109"/>
      <c r="TKI24" s="109"/>
      <c r="TKJ24" s="109"/>
      <c r="TKK24" s="109"/>
      <c r="TKL24" s="109"/>
      <c r="TKM24" s="109"/>
      <c r="TKN24" s="109"/>
      <c r="TKO24" s="109"/>
      <c r="TKP24" s="109"/>
      <c r="TKQ24" s="109"/>
      <c r="TKR24" s="109"/>
      <c r="TKS24" s="109"/>
      <c r="TKT24" s="109"/>
      <c r="TKU24" s="109"/>
      <c r="TKV24" s="109"/>
      <c r="TKW24" s="109"/>
      <c r="TKX24" s="109"/>
      <c r="TKY24" s="109"/>
      <c r="TKZ24" s="109"/>
      <c r="TLA24" s="109"/>
      <c r="TLB24" s="109"/>
      <c r="TLC24" s="109"/>
      <c r="TLD24" s="109"/>
      <c r="TLE24" s="109"/>
      <c r="TLF24" s="109"/>
      <c r="TLG24" s="109"/>
      <c r="TLH24" s="109"/>
      <c r="TLI24" s="109"/>
      <c r="TLJ24" s="109"/>
      <c r="TLK24" s="109"/>
      <c r="TLL24" s="109"/>
      <c r="TLM24" s="109"/>
      <c r="TLN24" s="109"/>
      <c r="TLO24" s="109"/>
      <c r="TLP24" s="109"/>
      <c r="TLQ24" s="109"/>
      <c r="TLR24" s="109"/>
      <c r="TLS24" s="109"/>
      <c r="TLT24" s="109"/>
      <c r="TLU24" s="109"/>
      <c r="TLV24" s="109"/>
      <c r="TLW24" s="109"/>
      <c r="TLX24" s="109"/>
      <c r="TLY24" s="109"/>
      <c r="TLZ24" s="109"/>
      <c r="TMA24" s="109"/>
      <c r="TMB24" s="109"/>
      <c r="TMC24" s="109"/>
      <c r="TMD24" s="109"/>
      <c r="TME24" s="109"/>
      <c r="TMF24" s="109"/>
      <c r="TMG24" s="109"/>
      <c r="TMH24" s="109"/>
      <c r="TMI24" s="109"/>
      <c r="TMJ24" s="109"/>
      <c r="TMK24" s="109"/>
      <c r="TML24" s="109"/>
      <c r="TMM24" s="109"/>
      <c r="TMN24" s="109"/>
      <c r="TMO24" s="109"/>
      <c r="TMP24" s="109"/>
      <c r="TMQ24" s="109"/>
      <c r="TMR24" s="109"/>
      <c r="TMS24" s="109"/>
      <c r="TMT24" s="109"/>
      <c r="TMU24" s="109"/>
      <c r="TMV24" s="109"/>
      <c r="TMW24" s="109"/>
      <c r="TMX24" s="109"/>
      <c r="TMY24" s="109"/>
      <c r="TMZ24" s="109"/>
      <c r="TNA24" s="109"/>
      <c r="TNB24" s="109"/>
      <c r="TNC24" s="109"/>
      <c r="TND24" s="109"/>
      <c r="TNE24" s="109"/>
      <c r="TNF24" s="109"/>
      <c r="TNG24" s="109"/>
      <c r="TNH24" s="109"/>
      <c r="TNI24" s="109"/>
      <c r="TNJ24" s="109"/>
      <c r="TNK24" s="109"/>
      <c r="TNL24" s="109"/>
      <c r="TNM24" s="109"/>
      <c r="TNN24" s="109"/>
      <c r="TNO24" s="109"/>
      <c r="TNP24" s="109"/>
      <c r="TNQ24" s="109"/>
      <c r="TNR24" s="109"/>
      <c r="TNS24" s="109"/>
      <c r="TNT24" s="109"/>
      <c r="TNU24" s="109"/>
      <c r="TNV24" s="109"/>
      <c r="TNW24" s="109"/>
      <c r="TNX24" s="109"/>
      <c r="TNY24" s="109"/>
      <c r="TNZ24" s="109"/>
      <c r="TOA24" s="109"/>
      <c r="TOB24" s="109"/>
      <c r="TOC24" s="109"/>
      <c r="TOD24" s="109"/>
      <c r="TOE24" s="109"/>
      <c r="TOF24" s="109"/>
      <c r="TOG24" s="109"/>
      <c r="TOH24" s="109"/>
      <c r="TOI24" s="109"/>
      <c r="TOJ24" s="109"/>
      <c r="TOK24" s="109"/>
      <c r="TOL24" s="109"/>
      <c r="TOM24" s="109"/>
      <c r="TON24" s="109"/>
      <c r="TOO24" s="109"/>
      <c r="TOP24" s="109"/>
      <c r="TOQ24" s="109"/>
      <c r="TOR24" s="109"/>
      <c r="TOS24" s="109"/>
      <c r="TOT24" s="109"/>
      <c r="TOU24" s="109"/>
      <c r="TOV24" s="109"/>
      <c r="TOW24" s="109"/>
      <c r="TOX24" s="109"/>
      <c r="TOY24" s="109"/>
      <c r="TOZ24" s="109"/>
      <c r="TPA24" s="109"/>
      <c r="TPB24" s="109"/>
      <c r="TPC24" s="109"/>
      <c r="TPD24" s="109"/>
      <c r="TPE24" s="109"/>
      <c r="TPF24" s="109"/>
      <c r="TPG24" s="109"/>
      <c r="TPH24" s="109"/>
      <c r="TPI24" s="109"/>
      <c r="TPJ24" s="109"/>
      <c r="TPK24" s="109"/>
      <c r="TPL24" s="109"/>
      <c r="TPM24" s="109"/>
      <c r="TPN24" s="109"/>
      <c r="TPO24" s="109"/>
      <c r="TPP24" s="109"/>
      <c r="TPQ24" s="109"/>
      <c r="TPR24" s="109"/>
      <c r="TPS24" s="109"/>
      <c r="TPT24" s="109"/>
      <c r="TPU24" s="109"/>
      <c r="TPV24" s="109"/>
      <c r="TPW24" s="109"/>
      <c r="TPX24" s="109"/>
      <c r="TPY24" s="109"/>
      <c r="TPZ24" s="109"/>
      <c r="TQA24" s="109"/>
      <c r="TQB24" s="109"/>
      <c r="TQC24" s="109"/>
      <c r="TQD24" s="109"/>
      <c r="TQE24" s="109"/>
      <c r="TQF24" s="109"/>
      <c r="TQG24" s="109"/>
      <c r="TQH24" s="109"/>
      <c r="TQI24" s="109"/>
      <c r="TQJ24" s="109"/>
      <c r="TQK24" s="109"/>
      <c r="TQL24" s="109"/>
      <c r="TQM24" s="109"/>
      <c r="TQN24" s="109"/>
      <c r="TQO24" s="109"/>
      <c r="TQP24" s="109"/>
      <c r="TQQ24" s="109"/>
      <c r="TQR24" s="109"/>
      <c r="TQS24" s="109"/>
      <c r="TQT24" s="109"/>
      <c r="TQU24" s="109"/>
      <c r="TQV24" s="109"/>
      <c r="TQW24" s="109"/>
      <c r="TQX24" s="109"/>
      <c r="TQY24" s="109"/>
      <c r="TQZ24" s="109"/>
      <c r="TRA24" s="109"/>
      <c r="TRB24" s="109"/>
      <c r="TRC24" s="109"/>
      <c r="TRD24" s="109"/>
      <c r="TRE24" s="109"/>
      <c r="TRF24" s="109"/>
      <c r="TRG24" s="109"/>
      <c r="TRH24" s="109"/>
      <c r="TRI24" s="109"/>
      <c r="TRJ24" s="109"/>
      <c r="TRK24" s="109"/>
      <c r="TRL24" s="109"/>
      <c r="TRM24" s="109"/>
      <c r="TRN24" s="109"/>
      <c r="TRO24" s="109"/>
      <c r="TRP24" s="109"/>
      <c r="TRQ24" s="109"/>
      <c r="TRR24" s="109"/>
      <c r="TRS24" s="109"/>
      <c r="TRT24" s="109"/>
      <c r="TRU24" s="109"/>
      <c r="TRV24" s="109"/>
      <c r="TRW24" s="109"/>
      <c r="TRX24" s="109"/>
      <c r="TRY24" s="109"/>
      <c r="TRZ24" s="109"/>
      <c r="TSA24" s="109"/>
      <c r="TSB24" s="109"/>
      <c r="TSC24" s="109"/>
      <c r="TSD24" s="109"/>
      <c r="TSE24" s="109"/>
      <c r="TSF24" s="109"/>
      <c r="TSG24" s="109"/>
      <c r="TSH24" s="109"/>
      <c r="TSI24" s="109"/>
      <c r="TSJ24" s="109"/>
      <c r="TSK24" s="109"/>
      <c r="TSL24" s="109"/>
      <c r="TSM24" s="109"/>
      <c r="TSN24" s="109"/>
      <c r="TSO24" s="109"/>
      <c r="TSP24" s="109"/>
      <c r="TSQ24" s="109"/>
      <c r="TSR24" s="109"/>
      <c r="TSS24" s="109"/>
      <c r="TST24" s="109"/>
      <c r="TSU24" s="109"/>
      <c r="TSV24" s="109"/>
      <c r="TSW24" s="109"/>
      <c r="TSX24" s="109"/>
      <c r="TSY24" s="109"/>
      <c r="TSZ24" s="109"/>
      <c r="TTA24" s="109"/>
      <c r="TTB24" s="109"/>
      <c r="TTC24" s="109"/>
      <c r="TTD24" s="109"/>
      <c r="TTE24" s="109"/>
      <c r="TTF24" s="109"/>
      <c r="TTG24" s="109"/>
      <c r="TTH24" s="109"/>
      <c r="TTI24" s="109"/>
      <c r="TTJ24" s="109"/>
      <c r="TTK24" s="109"/>
      <c r="TTL24" s="109"/>
      <c r="TTM24" s="109"/>
      <c r="TTN24" s="109"/>
      <c r="TTO24" s="109"/>
      <c r="TTP24" s="109"/>
      <c r="TTQ24" s="109"/>
      <c r="TTR24" s="109"/>
      <c r="TTS24" s="109"/>
      <c r="TTT24" s="109"/>
      <c r="TTU24" s="109"/>
      <c r="TTV24" s="109"/>
      <c r="TTW24" s="109"/>
      <c r="TTX24" s="109"/>
      <c r="TTY24" s="109"/>
      <c r="TTZ24" s="109"/>
      <c r="TUA24" s="109"/>
      <c r="TUB24" s="109"/>
      <c r="TUC24" s="109"/>
      <c r="TUD24" s="109"/>
      <c r="TUE24" s="109"/>
      <c r="TUF24" s="109"/>
      <c r="TUG24" s="109"/>
      <c r="TUH24" s="109"/>
      <c r="TUI24" s="109"/>
      <c r="TUJ24" s="109"/>
      <c r="TUK24" s="109"/>
      <c r="TUL24" s="109"/>
      <c r="TUM24" s="109"/>
      <c r="TUN24" s="109"/>
      <c r="TUO24" s="109"/>
      <c r="TUP24" s="109"/>
      <c r="TUQ24" s="109"/>
      <c r="TUR24" s="109"/>
      <c r="TUS24" s="109"/>
      <c r="TUT24" s="109"/>
      <c r="TUU24" s="109"/>
      <c r="TUV24" s="109"/>
      <c r="TUW24" s="109"/>
      <c r="TUX24" s="109"/>
      <c r="TUY24" s="109"/>
      <c r="TUZ24" s="109"/>
      <c r="TVA24" s="109"/>
      <c r="TVB24" s="109"/>
      <c r="TVC24" s="109"/>
      <c r="TVD24" s="109"/>
      <c r="TVE24" s="109"/>
      <c r="TVF24" s="109"/>
      <c r="TVG24" s="109"/>
      <c r="TVH24" s="109"/>
      <c r="TVI24" s="109"/>
      <c r="TVJ24" s="109"/>
      <c r="TVK24" s="109"/>
      <c r="TVL24" s="109"/>
      <c r="TVM24" s="109"/>
      <c r="TVN24" s="109"/>
      <c r="TVO24" s="109"/>
      <c r="TVP24" s="109"/>
      <c r="TVQ24" s="109"/>
      <c r="TVR24" s="109"/>
      <c r="TVS24" s="109"/>
      <c r="TVT24" s="109"/>
      <c r="TVU24" s="109"/>
      <c r="TVV24" s="109"/>
      <c r="TVW24" s="109"/>
      <c r="TVX24" s="109"/>
      <c r="TVY24" s="109"/>
      <c r="TVZ24" s="109"/>
      <c r="TWA24" s="109"/>
      <c r="TWB24" s="109"/>
      <c r="TWC24" s="109"/>
      <c r="TWD24" s="109"/>
      <c r="TWE24" s="109"/>
      <c r="TWF24" s="109"/>
      <c r="TWG24" s="109"/>
      <c r="TWH24" s="109"/>
      <c r="TWI24" s="109"/>
      <c r="TWJ24" s="109"/>
      <c r="TWK24" s="109"/>
      <c r="TWL24" s="109"/>
      <c r="TWM24" s="109"/>
      <c r="TWN24" s="109"/>
      <c r="TWO24" s="109"/>
      <c r="TWP24" s="109"/>
      <c r="TWQ24" s="109"/>
      <c r="TWR24" s="109"/>
      <c r="TWS24" s="109"/>
      <c r="TWT24" s="109"/>
      <c r="TWU24" s="109"/>
      <c r="TWV24" s="109"/>
      <c r="TWW24" s="109"/>
      <c r="TWX24" s="109"/>
      <c r="TWY24" s="109"/>
      <c r="TWZ24" s="109"/>
      <c r="TXA24" s="109"/>
      <c r="TXB24" s="109"/>
      <c r="TXC24" s="109"/>
      <c r="TXD24" s="109"/>
      <c r="TXE24" s="109"/>
      <c r="TXF24" s="109"/>
      <c r="TXG24" s="109"/>
      <c r="TXH24" s="109"/>
      <c r="TXI24" s="109"/>
      <c r="TXJ24" s="109"/>
      <c r="TXK24" s="109"/>
      <c r="TXL24" s="109"/>
      <c r="TXM24" s="109"/>
      <c r="TXN24" s="109"/>
      <c r="TXO24" s="109"/>
      <c r="TXP24" s="109"/>
      <c r="TXQ24" s="109"/>
      <c r="TXR24" s="109"/>
      <c r="TXS24" s="109"/>
      <c r="TXT24" s="109"/>
      <c r="TXU24" s="109"/>
      <c r="TXV24" s="109"/>
      <c r="TXW24" s="109"/>
      <c r="TXX24" s="109"/>
      <c r="TXY24" s="109"/>
      <c r="TXZ24" s="109"/>
      <c r="TYA24" s="109"/>
      <c r="TYB24" s="109"/>
      <c r="TYC24" s="109"/>
      <c r="TYD24" s="109"/>
      <c r="TYE24" s="109"/>
      <c r="TYF24" s="109"/>
      <c r="TYG24" s="109"/>
      <c r="TYH24" s="109"/>
      <c r="TYI24" s="109"/>
      <c r="TYJ24" s="109"/>
      <c r="TYK24" s="109"/>
      <c r="TYL24" s="109"/>
      <c r="TYM24" s="109"/>
      <c r="TYN24" s="109"/>
      <c r="TYO24" s="109"/>
      <c r="TYP24" s="109"/>
      <c r="TYQ24" s="109"/>
      <c r="TYR24" s="109"/>
      <c r="TYS24" s="109"/>
      <c r="TYT24" s="109"/>
      <c r="TYU24" s="109"/>
      <c r="TYV24" s="109"/>
      <c r="TYW24" s="109"/>
      <c r="TYX24" s="109"/>
      <c r="TYY24" s="109"/>
      <c r="TYZ24" s="109"/>
      <c r="TZA24" s="109"/>
      <c r="TZB24" s="109"/>
      <c r="TZC24" s="109"/>
      <c r="TZD24" s="109"/>
      <c r="TZE24" s="109"/>
      <c r="TZF24" s="109"/>
      <c r="TZG24" s="109"/>
      <c r="TZH24" s="109"/>
      <c r="TZI24" s="109"/>
      <c r="TZJ24" s="109"/>
      <c r="TZK24" s="109"/>
      <c r="TZL24" s="109"/>
      <c r="TZM24" s="109"/>
      <c r="TZN24" s="109"/>
      <c r="TZO24" s="109"/>
      <c r="TZP24" s="109"/>
      <c r="TZQ24" s="109"/>
      <c r="TZR24" s="109"/>
      <c r="TZS24" s="109"/>
      <c r="TZT24" s="109"/>
      <c r="TZU24" s="109"/>
      <c r="TZV24" s="109"/>
      <c r="TZW24" s="109"/>
      <c r="TZX24" s="109"/>
      <c r="TZY24" s="109"/>
      <c r="TZZ24" s="109"/>
      <c r="UAA24" s="109"/>
      <c r="UAB24" s="109"/>
      <c r="UAC24" s="109"/>
      <c r="UAD24" s="109"/>
      <c r="UAE24" s="109"/>
      <c r="UAF24" s="109"/>
      <c r="UAG24" s="109"/>
      <c r="UAH24" s="109"/>
      <c r="UAI24" s="109"/>
      <c r="UAJ24" s="109"/>
      <c r="UAK24" s="109"/>
      <c r="UAL24" s="109"/>
      <c r="UAM24" s="109"/>
      <c r="UAN24" s="109"/>
      <c r="UAO24" s="109"/>
      <c r="UAP24" s="109"/>
      <c r="UAQ24" s="109"/>
      <c r="UAR24" s="109"/>
      <c r="UAS24" s="109"/>
      <c r="UAT24" s="109"/>
      <c r="UAU24" s="109"/>
      <c r="UAV24" s="109"/>
      <c r="UAW24" s="109"/>
      <c r="UAX24" s="109"/>
      <c r="UAY24" s="109"/>
      <c r="UAZ24" s="109"/>
      <c r="UBA24" s="109"/>
      <c r="UBB24" s="109"/>
      <c r="UBC24" s="109"/>
      <c r="UBD24" s="109"/>
      <c r="UBE24" s="109"/>
      <c r="UBF24" s="109"/>
      <c r="UBG24" s="109"/>
      <c r="UBH24" s="109"/>
      <c r="UBI24" s="109"/>
      <c r="UBJ24" s="109"/>
      <c r="UBK24" s="109"/>
      <c r="UBL24" s="109"/>
      <c r="UBM24" s="109"/>
      <c r="UBN24" s="109"/>
      <c r="UBO24" s="109"/>
      <c r="UBP24" s="109"/>
      <c r="UBQ24" s="109"/>
      <c r="UBR24" s="109"/>
      <c r="UBS24" s="109"/>
      <c r="UBT24" s="109"/>
      <c r="UBU24" s="109"/>
      <c r="UBV24" s="109"/>
      <c r="UBW24" s="109"/>
      <c r="UBX24" s="109"/>
      <c r="UBY24" s="109"/>
      <c r="UBZ24" s="109"/>
      <c r="UCA24" s="109"/>
      <c r="UCB24" s="109"/>
      <c r="UCC24" s="109"/>
      <c r="UCD24" s="109"/>
      <c r="UCE24" s="109"/>
      <c r="UCF24" s="109"/>
      <c r="UCG24" s="109"/>
      <c r="UCH24" s="109"/>
      <c r="UCI24" s="109"/>
      <c r="UCJ24" s="109"/>
      <c r="UCK24" s="109"/>
      <c r="UCL24" s="109"/>
      <c r="UCM24" s="109"/>
      <c r="UCN24" s="109"/>
      <c r="UCO24" s="109"/>
      <c r="UCP24" s="109"/>
      <c r="UCQ24" s="109"/>
      <c r="UCR24" s="109"/>
      <c r="UCS24" s="109"/>
      <c r="UCT24" s="109"/>
      <c r="UCU24" s="109"/>
      <c r="UCV24" s="109"/>
      <c r="UCW24" s="109"/>
      <c r="UCX24" s="109"/>
      <c r="UCY24" s="109"/>
      <c r="UCZ24" s="109"/>
      <c r="UDA24" s="109"/>
      <c r="UDB24" s="109"/>
      <c r="UDC24" s="109"/>
      <c r="UDD24" s="109"/>
      <c r="UDE24" s="109"/>
      <c r="UDF24" s="109"/>
      <c r="UDG24" s="109"/>
      <c r="UDH24" s="109"/>
      <c r="UDI24" s="109"/>
      <c r="UDJ24" s="109"/>
      <c r="UDK24" s="109"/>
      <c r="UDL24" s="109"/>
      <c r="UDM24" s="109"/>
      <c r="UDN24" s="109"/>
      <c r="UDO24" s="109"/>
      <c r="UDP24" s="109"/>
      <c r="UDQ24" s="109"/>
      <c r="UDR24" s="109"/>
      <c r="UDS24" s="109"/>
      <c r="UDT24" s="109"/>
      <c r="UDU24" s="109"/>
      <c r="UDV24" s="109"/>
      <c r="UDW24" s="109"/>
      <c r="UDX24" s="109"/>
      <c r="UDY24" s="109"/>
      <c r="UDZ24" s="109"/>
      <c r="UEA24" s="109"/>
      <c r="UEB24" s="109"/>
      <c r="UEC24" s="109"/>
      <c r="UED24" s="109"/>
      <c r="UEE24" s="109"/>
      <c r="UEF24" s="109"/>
      <c r="UEG24" s="109"/>
      <c r="UEH24" s="109"/>
      <c r="UEI24" s="109"/>
      <c r="UEJ24" s="109"/>
      <c r="UEK24" s="109"/>
      <c r="UEL24" s="109"/>
      <c r="UEM24" s="109"/>
      <c r="UEN24" s="109"/>
      <c r="UEO24" s="109"/>
      <c r="UEP24" s="109"/>
      <c r="UEQ24" s="109"/>
      <c r="UER24" s="109"/>
      <c r="UES24" s="109"/>
      <c r="UET24" s="109"/>
      <c r="UEU24" s="109"/>
      <c r="UEV24" s="109"/>
      <c r="UEW24" s="109"/>
      <c r="UEX24" s="109"/>
      <c r="UEY24" s="109"/>
      <c r="UEZ24" s="109"/>
      <c r="UFA24" s="109"/>
      <c r="UFB24" s="109"/>
      <c r="UFC24" s="109"/>
      <c r="UFD24" s="109"/>
      <c r="UFE24" s="109"/>
      <c r="UFF24" s="109"/>
      <c r="UFG24" s="109"/>
      <c r="UFH24" s="109"/>
      <c r="UFI24" s="109"/>
      <c r="UFJ24" s="109"/>
      <c r="UFK24" s="109"/>
      <c r="UFL24" s="109"/>
      <c r="UFM24" s="109"/>
      <c r="UFN24" s="109"/>
      <c r="UFO24" s="109"/>
      <c r="UFP24" s="109"/>
      <c r="UFQ24" s="109"/>
      <c r="UFR24" s="109"/>
      <c r="UFS24" s="109"/>
      <c r="UFT24" s="109"/>
      <c r="UFU24" s="109"/>
      <c r="UFV24" s="109"/>
      <c r="UFW24" s="109"/>
      <c r="UFX24" s="109"/>
      <c r="UFY24" s="109"/>
      <c r="UFZ24" s="109"/>
      <c r="UGA24" s="109"/>
      <c r="UGB24" s="109"/>
      <c r="UGC24" s="109"/>
      <c r="UGD24" s="109"/>
      <c r="UGE24" s="109"/>
      <c r="UGF24" s="109"/>
      <c r="UGG24" s="109"/>
      <c r="UGH24" s="109"/>
      <c r="UGI24" s="109"/>
      <c r="UGJ24" s="109"/>
      <c r="UGK24" s="109"/>
      <c r="UGL24" s="109"/>
      <c r="UGM24" s="109"/>
      <c r="UGN24" s="109"/>
      <c r="UGO24" s="109"/>
      <c r="UGP24" s="109"/>
      <c r="UGQ24" s="109"/>
      <c r="UGR24" s="109"/>
      <c r="UGS24" s="109"/>
      <c r="UGT24" s="109"/>
      <c r="UGU24" s="109"/>
      <c r="UGV24" s="109"/>
      <c r="UGW24" s="109"/>
      <c r="UGX24" s="109"/>
      <c r="UGY24" s="109"/>
      <c r="UGZ24" s="109"/>
      <c r="UHA24" s="109"/>
      <c r="UHB24" s="109"/>
      <c r="UHC24" s="109"/>
      <c r="UHD24" s="109"/>
      <c r="UHE24" s="109"/>
      <c r="UHF24" s="109"/>
      <c r="UHG24" s="109"/>
      <c r="UHH24" s="109"/>
      <c r="UHI24" s="109"/>
      <c r="UHJ24" s="109"/>
      <c r="UHK24" s="109"/>
      <c r="UHL24" s="109"/>
      <c r="UHM24" s="109"/>
      <c r="UHN24" s="109"/>
      <c r="UHO24" s="109"/>
      <c r="UHP24" s="109"/>
      <c r="UHQ24" s="109"/>
      <c r="UHR24" s="109"/>
      <c r="UHS24" s="109"/>
      <c r="UHT24" s="109"/>
      <c r="UHU24" s="109"/>
      <c r="UHV24" s="109"/>
      <c r="UHW24" s="109"/>
      <c r="UHX24" s="109"/>
      <c r="UHY24" s="109"/>
      <c r="UHZ24" s="109"/>
      <c r="UIA24" s="109"/>
      <c r="UIB24" s="109"/>
      <c r="UIC24" s="109"/>
      <c r="UID24" s="109"/>
      <c r="UIE24" s="109"/>
      <c r="UIF24" s="109"/>
      <c r="UIG24" s="109"/>
      <c r="UIH24" s="109"/>
      <c r="UII24" s="109"/>
      <c r="UIJ24" s="109"/>
      <c r="UIK24" s="109"/>
      <c r="UIL24" s="109"/>
      <c r="UIM24" s="109"/>
      <c r="UIN24" s="109"/>
      <c r="UIO24" s="109"/>
      <c r="UIP24" s="109"/>
      <c r="UIQ24" s="109"/>
      <c r="UIR24" s="109"/>
      <c r="UIS24" s="109"/>
      <c r="UIT24" s="109"/>
      <c r="UIU24" s="109"/>
      <c r="UIV24" s="109"/>
      <c r="UIW24" s="109"/>
      <c r="UIX24" s="109"/>
      <c r="UIY24" s="109"/>
      <c r="UIZ24" s="109"/>
      <c r="UJA24" s="109"/>
      <c r="UJB24" s="109"/>
      <c r="UJC24" s="109"/>
      <c r="UJD24" s="109"/>
      <c r="UJE24" s="109"/>
      <c r="UJF24" s="109"/>
      <c r="UJG24" s="109"/>
      <c r="UJH24" s="109"/>
      <c r="UJI24" s="109"/>
      <c r="UJJ24" s="109"/>
      <c r="UJK24" s="109"/>
      <c r="UJL24" s="109"/>
      <c r="UJM24" s="109"/>
      <c r="UJN24" s="109"/>
      <c r="UJO24" s="109"/>
      <c r="UJP24" s="109"/>
      <c r="UJQ24" s="109"/>
      <c r="UJR24" s="109"/>
      <c r="UJS24" s="109"/>
      <c r="UJT24" s="109"/>
      <c r="UJU24" s="109"/>
      <c r="UJV24" s="109"/>
      <c r="UJW24" s="109"/>
      <c r="UJX24" s="109"/>
      <c r="UJY24" s="109"/>
      <c r="UJZ24" s="109"/>
      <c r="UKA24" s="109"/>
      <c r="UKB24" s="109"/>
      <c r="UKC24" s="109"/>
      <c r="UKD24" s="109"/>
      <c r="UKE24" s="109"/>
      <c r="UKF24" s="109"/>
      <c r="UKG24" s="109"/>
      <c r="UKH24" s="109"/>
      <c r="UKI24" s="109"/>
      <c r="UKJ24" s="109"/>
      <c r="UKK24" s="109"/>
      <c r="UKL24" s="109"/>
      <c r="UKM24" s="109"/>
      <c r="UKN24" s="109"/>
      <c r="UKO24" s="109"/>
      <c r="UKP24" s="109"/>
      <c r="UKQ24" s="109"/>
      <c r="UKR24" s="109"/>
      <c r="UKS24" s="109"/>
      <c r="UKT24" s="109"/>
      <c r="UKU24" s="109"/>
      <c r="UKV24" s="109"/>
      <c r="UKW24" s="109"/>
      <c r="UKX24" s="109"/>
      <c r="UKY24" s="109"/>
      <c r="UKZ24" s="109"/>
      <c r="ULA24" s="109"/>
      <c r="ULB24" s="109"/>
      <c r="ULC24" s="109"/>
      <c r="ULD24" s="109"/>
      <c r="ULE24" s="109"/>
      <c r="ULF24" s="109"/>
      <c r="ULG24" s="109"/>
      <c r="ULH24" s="109"/>
      <c r="ULI24" s="109"/>
      <c r="ULJ24" s="109"/>
      <c r="ULK24" s="109"/>
      <c r="ULL24" s="109"/>
      <c r="ULM24" s="109"/>
      <c r="ULN24" s="109"/>
      <c r="ULO24" s="109"/>
      <c r="ULP24" s="109"/>
      <c r="ULQ24" s="109"/>
      <c r="ULR24" s="109"/>
      <c r="ULS24" s="109"/>
      <c r="ULT24" s="109"/>
      <c r="ULU24" s="109"/>
      <c r="ULV24" s="109"/>
      <c r="ULW24" s="109"/>
      <c r="ULX24" s="109"/>
      <c r="ULY24" s="109"/>
      <c r="ULZ24" s="109"/>
      <c r="UMA24" s="109"/>
      <c r="UMB24" s="109"/>
      <c r="UMC24" s="109"/>
      <c r="UMD24" s="109"/>
      <c r="UME24" s="109"/>
      <c r="UMF24" s="109"/>
      <c r="UMG24" s="109"/>
      <c r="UMH24" s="109"/>
      <c r="UMI24" s="109"/>
      <c r="UMJ24" s="109"/>
      <c r="UMK24" s="109"/>
      <c r="UML24" s="109"/>
      <c r="UMM24" s="109"/>
      <c r="UMN24" s="109"/>
      <c r="UMO24" s="109"/>
      <c r="UMP24" s="109"/>
      <c r="UMQ24" s="109"/>
      <c r="UMR24" s="109"/>
      <c r="UMS24" s="109"/>
      <c r="UMT24" s="109"/>
      <c r="UMU24" s="109"/>
      <c r="UMV24" s="109"/>
      <c r="UMW24" s="109"/>
      <c r="UMX24" s="109"/>
      <c r="UMY24" s="109"/>
      <c r="UMZ24" s="109"/>
      <c r="UNA24" s="109"/>
      <c r="UNB24" s="109"/>
      <c r="UNC24" s="109"/>
      <c r="UND24" s="109"/>
      <c r="UNE24" s="109"/>
      <c r="UNF24" s="109"/>
      <c r="UNG24" s="109"/>
      <c r="UNH24" s="109"/>
      <c r="UNI24" s="109"/>
      <c r="UNJ24" s="109"/>
      <c r="UNK24" s="109"/>
      <c r="UNL24" s="109"/>
      <c r="UNM24" s="109"/>
      <c r="UNN24" s="109"/>
      <c r="UNO24" s="109"/>
      <c r="UNP24" s="109"/>
      <c r="UNQ24" s="109"/>
      <c r="UNR24" s="109"/>
      <c r="UNS24" s="109"/>
      <c r="UNT24" s="109"/>
      <c r="UNU24" s="109"/>
      <c r="UNV24" s="109"/>
      <c r="UNW24" s="109"/>
      <c r="UNX24" s="109"/>
      <c r="UNY24" s="109"/>
      <c r="UNZ24" s="109"/>
      <c r="UOA24" s="109"/>
      <c r="UOB24" s="109"/>
      <c r="UOC24" s="109"/>
      <c r="UOD24" s="109"/>
      <c r="UOE24" s="109"/>
      <c r="UOF24" s="109"/>
      <c r="UOG24" s="109"/>
      <c r="UOH24" s="109"/>
      <c r="UOI24" s="109"/>
      <c r="UOJ24" s="109"/>
      <c r="UOK24" s="109"/>
      <c r="UOL24" s="109"/>
      <c r="UOM24" s="109"/>
      <c r="UON24" s="109"/>
      <c r="UOO24" s="109"/>
      <c r="UOP24" s="109"/>
      <c r="UOQ24" s="109"/>
      <c r="UOR24" s="109"/>
      <c r="UOS24" s="109"/>
      <c r="UOT24" s="109"/>
      <c r="UOU24" s="109"/>
      <c r="UOV24" s="109"/>
      <c r="UOW24" s="109"/>
      <c r="UOX24" s="109"/>
      <c r="UOY24" s="109"/>
      <c r="UOZ24" s="109"/>
      <c r="UPA24" s="109"/>
      <c r="UPB24" s="109"/>
      <c r="UPC24" s="109"/>
      <c r="UPD24" s="109"/>
      <c r="UPE24" s="109"/>
      <c r="UPF24" s="109"/>
      <c r="UPG24" s="109"/>
      <c r="UPH24" s="109"/>
      <c r="UPI24" s="109"/>
      <c r="UPJ24" s="109"/>
      <c r="UPK24" s="109"/>
      <c r="UPL24" s="109"/>
      <c r="UPM24" s="109"/>
      <c r="UPN24" s="109"/>
      <c r="UPO24" s="109"/>
      <c r="UPP24" s="109"/>
      <c r="UPQ24" s="109"/>
      <c r="UPR24" s="109"/>
      <c r="UPS24" s="109"/>
      <c r="UPT24" s="109"/>
      <c r="UPU24" s="109"/>
      <c r="UPV24" s="109"/>
      <c r="UPW24" s="109"/>
      <c r="UPX24" s="109"/>
      <c r="UPY24" s="109"/>
      <c r="UPZ24" s="109"/>
      <c r="UQA24" s="109"/>
      <c r="UQB24" s="109"/>
      <c r="UQC24" s="109"/>
      <c r="UQD24" s="109"/>
      <c r="UQE24" s="109"/>
      <c r="UQF24" s="109"/>
      <c r="UQG24" s="109"/>
      <c r="UQH24" s="109"/>
      <c r="UQI24" s="109"/>
      <c r="UQJ24" s="109"/>
      <c r="UQK24" s="109"/>
      <c r="UQL24" s="109"/>
      <c r="UQM24" s="109"/>
      <c r="UQN24" s="109"/>
      <c r="UQO24" s="109"/>
      <c r="UQP24" s="109"/>
      <c r="UQQ24" s="109"/>
      <c r="UQR24" s="109"/>
      <c r="UQS24" s="109"/>
      <c r="UQT24" s="109"/>
      <c r="UQU24" s="109"/>
      <c r="UQV24" s="109"/>
      <c r="UQW24" s="109"/>
      <c r="UQX24" s="109"/>
      <c r="UQY24" s="109"/>
      <c r="UQZ24" s="109"/>
      <c r="URA24" s="109"/>
      <c r="URB24" s="109"/>
      <c r="URC24" s="109"/>
      <c r="URD24" s="109"/>
      <c r="URE24" s="109"/>
      <c r="URF24" s="109"/>
      <c r="URG24" s="109"/>
      <c r="URH24" s="109"/>
      <c r="URI24" s="109"/>
      <c r="URJ24" s="109"/>
      <c r="URK24" s="109"/>
      <c r="URL24" s="109"/>
      <c r="URM24" s="109"/>
      <c r="URN24" s="109"/>
      <c r="URO24" s="109"/>
      <c r="URP24" s="109"/>
      <c r="URQ24" s="109"/>
      <c r="URR24" s="109"/>
      <c r="URS24" s="109"/>
      <c r="URT24" s="109"/>
      <c r="URU24" s="109"/>
      <c r="URV24" s="109"/>
      <c r="URW24" s="109"/>
      <c r="URX24" s="109"/>
      <c r="URY24" s="109"/>
      <c r="URZ24" s="109"/>
      <c r="USA24" s="109"/>
      <c r="USB24" s="109"/>
      <c r="USC24" s="109"/>
      <c r="USD24" s="109"/>
      <c r="USE24" s="109"/>
      <c r="USF24" s="109"/>
      <c r="USG24" s="109"/>
      <c r="USH24" s="109"/>
      <c r="USI24" s="109"/>
      <c r="USJ24" s="109"/>
      <c r="USK24" s="109"/>
      <c r="USL24" s="109"/>
      <c r="USM24" s="109"/>
      <c r="USN24" s="109"/>
      <c r="USO24" s="109"/>
      <c r="USP24" s="109"/>
      <c r="USQ24" s="109"/>
      <c r="USR24" s="109"/>
      <c r="USS24" s="109"/>
      <c r="UST24" s="109"/>
      <c r="USU24" s="109"/>
      <c r="USV24" s="109"/>
      <c r="USW24" s="109"/>
      <c r="USX24" s="109"/>
      <c r="USY24" s="109"/>
      <c r="USZ24" s="109"/>
      <c r="UTA24" s="109"/>
      <c r="UTB24" s="109"/>
      <c r="UTC24" s="109"/>
      <c r="UTD24" s="109"/>
      <c r="UTE24" s="109"/>
      <c r="UTF24" s="109"/>
      <c r="UTG24" s="109"/>
      <c r="UTH24" s="109"/>
      <c r="UTI24" s="109"/>
      <c r="UTJ24" s="109"/>
      <c r="UTK24" s="109"/>
      <c r="UTL24" s="109"/>
      <c r="UTM24" s="109"/>
      <c r="UTN24" s="109"/>
      <c r="UTO24" s="109"/>
      <c r="UTP24" s="109"/>
      <c r="UTQ24" s="109"/>
      <c r="UTR24" s="109"/>
      <c r="UTS24" s="109"/>
      <c r="UTT24" s="109"/>
      <c r="UTU24" s="109"/>
      <c r="UTV24" s="109"/>
      <c r="UTW24" s="109"/>
      <c r="UTX24" s="109"/>
      <c r="UTY24" s="109"/>
      <c r="UTZ24" s="109"/>
      <c r="UUA24" s="109"/>
      <c r="UUB24" s="109"/>
      <c r="UUC24" s="109"/>
      <c r="UUD24" s="109"/>
      <c r="UUE24" s="109"/>
      <c r="UUF24" s="109"/>
      <c r="UUG24" s="109"/>
      <c r="UUH24" s="109"/>
      <c r="UUI24" s="109"/>
      <c r="UUJ24" s="109"/>
      <c r="UUK24" s="109"/>
      <c r="UUL24" s="109"/>
      <c r="UUM24" s="109"/>
      <c r="UUN24" s="109"/>
      <c r="UUO24" s="109"/>
      <c r="UUP24" s="109"/>
      <c r="UUQ24" s="109"/>
      <c r="UUR24" s="109"/>
      <c r="UUS24" s="109"/>
      <c r="UUT24" s="109"/>
      <c r="UUU24" s="109"/>
      <c r="UUV24" s="109"/>
      <c r="UUW24" s="109"/>
      <c r="UUX24" s="109"/>
      <c r="UUY24" s="109"/>
      <c r="UUZ24" s="109"/>
      <c r="UVA24" s="109"/>
      <c r="UVB24" s="109"/>
      <c r="UVC24" s="109"/>
      <c r="UVD24" s="109"/>
      <c r="UVE24" s="109"/>
      <c r="UVF24" s="109"/>
      <c r="UVG24" s="109"/>
      <c r="UVH24" s="109"/>
      <c r="UVI24" s="109"/>
      <c r="UVJ24" s="109"/>
      <c r="UVK24" s="109"/>
      <c r="UVL24" s="109"/>
      <c r="UVM24" s="109"/>
      <c r="UVN24" s="109"/>
      <c r="UVO24" s="109"/>
      <c r="UVP24" s="109"/>
      <c r="UVQ24" s="109"/>
      <c r="UVR24" s="109"/>
      <c r="UVS24" s="109"/>
      <c r="UVT24" s="109"/>
      <c r="UVU24" s="109"/>
      <c r="UVV24" s="109"/>
      <c r="UVW24" s="109"/>
      <c r="UVX24" s="109"/>
      <c r="UVY24" s="109"/>
      <c r="UVZ24" s="109"/>
      <c r="UWA24" s="109"/>
      <c r="UWB24" s="109"/>
      <c r="UWC24" s="109"/>
      <c r="UWD24" s="109"/>
      <c r="UWE24" s="109"/>
      <c r="UWF24" s="109"/>
      <c r="UWG24" s="109"/>
      <c r="UWH24" s="109"/>
      <c r="UWI24" s="109"/>
      <c r="UWJ24" s="109"/>
      <c r="UWK24" s="109"/>
      <c r="UWL24" s="109"/>
      <c r="UWM24" s="109"/>
      <c r="UWN24" s="109"/>
      <c r="UWO24" s="109"/>
      <c r="UWP24" s="109"/>
      <c r="UWQ24" s="109"/>
      <c r="UWR24" s="109"/>
      <c r="UWS24" s="109"/>
      <c r="UWT24" s="109"/>
      <c r="UWU24" s="109"/>
      <c r="UWV24" s="109"/>
      <c r="UWW24" s="109"/>
      <c r="UWX24" s="109"/>
      <c r="UWY24" s="109"/>
      <c r="UWZ24" s="109"/>
      <c r="UXA24" s="109"/>
      <c r="UXB24" s="109"/>
      <c r="UXC24" s="109"/>
      <c r="UXD24" s="109"/>
      <c r="UXE24" s="109"/>
      <c r="UXF24" s="109"/>
      <c r="UXG24" s="109"/>
      <c r="UXH24" s="109"/>
      <c r="UXI24" s="109"/>
      <c r="UXJ24" s="109"/>
      <c r="UXK24" s="109"/>
      <c r="UXL24" s="109"/>
      <c r="UXM24" s="109"/>
      <c r="UXN24" s="109"/>
      <c r="UXO24" s="109"/>
      <c r="UXP24" s="109"/>
      <c r="UXQ24" s="109"/>
      <c r="UXR24" s="109"/>
      <c r="UXS24" s="109"/>
      <c r="UXT24" s="109"/>
      <c r="UXU24" s="109"/>
      <c r="UXV24" s="109"/>
      <c r="UXW24" s="109"/>
      <c r="UXX24" s="109"/>
      <c r="UXY24" s="109"/>
      <c r="UXZ24" s="109"/>
      <c r="UYA24" s="109"/>
      <c r="UYB24" s="109"/>
      <c r="UYC24" s="109"/>
      <c r="UYD24" s="109"/>
      <c r="UYE24" s="109"/>
      <c r="UYF24" s="109"/>
      <c r="UYG24" s="109"/>
      <c r="UYH24" s="109"/>
      <c r="UYI24" s="109"/>
      <c r="UYJ24" s="109"/>
      <c r="UYK24" s="109"/>
      <c r="UYL24" s="109"/>
      <c r="UYM24" s="109"/>
      <c r="UYN24" s="109"/>
      <c r="UYO24" s="109"/>
      <c r="UYP24" s="109"/>
      <c r="UYQ24" s="109"/>
      <c r="UYR24" s="109"/>
      <c r="UYS24" s="109"/>
      <c r="UYT24" s="109"/>
      <c r="UYU24" s="109"/>
      <c r="UYV24" s="109"/>
      <c r="UYW24" s="109"/>
      <c r="UYX24" s="109"/>
      <c r="UYY24" s="109"/>
      <c r="UYZ24" s="109"/>
      <c r="UZA24" s="109"/>
      <c r="UZB24" s="109"/>
      <c r="UZC24" s="109"/>
      <c r="UZD24" s="109"/>
      <c r="UZE24" s="109"/>
      <c r="UZF24" s="109"/>
      <c r="UZG24" s="109"/>
      <c r="UZH24" s="109"/>
      <c r="UZI24" s="109"/>
      <c r="UZJ24" s="109"/>
      <c r="UZK24" s="109"/>
      <c r="UZL24" s="109"/>
      <c r="UZM24" s="109"/>
      <c r="UZN24" s="109"/>
      <c r="UZO24" s="109"/>
      <c r="UZP24" s="109"/>
      <c r="UZQ24" s="109"/>
      <c r="UZR24" s="109"/>
      <c r="UZS24" s="109"/>
      <c r="UZT24" s="109"/>
      <c r="UZU24" s="109"/>
      <c r="UZV24" s="109"/>
      <c r="UZW24" s="109"/>
      <c r="UZX24" s="109"/>
      <c r="UZY24" s="109"/>
      <c r="UZZ24" s="109"/>
      <c r="VAA24" s="109"/>
      <c r="VAB24" s="109"/>
      <c r="VAC24" s="109"/>
      <c r="VAD24" s="109"/>
      <c r="VAE24" s="109"/>
      <c r="VAF24" s="109"/>
      <c r="VAG24" s="109"/>
      <c r="VAH24" s="109"/>
      <c r="VAI24" s="109"/>
      <c r="VAJ24" s="109"/>
      <c r="VAK24" s="109"/>
      <c r="VAL24" s="109"/>
      <c r="VAM24" s="109"/>
      <c r="VAN24" s="109"/>
      <c r="VAO24" s="109"/>
      <c r="VAP24" s="109"/>
      <c r="VAQ24" s="109"/>
      <c r="VAR24" s="109"/>
      <c r="VAS24" s="109"/>
      <c r="VAT24" s="109"/>
      <c r="VAU24" s="109"/>
      <c r="VAV24" s="109"/>
      <c r="VAW24" s="109"/>
      <c r="VAX24" s="109"/>
      <c r="VAY24" s="109"/>
      <c r="VAZ24" s="109"/>
      <c r="VBA24" s="109"/>
      <c r="VBB24" s="109"/>
      <c r="VBC24" s="109"/>
      <c r="VBD24" s="109"/>
      <c r="VBE24" s="109"/>
      <c r="VBF24" s="109"/>
      <c r="VBG24" s="109"/>
      <c r="VBH24" s="109"/>
      <c r="VBI24" s="109"/>
      <c r="VBJ24" s="109"/>
      <c r="VBK24" s="109"/>
      <c r="VBL24" s="109"/>
      <c r="VBM24" s="109"/>
      <c r="VBN24" s="109"/>
      <c r="VBO24" s="109"/>
      <c r="VBP24" s="109"/>
      <c r="VBQ24" s="109"/>
      <c r="VBR24" s="109"/>
      <c r="VBS24" s="109"/>
      <c r="VBT24" s="109"/>
      <c r="VBU24" s="109"/>
      <c r="VBV24" s="109"/>
      <c r="VBW24" s="109"/>
      <c r="VBX24" s="109"/>
      <c r="VBY24" s="109"/>
      <c r="VBZ24" s="109"/>
      <c r="VCA24" s="109"/>
      <c r="VCB24" s="109"/>
      <c r="VCC24" s="109"/>
      <c r="VCD24" s="109"/>
      <c r="VCE24" s="109"/>
      <c r="VCF24" s="109"/>
      <c r="VCG24" s="109"/>
      <c r="VCH24" s="109"/>
      <c r="VCI24" s="109"/>
      <c r="VCJ24" s="109"/>
      <c r="VCK24" s="109"/>
      <c r="VCL24" s="109"/>
      <c r="VCM24" s="109"/>
      <c r="VCN24" s="109"/>
      <c r="VCO24" s="109"/>
      <c r="VCP24" s="109"/>
      <c r="VCQ24" s="109"/>
      <c r="VCR24" s="109"/>
      <c r="VCS24" s="109"/>
      <c r="VCT24" s="109"/>
      <c r="VCU24" s="109"/>
      <c r="VCV24" s="109"/>
      <c r="VCW24" s="109"/>
      <c r="VCX24" s="109"/>
      <c r="VCY24" s="109"/>
      <c r="VCZ24" s="109"/>
      <c r="VDA24" s="109"/>
      <c r="VDB24" s="109"/>
      <c r="VDC24" s="109"/>
      <c r="VDD24" s="109"/>
      <c r="VDE24" s="109"/>
      <c r="VDF24" s="109"/>
      <c r="VDG24" s="109"/>
      <c r="VDH24" s="109"/>
      <c r="VDI24" s="109"/>
      <c r="VDJ24" s="109"/>
      <c r="VDK24" s="109"/>
      <c r="VDL24" s="109"/>
      <c r="VDM24" s="109"/>
      <c r="VDN24" s="109"/>
      <c r="VDO24" s="109"/>
      <c r="VDP24" s="109"/>
      <c r="VDQ24" s="109"/>
      <c r="VDR24" s="109"/>
      <c r="VDS24" s="109"/>
      <c r="VDT24" s="109"/>
      <c r="VDU24" s="109"/>
      <c r="VDV24" s="109"/>
      <c r="VDW24" s="109"/>
      <c r="VDX24" s="109"/>
      <c r="VDY24" s="109"/>
      <c r="VDZ24" s="109"/>
      <c r="VEA24" s="109"/>
      <c r="VEB24" s="109"/>
      <c r="VEC24" s="109"/>
      <c r="VED24" s="109"/>
      <c r="VEE24" s="109"/>
      <c r="VEF24" s="109"/>
      <c r="VEG24" s="109"/>
      <c r="VEH24" s="109"/>
      <c r="VEI24" s="109"/>
      <c r="VEJ24" s="109"/>
      <c r="VEK24" s="109"/>
      <c r="VEL24" s="109"/>
      <c r="VEM24" s="109"/>
      <c r="VEN24" s="109"/>
      <c r="VEO24" s="109"/>
      <c r="VEP24" s="109"/>
      <c r="VEQ24" s="109"/>
      <c r="VER24" s="109"/>
      <c r="VES24" s="109"/>
      <c r="VET24" s="109"/>
      <c r="VEU24" s="109"/>
      <c r="VEV24" s="109"/>
      <c r="VEW24" s="109"/>
      <c r="VEX24" s="109"/>
      <c r="VEY24" s="109"/>
      <c r="VEZ24" s="109"/>
      <c r="VFA24" s="109"/>
      <c r="VFB24" s="109"/>
      <c r="VFC24" s="109"/>
      <c r="VFD24" s="109"/>
      <c r="VFE24" s="109"/>
      <c r="VFF24" s="109"/>
      <c r="VFG24" s="109"/>
      <c r="VFH24" s="109"/>
      <c r="VFI24" s="109"/>
      <c r="VFJ24" s="109"/>
      <c r="VFK24" s="109"/>
      <c r="VFL24" s="109"/>
      <c r="VFM24" s="109"/>
      <c r="VFN24" s="109"/>
      <c r="VFO24" s="109"/>
      <c r="VFP24" s="109"/>
      <c r="VFQ24" s="109"/>
      <c r="VFR24" s="109"/>
      <c r="VFS24" s="109"/>
      <c r="VFT24" s="109"/>
      <c r="VFU24" s="109"/>
      <c r="VFV24" s="109"/>
      <c r="VFW24" s="109"/>
      <c r="VFX24" s="109"/>
      <c r="VFY24" s="109"/>
      <c r="VFZ24" s="109"/>
      <c r="VGA24" s="109"/>
      <c r="VGB24" s="109"/>
      <c r="VGC24" s="109"/>
      <c r="VGD24" s="109"/>
      <c r="VGE24" s="109"/>
      <c r="VGF24" s="109"/>
      <c r="VGG24" s="109"/>
      <c r="VGH24" s="109"/>
      <c r="VGI24" s="109"/>
      <c r="VGJ24" s="109"/>
      <c r="VGK24" s="109"/>
      <c r="VGL24" s="109"/>
      <c r="VGM24" s="109"/>
      <c r="VGN24" s="109"/>
      <c r="VGO24" s="109"/>
      <c r="VGP24" s="109"/>
      <c r="VGQ24" s="109"/>
      <c r="VGR24" s="109"/>
      <c r="VGS24" s="109"/>
      <c r="VGT24" s="109"/>
      <c r="VGU24" s="109"/>
      <c r="VGV24" s="109"/>
      <c r="VGW24" s="109"/>
      <c r="VGX24" s="109"/>
      <c r="VGY24" s="109"/>
      <c r="VGZ24" s="109"/>
      <c r="VHA24" s="109"/>
      <c r="VHB24" s="109"/>
      <c r="VHC24" s="109"/>
      <c r="VHD24" s="109"/>
      <c r="VHE24" s="109"/>
      <c r="VHF24" s="109"/>
      <c r="VHG24" s="109"/>
      <c r="VHH24" s="109"/>
      <c r="VHI24" s="109"/>
      <c r="VHJ24" s="109"/>
      <c r="VHK24" s="109"/>
      <c r="VHL24" s="109"/>
      <c r="VHM24" s="109"/>
      <c r="VHN24" s="109"/>
      <c r="VHO24" s="109"/>
      <c r="VHP24" s="109"/>
      <c r="VHQ24" s="109"/>
      <c r="VHR24" s="109"/>
      <c r="VHS24" s="109"/>
      <c r="VHT24" s="109"/>
      <c r="VHU24" s="109"/>
      <c r="VHV24" s="109"/>
      <c r="VHW24" s="109"/>
      <c r="VHX24" s="109"/>
      <c r="VHY24" s="109"/>
      <c r="VHZ24" s="109"/>
      <c r="VIA24" s="109"/>
      <c r="VIB24" s="109"/>
      <c r="VIC24" s="109"/>
      <c r="VID24" s="109"/>
      <c r="VIE24" s="109"/>
      <c r="VIF24" s="109"/>
      <c r="VIG24" s="109"/>
      <c r="VIH24" s="109"/>
      <c r="VII24" s="109"/>
      <c r="VIJ24" s="109"/>
      <c r="VIK24" s="109"/>
      <c r="VIL24" s="109"/>
      <c r="VIM24" s="109"/>
      <c r="VIN24" s="109"/>
      <c r="VIO24" s="109"/>
      <c r="VIP24" s="109"/>
      <c r="VIQ24" s="109"/>
      <c r="VIR24" s="109"/>
      <c r="VIS24" s="109"/>
      <c r="VIT24" s="109"/>
      <c r="VIU24" s="109"/>
      <c r="VIV24" s="109"/>
      <c r="VIW24" s="109"/>
      <c r="VIX24" s="109"/>
      <c r="VIY24" s="109"/>
      <c r="VIZ24" s="109"/>
      <c r="VJA24" s="109"/>
      <c r="VJB24" s="109"/>
      <c r="VJC24" s="109"/>
      <c r="VJD24" s="109"/>
      <c r="VJE24" s="109"/>
      <c r="VJF24" s="109"/>
      <c r="VJG24" s="109"/>
      <c r="VJH24" s="109"/>
      <c r="VJI24" s="109"/>
      <c r="VJJ24" s="109"/>
      <c r="VJK24" s="109"/>
      <c r="VJL24" s="109"/>
      <c r="VJM24" s="109"/>
      <c r="VJN24" s="109"/>
      <c r="VJO24" s="109"/>
      <c r="VJP24" s="109"/>
      <c r="VJQ24" s="109"/>
      <c r="VJR24" s="109"/>
      <c r="VJS24" s="109"/>
      <c r="VJT24" s="109"/>
      <c r="VJU24" s="109"/>
      <c r="VJV24" s="109"/>
      <c r="VJW24" s="109"/>
      <c r="VJX24" s="109"/>
      <c r="VJY24" s="109"/>
      <c r="VJZ24" s="109"/>
      <c r="VKA24" s="109"/>
      <c r="VKB24" s="109"/>
      <c r="VKC24" s="109"/>
      <c r="VKD24" s="109"/>
      <c r="VKE24" s="109"/>
      <c r="VKF24" s="109"/>
      <c r="VKG24" s="109"/>
      <c r="VKH24" s="109"/>
      <c r="VKI24" s="109"/>
      <c r="VKJ24" s="109"/>
      <c r="VKK24" s="109"/>
      <c r="VKL24" s="109"/>
      <c r="VKM24" s="109"/>
      <c r="VKN24" s="109"/>
      <c r="VKO24" s="109"/>
      <c r="VKP24" s="109"/>
      <c r="VKQ24" s="109"/>
      <c r="VKR24" s="109"/>
      <c r="VKS24" s="109"/>
      <c r="VKT24" s="109"/>
      <c r="VKU24" s="109"/>
      <c r="VKV24" s="109"/>
      <c r="VKW24" s="109"/>
      <c r="VKX24" s="109"/>
      <c r="VKY24" s="109"/>
      <c r="VKZ24" s="109"/>
      <c r="VLA24" s="109"/>
      <c r="VLB24" s="109"/>
      <c r="VLC24" s="109"/>
      <c r="VLD24" s="109"/>
      <c r="VLE24" s="109"/>
      <c r="VLF24" s="109"/>
      <c r="VLG24" s="109"/>
      <c r="VLH24" s="109"/>
      <c r="VLI24" s="109"/>
      <c r="VLJ24" s="109"/>
      <c r="VLK24" s="109"/>
      <c r="VLL24" s="109"/>
      <c r="VLM24" s="109"/>
      <c r="VLN24" s="109"/>
      <c r="VLO24" s="109"/>
      <c r="VLP24" s="109"/>
      <c r="VLQ24" s="109"/>
      <c r="VLR24" s="109"/>
      <c r="VLS24" s="109"/>
      <c r="VLT24" s="109"/>
      <c r="VLU24" s="109"/>
      <c r="VLV24" s="109"/>
      <c r="VLW24" s="109"/>
      <c r="VLX24" s="109"/>
      <c r="VLY24" s="109"/>
      <c r="VLZ24" s="109"/>
      <c r="VMA24" s="109"/>
      <c r="VMB24" s="109"/>
      <c r="VMC24" s="109"/>
      <c r="VMD24" s="109"/>
      <c r="VME24" s="109"/>
      <c r="VMF24" s="109"/>
      <c r="VMG24" s="109"/>
      <c r="VMH24" s="109"/>
      <c r="VMI24" s="109"/>
      <c r="VMJ24" s="109"/>
      <c r="VMK24" s="109"/>
      <c r="VML24" s="109"/>
      <c r="VMM24" s="109"/>
      <c r="VMN24" s="109"/>
      <c r="VMO24" s="109"/>
      <c r="VMP24" s="109"/>
      <c r="VMQ24" s="109"/>
      <c r="VMR24" s="109"/>
      <c r="VMS24" s="109"/>
      <c r="VMT24" s="109"/>
      <c r="VMU24" s="109"/>
      <c r="VMV24" s="109"/>
      <c r="VMW24" s="109"/>
      <c r="VMX24" s="109"/>
      <c r="VMY24" s="109"/>
      <c r="VMZ24" s="109"/>
      <c r="VNA24" s="109"/>
      <c r="VNB24" s="109"/>
      <c r="VNC24" s="109"/>
      <c r="VND24" s="109"/>
      <c r="VNE24" s="109"/>
      <c r="VNF24" s="109"/>
      <c r="VNG24" s="109"/>
      <c r="VNH24" s="109"/>
      <c r="VNI24" s="109"/>
      <c r="VNJ24" s="109"/>
      <c r="VNK24" s="109"/>
      <c r="VNL24" s="109"/>
      <c r="VNM24" s="109"/>
      <c r="VNN24" s="109"/>
      <c r="VNO24" s="109"/>
      <c r="VNP24" s="109"/>
      <c r="VNQ24" s="109"/>
      <c r="VNR24" s="109"/>
      <c r="VNS24" s="109"/>
      <c r="VNT24" s="109"/>
      <c r="VNU24" s="109"/>
      <c r="VNV24" s="109"/>
      <c r="VNW24" s="109"/>
      <c r="VNX24" s="109"/>
      <c r="VNY24" s="109"/>
      <c r="VNZ24" s="109"/>
      <c r="VOA24" s="109"/>
      <c r="VOB24" s="109"/>
      <c r="VOC24" s="109"/>
      <c r="VOD24" s="109"/>
      <c r="VOE24" s="109"/>
      <c r="VOF24" s="109"/>
      <c r="VOG24" s="109"/>
      <c r="VOH24" s="109"/>
      <c r="VOI24" s="109"/>
      <c r="VOJ24" s="109"/>
      <c r="VOK24" s="109"/>
      <c r="VOL24" s="109"/>
      <c r="VOM24" s="109"/>
      <c r="VON24" s="109"/>
      <c r="VOO24" s="109"/>
      <c r="VOP24" s="109"/>
      <c r="VOQ24" s="109"/>
      <c r="VOR24" s="109"/>
      <c r="VOS24" s="109"/>
      <c r="VOT24" s="109"/>
      <c r="VOU24" s="109"/>
      <c r="VOV24" s="109"/>
      <c r="VOW24" s="109"/>
      <c r="VOX24" s="109"/>
      <c r="VOY24" s="109"/>
      <c r="VOZ24" s="109"/>
      <c r="VPA24" s="109"/>
      <c r="VPB24" s="109"/>
      <c r="VPC24" s="109"/>
      <c r="VPD24" s="109"/>
      <c r="VPE24" s="109"/>
      <c r="VPF24" s="109"/>
      <c r="VPG24" s="109"/>
      <c r="VPH24" s="109"/>
      <c r="VPI24" s="109"/>
      <c r="VPJ24" s="109"/>
      <c r="VPK24" s="109"/>
      <c r="VPL24" s="109"/>
      <c r="VPM24" s="109"/>
      <c r="VPN24" s="109"/>
      <c r="VPO24" s="109"/>
      <c r="VPP24" s="109"/>
      <c r="VPQ24" s="109"/>
      <c r="VPR24" s="109"/>
      <c r="VPS24" s="109"/>
      <c r="VPT24" s="109"/>
      <c r="VPU24" s="109"/>
      <c r="VPV24" s="109"/>
      <c r="VPW24" s="109"/>
      <c r="VPX24" s="109"/>
      <c r="VPY24" s="109"/>
      <c r="VPZ24" s="109"/>
      <c r="VQA24" s="109"/>
      <c r="VQB24" s="109"/>
      <c r="VQC24" s="109"/>
      <c r="VQD24" s="109"/>
      <c r="VQE24" s="109"/>
      <c r="VQF24" s="109"/>
      <c r="VQG24" s="109"/>
      <c r="VQH24" s="109"/>
      <c r="VQI24" s="109"/>
      <c r="VQJ24" s="109"/>
      <c r="VQK24" s="109"/>
      <c r="VQL24" s="109"/>
      <c r="VQM24" s="109"/>
      <c r="VQN24" s="109"/>
      <c r="VQO24" s="109"/>
      <c r="VQP24" s="109"/>
      <c r="VQQ24" s="109"/>
      <c r="VQR24" s="109"/>
      <c r="VQS24" s="109"/>
      <c r="VQT24" s="109"/>
      <c r="VQU24" s="109"/>
      <c r="VQV24" s="109"/>
      <c r="VQW24" s="109"/>
      <c r="VQX24" s="109"/>
      <c r="VQY24" s="109"/>
      <c r="VQZ24" s="109"/>
      <c r="VRA24" s="109"/>
      <c r="VRB24" s="109"/>
      <c r="VRC24" s="109"/>
      <c r="VRD24" s="109"/>
      <c r="VRE24" s="109"/>
      <c r="VRF24" s="109"/>
      <c r="VRG24" s="109"/>
      <c r="VRH24" s="109"/>
      <c r="VRI24" s="109"/>
      <c r="VRJ24" s="109"/>
      <c r="VRK24" s="109"/>
      <c r="VRL24" s="109"/>
      <c r="VRM24" s="109"/>
      <c r="VRN24" s="109"/>
      <c r="VRO24" s="109"/>
      <c r="VRP24" s="109"/>
      <c r="VRQ24" s="109"/>
      <c r="VRR24" s="109"/>
      <c r="VRS24" s="109"/>
      <c r="VRT24" s="109"/>
      <c r="VRU24" s="109"/>
      <c r="VRV24" s="109"/>
      <c r="VRW24" s="109"/>
      <c r="VRX24" s="109"/>
      <c r="VRY24" s="109"/>
      <c r="VRZ24" s="109"/>
      <c r="VSA24" s="109"/>
      <c r="VSB24" s="109"/>
      <c r="VSC24" s="109"/>
      <c r="VSD24" s="109"/>
      <c r="VSE24" s="109"/>
      <c r="VSF24" s="109"/>
      <c r="VSG24" s="109"/>
      <c r="VSH24" s="109"/>
      <c r="VSI24" s="109"/>
      <c r="VSJ24" s="109"/>
      <c r="VSK24" s="109"/>
      <c r="VSL24" s="109"/>
      <c r="VSM24" s="109"/>
      <c r="VSN24" s="109"/>
      <c r="VSO24" s="109"/>
      <c r="VSP24" s="109"/>
      <c r="VSQ24" s="109"/>
      <c r="VSR24" s="109"/>
      <c r="VSS24" s="109"/>
      <c r="VST24" s="109"/>
      <c r="VSU24" s="109"/>
      <c r="VSV24" s="109"/>
      <c r="VSW24" s="109"/>
      <c r="VSX24" s="109"/>
      <c r="VSY24" s="109"/>
      <c r="VSZ24" s="109"/>
      <c r="VTA24" s="109"/>
      <c r="VTB24" s="109"/>
      <c r="VTC24" s="109"/>
      <c r="VTD24" s="109"/>
      <c r="VTE24" s="109"/>
      <c r="VTF24" s="109"/>
      <c r="VTG24" s="109"/>
      <c r="VTH24" s="109"/>
      <c r="VTI24" s="109"/>
      <c r="VTJ24" s="109"/>
      <c r="VTK24" s="109"/>
      <c r="VTL24" s="109"/>
      <c r="VTM24" s="109"/>
      <c r="VTN24" s="109"/>
      <c r="VTO24" s="109"/>
      <c r="VTP24" s="109"/>
      <c r="VTQ24" s="109"/>
      <c r="VTR24" s="109"/>
      <c r="VTS24" s="109"/>
      <c r="VTT24" s="109"/>
      <c r="VTU24" s="109"/>
      <c r="VTV24" s="109"/>
      <c r="VTW24" s="109"/>
      <c r="VTX24" s="109"/>
      <c r="VTY24" s="109"/>
      <c r="VTZ24" s="109"/>
      <c r="VUA24" s="109"/>
      <c r="VUB24" s="109"/>
      <c r="VUC24" s="109"/>
      <c r="VUD24" s="109"/>
      <c r="VUE24" s="109"/>
      <c r="VUF24" s="109"/>
      <c r="VUG24" s="109"/>
      <c r="VUH24" s="109"/>
      <c r="VUI24" s="109"/>
      <c r="VUJ24" s="109"/>
      <c r="VUK24" s="109"/>
      <c r="VUL24" s="109"/>
      <c r="VUM24" s="109"/>
      <c r="VUN24" s="109"/>
      <c r="VUO24" s="109"/>
      <c r="VUP24" s="109"/>
      <c r="VUQ24" s="109"/>
      <c r="VUR24" s="109"/>
      <c r="VUS24" s="109"/>
      <c r="VUT24" s="109"/>
      <c r="VUU24" s="109"/>
      <c r="VUV24" s="109"/>
      <c r="VUW24" s="109"/>
      <c r="VUX24" s="109"/>
      <c r="VUY24" s="109"/>
      <c r="VUZ24" s="109"/>
      <c r="VVA24" s="109"/>
      <c r="VVB24" s="109"/>
      <c r="VVC24" s="109"/>
      <c r="VVD24" s="109"/>
      <c r="VVE24" s="109"/>
      <c r="VVF24" s="109"/>
      <c r="VVG24" s="109"/>
      <c r="VVH24" s="109"/>
      <c r="VVI24" s="109"/>
      <c r="VVJ24" s="109"/>
      <c r="VVK24" s="109"/>
      <c r="VVL24" s="109"/>
      <c r="VVM24" s="109"/>
      <c r="VVN24" s="109"/>
      <c r="VVO24" s="109"/>
      <c r="VVP24" s="109"/>
      <c r="VVQ24" s="109"/>
      <c r="VVR24" s="109"/>
      <c r="VVS24" s="109"/>
      <c r="VVT24" s="109"/>
      <c r="VVU24" s="109"/>
      <c r="VVV24" s="109"/>
      <c r="VVW24" s="109"/>
      <c r="VVX24" s="109"/>
      <c r="VVY24" s="109"/>
      <c r="VVZ24" s="109"/>
      <c r="VWA24" s="109"/>
      <c r="VWB24" s="109"/>
      <c r="VWC24" s="109"/>
      <c r="VWD24" s="109"/>
      <c r="VWE24" s="109"/>
      <c r="VWF24" s="109"/>
      <c r="VWG24" s="109"/>
      <c r="VWH24" s="109"/>
      <c r="VWI24" s="109"/>
      <c r="VWJ24" s="109"/>
      <c r="VWK24" s="109"/>
      <c r="VWL24" s="109"/>
      <c r="VWM24" s="109"/>
      <c r="VWN24" s="109"/>
      <c r="VWO24" s="109"/>
      <c r="VWP24" s="109"/>
      <c r="VWQ24" s="109"/>
      <c r="VWR24" s="109"/>
      <c r="VWS24" s="109"/>
      <c r="VWT24" s="109"/>
      <c r="VWU24" s="109"/>
      <c r="VWV24" s="109"/>
      <c r="VWW24" s="109"/>
      <c r="VWX24" s="109"/>
      <c r="VWY24" s="109"/>
      <c r="VWZ24" s="109"/>
      <c r="VXA24" s="109"/>
      <c r="VXB24" s="109"/>
      <c r="VXC24" s="109"/>
      <c r="VXD24" s="109"/>
      <c r="VXE24" s="109"/>
      <c r="VXF24" s="109"/>
      <c r="VXG24" s="109"/>
      <c r="VXH24" s="109"/>
      <c r="VXI24" s="109"/>
      <c r="VXJ24" s="109"/>
      <c r="VXK24" s="109"/>
      <c r="VXL24" s="109"/>
      <c r="VXM24" s="109"/>
      <c r="VXN24" s="109"/>
      <c r="VXO24" s="109"/>
      <c r="VXP24" s="109"/>
      <c r="VXQ24" s="109"/>
      <c r="VXR24" s="109"/>
      <c r="VXS24" s="109"/>
      <c r="VXT24" s="109"/>
      <c r="VXU24" s="109"/>
      <c r="VXV24" s="109"/>
      <c r="VXW24" s="109"/>
      <c r="VXX24" s="109"/>
      <c r="VXY24" s="109"/>
      <c r="VXZ24" s="109"/>
      <c r="VYA24" s="109"/>
      <c r="VYB24" s="109"/>
      <c r="VYC24" s="109"/>
      <c r="VYD24" s="109"/>
      <c r="VYE24" s="109"/>
      <c r="VYF24" s="109"/>
      <c r="VYG24" s="109"/>
      <c r="VYH24" s="109"/>
      <c r="VYI24" s="109"/>
      <c r="VYJ24" s="109"/>
      <c r="VYK24" s="109"/>
      <c r="VYL24" s="109"/>
      <c r="VYM24" s="109"/>
      <c r="VYN24" s="109"/>
      <c r="VYO24" s="109"/>
      <c r="VYP24" s="109"/>
      <c r="VYQ24" s="109"/>
      <c r="VYR24" s="109"/>
      <c r="VYS24" s="109"/>
      <c r="VYT24" s="109"/>
      <c r="VYU24" s="109"/>
      <c r="VYV24" s="109"/>
      <c r="VYW24" s="109"/>
      <c r="VYX24" s="109"/>
      <c r="VYY24" s="109"/>
      <c r="VYZ24" s="109"/>
      <c r="VZA24" s="109"/>
      <c r="VZB24" s="109"/>
      <c r="VZC24" s="109"/>
      <c r="VZD24" s="109"/>
      <c r="VZE24" s="109"/>
      <c r="VZF24" s="109"/>
      <c r="VZG24" s="109"/>
      <c r="VZH24" s="109"/>
      <c r="VZI24" s="109"/>
      <c r="VZJ24" s="109"/>
      <c r="VZK24" s="109"/>
      <c r="VZL24" s="109"/>
      <c r="VZM24" s="109"/>
      <c r="VZN24" s="109"/>
      <c r="VZO24" s="109"/>
      <c r="VZP24" s="109"/>
      <c r="VZQ24" s="109"/>
      <c r="VZR24" s="109"/>
      <c r="VZS24" s="109"/>
      <c r="VZT24" s="109"/>
      <c r="VZU24" s="109"/>
      <c r="VZV24" s="109"/>
      <c r="VZW24" s="109"/>
      <c r="VZX24" s="109"/>
      <c r="VZY24" s="109"/>
      <c r="VZZ24" s="109"/>
      <c r="WAA24" s="109"/>
      <c r="WAB24" s="109"/>
      <c r="WAC24" s="109"/>
      <c r="WAD24" s="109"/>
      <c r="WAE24" s="109"/>
      <c r="WAF24" s="109"/>
      <c r="WAG24" s="109"/>
      <c r="WAH24" s="109"/>
      <c r="WAI24" s="109"/>
      <c r="WAJ24" s="109"/>
      <c r="WAK24" s="109"/>
      <c r="WAL24" s="109"/>
      <c r="WAM24" s="109"/>
      <c r="WAN24" s="109"/>
      <c r="WAO24" s="109"/>
      <c r="WAP24" s="109"/>
      <c r="WAQ24" s="109"/>
      <c r="WAR24" s="109"/>
      <c r="WAS24" s="109"/>
      <c r="WAT24" s="109"/>
      <c r="WAU24" s="109"/>
      <c r="WAV24" s="109"/>
      <c r="WAW24" s="109"/>
      <c r="WAX24" s="109"/>
      <c r="WAY24" s="109"/>
      <c r="WAZ24" s="109"/>
      <c r="WBA24" s="109"/>
      <c r="WBB24" s="109"/>
      <c r="WBC24" s="109"/>
      <c r="WBD24" s="109"/>
      <c r="WBE24" s="109"/>
      <c r="WBF24" s="109"/>
      <c r="WBG24" s="109"/>
      <c r="WBH24" s="109"/>
      <c r="WBI24" s="109"/>
      <c r="WBJ24" s="109"/>
      <c r="WBK24" s="109"/>
      <c r="WBL24" s="109"/>
      <c r="WBM24" s="109"/>
      <c r="WBN24" s="109"/>
      <c r="WBO24" s="109"/>
      <c r="WBP24" s="109"/>
      <c r="WBQ24" s="109"/>
      <c r="WBR24" s="109"/>
      <c r="WBS24" s="109"/>
      <c r="WBT24" s="109"/>
      <c r="WBU24" s="109"/>
      <c r="WBV24" s="109"/>
      <c r="WBW24" s="109"/>
      <c r="WBX24" s="109"/>
      <c r="WBY24" s="109"/>
      <c r="WBZ24" s="109"/>
      <c r="WCA24" s="109"/>
      <c r="WCB24" s="109"/>
      <c r="WCC24" s="109"/>
      <c r="WCD24" s="109"/>
      <c r="WCE24" s="109"/>
      <c r="WCF24" s="109"/>
      <c r="WCG24" s="109"/>
      <c r="WCH24" s="109"/>
      <c r="WCI24" s="109"/>
      <c r="WCJ24" s="109"/>
      <c r="WCK24" s="109"/>
      <c r="WCL24" s="109"/>
      <c r="WCM24" s="109"/>
      <c r="WCN24" s="109"/>
      <c r="WCO24" s="109"/>
      <c r="WCP24" s="109"/>
      <c r="WCQ24" s="109"/>
      <c r="WCR24" s="109"/>
      <c r="WCS24" s="109"/>
      <c r="WCT24" s="109"/>
      <c r="WCU24" s="109"/>
      <c r="WCV24" s="109"/>
      <c r="WCW24" s="109"/>
      <c r="WCX24" s="109"/>
      <c r="WCY24" s="109"/>
      <c r="WCZ24" s="109"/>
      <c r="WDA24" s="109"/>
      <c r="WDB24" s="109"/>
      <c r="WDC24" s="109"/>
      <c r="WDD24" s="109"/>
      <c r="WDE24" s="109"/>
      <c r="WDF24" s="109"/>
      <c r="WDG24" s="109"/>
      <c r="WDH24" s="109"/>
      <c r="WDI24" s="109"/>
      <c r="WDJ24" s="109"/>
      <c r="WDK24" s="109"/>
      <c r="WDL24" s="109"/>
      <c r="WDM24" s="109"/>
      <c r="WDN24" s="109"/>
      <c r="WDO24" s="109"/>
      <c r="WDP24" s="109"/>
      <c r="WDQ24" s="109"/>
      <c r="WDR24" s="109"/>
      <c r="WDS24" s="109"/>
      <c r="WDT24" s="109"/>
      <c r="WDU24" s="109"/>
      <c r="WDV24" s="109"/>
      <c r="WDW24" s="109"/>
      <c r="WDX24" s="109"/>
      <c r="WDY24" s="109"/>
      <c r="WDZ24" s="109"/>
      <c r="WEA24" s="109"/>
      <c r="WEB24" s="109"/>
      <c r="WEC24" s="109"/>
      <c r="WED24" s="109"/>
      <c r="WEE24" s="109"/>
      <c r="WEF24" s="109"/>
      <c r="WEG24" s="109"/>
      <c r="WEH24" s="109"/>
      <c r="WEI24" s="109"/>
      <c r="WEJ24" s="109"/>
      <c r="WEK24" s="109"/>
      <c r="WEL24" s="109"/>
      <c r="WEM24" s="109"/>
      <c r="WEN24" s="109"/>
      <c r="WEO24" s="109"/>
      <c r="WEP24" s="109"/>
      <c r="WEQ24" s="109"/>
      <c r="WER24" s="109"/>
      <c r="WES24" s="109"/>
      <c r="WET24" s="109"/>
      <c r="WEU24" s="109"/>
      <c r="WEV24" s="109"/>
      <c r="WEW24" s="109"/>
      <c r="WEX24" s="109"/>
      <c r="WEY24" s="109"/>
      <c r="WEZ24" s="109"/>
      <c r="WFA24" s="109"/>
      <c r="WFB24" s="109"/>
      <c r="WFC24" s="109"/>
      <c r="WFD24" s="109"/>
      <c r="WFE24" s="109"/>
      <c r="WFF24" s="109"/>
      <c r="WFG24" s="109"/>
      <c r="WFH24" s="109"/>
      <c r="WFI24" s="109"/>
      <c r="WFJ24" s="109"/>
      <c r="WFK24" s="109"/>
      <c r="WFL24" s="109"/>
      <c r="WFM24" s="109"/>
      <c r="WFN24" s="109"/>
      <c r="WFO24" s="109"/>
      <c r="WFP24" s="109"/>
      <c r="WFQ24" s="109"/>
      <c r="WFR24" s="109"/>
      <c r="WFS24" s="109"/>
      <c r="WFT24" s="109"/>
      <c r="WFU24" s="109"/>
      <c r="WFV24" s="109"/>
      <c r="WFW24" s="109"/>
      <c r="WFX24" s="109"/>
      <c r="WFY24" s="109"/>
      <c r="WFZ24" s="109"/>
      <c r="WGA24" s="109"/>
      <c r="WGB24" s="109"/>
      <c r="WGC24" s="109"/>
      <c r="WGD24" s="109"/>
      <c r="WGE24" s="109"/>
      <c r="WGF24" s="109"/>
      <c r="WGG24" s="109"/>
      <c r="WGH24" s="109"/>
      <c r="WGI24" s="109"/>
      <c r="WGJ24" s="109"/>
      <c r="WGK24" s="109"/>
      <c r="WGL24" s="109"/>
      <c r="WGM24" s="109"/>
      <c r="WGN24" s="109"/>
      <c r="WGO24" s="109"/>
      <c r="WGP24" s="109"/>
      <c r="WGQ24" s="109"/>
      <c r="WGR24" s="109"/>
      <c r="WGS24" s="109"/>
      <c r="WGT24" s="109"/>
      <c r="WGU24" s="109"/>
      <c r="WGV24" s="109"/>
      <c r="WGW24" s="109"/>
      <c r="WGX24" s="109"/>
      <c r="WGY24" s="109"/>
      <c r="WGZ24" s="109"/>
      <c r="WHA24" s="109"/>
      <c r="WHB24" s="109"/>
      <c r="WHC24" s="109"/>
      <c r="WHD24" s="109"/>
      <c r="WHE24" s="109"/>
      <c r="WHF24" s="109"/>
      <c r="WHG24" s="109"/>
      <c r="WHH24" s="109"/>
      <c r="WHI24" s="109"/>
      <c r="WHJ24" s="109"/>
      <c r="WHK24" s="109"/>
      <c r="WHL24" s="109"/>
      <c r="WHM24" s="109"/>
      <c r="WHN24" s="109"/>
      <c r="WHO24" s="109"/>
      <c r="WHP24" s="109"/>
      <c r="WHQ24" s="109"/>
      <c r="WHR24" s="109"/>
      <c r="WHS24" s="109"/>
      <c r="WHT24" s="109"/>
      <c r="WHU24" s="109"/>
      <c r="WHV24" s="109"/>
      <c r="WHW24" s="109"/>
      <c r="WHX24" s="109"/>
      <c r="WHY24" s="109"/>
      <c r="WHZ24" s="109"/>
      <c r="WIA24" s="109"/>
      <c r="WIB24" s="109"/>
      <c r="WIC24" s="109"/>
      <c r="WID24" s="109"/>
      <c r="WIE24" s="109"/>
      <c r="WIF24" s="109"/>
      <c r="WIG24" s="109"/>
      <c r="WIH24" s="109"/>
      <c r="WII24" s="109"/>
      <c r="WIJ24" s="109"/>
      <c r="WIK24" s="109"/>
      <c r="WIL24" s="109"/>
      <c r="WIM24" s="109"/>
      <c r="WIN24" s="109"/>
      <c r="WIO24" s="109"/>
      <c r="WIP24" s="109"/>
      <c r="WIQ24" s="109"/>
      <c r="WIR24" s="109"/>
      <c r="WIS24" s="109"/>
      <c r="WIT24" s="109"/>
      <c r="WIU24" s="109"/>
      <c r="WIV24" s="109"/>
      <c r="WIW24" s="109"/>
      <c r="WIX24" s="109"/>
      <c r="WIY24" s="109"/>
      <c r="WIZ24" s="109"/>
      <c r="WJA24" s="109"/>
      <c r="WJB24" s="109"/>
      <c r="WJC24" s="109"/>
      <c r="WJD24" s="109"/>
      <c r="WJE24" s="109"/>
      <c r="WJF24" s="109"/>
      <c r="WJG24" s="109"/>
      <c r="WJH24" s="109"/>
      <c r="WJI24" s="109"/>
      <c r="WJJ24" s="109"/>
      <c r="WJK24" s="109"/>
      <c r="WJL24" s="109"/>
      <c r="WJM24" s="109"/>
      <c r="WJN24" s="109"/>
      <c r="WJO24" s="109"/>
      <c r="WJP24" s="109"/>
      <c r="WJQ24" s="109"/>
      <c r="WJR24" s="109"/>
      <c r="WJS24" s="109"/>
      <c r="WJT24" s="109"/>
      <c r="WJU24" s="109"/>
      <c r="WJV24" s="109"/>
      <c r="WJW24" s="109"/>
      <c r="WJX24" s="109"/>
      <c r="WJY24" s="109"/>
      <c r="WJZ24" s="109"/>
      <c r="WKA24" s="109"/>
      <c r="WKB24" s="109"/>
      <c r="WKC24" s="109"/>
      <c r="WKD24" s="109"/>
      <c r="WKE24" s="109"/>
      <c r="WKF24" s="109"/>
      <c r="WKG24" s="109"/>
      <c r="WKH24" s="109"/>
      <c r="WKI24" s="109"/>
      <c r="WKJ24" s="109"/>
      <c r="WKK24" s="109"/>
      <c r="WKL24" s="109"/>
      <c r="WKM24" s="109"/>
      <c r="WKN24" s="109"/>
      <c r="WKO24" s="109"/>
      <c r="WKP24" s="109"/>
      <c r="WKQ24" s="109"/>
      <c r="WKR24" s="109"/>
      <c r="WKS24" s="109"/>
      <c r="WKT24" s="109"/>
      <c r="WKU24" s="109"/>
      <c r="WKV24" s="109"/>
      <c r="WKW24" s="109"/>
      <c r="WKX24" s="109"/>
      <c r="WKY24" s="109"/>
      <c r="WKZ24" s="109"/>
      <c r="WLA24" s="109"/>
      <c r="WLB24" s="109"/>
      <c r="WLC24" s="109"/>
      <c r="WLD24" s="109"/>
      <c r="WLE24" s="109"/>
      <c r="WLF24" s="109"/>
      <c r="WLG24" s="109"/>
      <c r="WLH24" s="109"/>
      <c r="WLI24" s="109"/>
      <c r="WLJ24" s="109"/>
      <c r="WLK24" s="109"/>
      <c r="WLL24" s="109"/>
      <c r="WLM24" s="109"/>
      <c r="WLN24" s="109"/>
      <c r="WLO24" s="109"/>
      <c r="WLP24" s="109"/>
      <c r="WLQ24" s="109"/>
      <c r="WLR24" s="109"/>
      <c r="WLS24" s="109"/>
      <c r="WLT24" s="109"/>
      <c r="WLU24" s="109"/>
      <c r="WLV24" s="109"/>
      <c r="WLW24" s="109"/>
      <c r="WLX24" s="109"/>
      <c r="WLY24" s="109"/>
      <c r="WLZ24" s="109"/>
      <c r="WMA24" s="109"/>
      <c r="WMB24" s="109"/>
      <c r="WMC24" s="109"/>
      <c r="WMD24" s="109"/>
      <c r="WME24" s="109"/>
      <c r="WMF24" s="109"/>
      <c r="WMG24" s="109"/>
      <c r="WMH24" s="109"/>
      <c r="WMI24" s="109"/>
      <c r="WMJ24" s="109"/>
      <c r="WMK24" s="109"/>
      <c r="WML24" s="109"/>
      <c r="WMM24" s="109"/>
      <c r="WMN24" s="109"/>
      <c r="WMO24" s="109"/>
      <c r="WMP24" s="109"/>
      <c r="WMQ24" s="109"/>
      <c r="WMR24" s="109"/>
      <c r="WMS24" s="109"/>
      <c r="WMT24" s="109"/>
      <c r="WMU24" s="109"/>
      <c r="WMV24" s="109"/>
      <c r="WMW24" s="109"/>
      <c r="WMX24" s="109"/>
      <c r="WMY24" s="109"/>
      <c r="WMZ24" s="109"/>
      <c r="WNA24" s="109"/>
      <c r="WNB24" s="109"/>
      <c r="WNC24" s="109"/>
      <c r="WND24" s="109"/>
      <c r="WNE24" s="109"/>
      <c r="WNF24" s="109"/>
      <c r="WNG24" s="109"/>
      <c r="WNH24" s="109"/>
      <c r="WNI24" s="109"/>
      <c r="WNJ24" s="109"/>
      <c r="WNK24" s="109"/>
      <c r="WNL24" s="109"/>
      <c r="WNM24" s="109"/>
      <c r="WNN24" s="109"/>
      <c r="WNO24" s="109"/>
      <c r="WNP24" s="109"/>
      <c r="WNQ24" s="109"/>
      <c r="WNR24" s="109"/>
      <c r="WNS24" s="109"/>
      <c r="WNT24" s="109"/>
      <c r="WNU24" s="109"/>
      <c r="WNV24" s="109"/>
      <c r="WNW24" s="109"/>
      <c r="WNX24" s="109"/>
      <c r="WNY24" s="109"/>
      <c r="WNZ24" s="109"/>
      <c r="WOA24" s="109"/>
      <c r="WOB24" s="109"/>
      <c r="WOC24" s="109"/>
      <c r="WOD24" s="109"/>
      <c r="WOE24" s="109"/>
      <c r="WOF24" s="109"/>
      <c r="WOG24" s="109"/>
      <c r="WOH24" s="109"/>
      <c r="WOI24" s="109"/>
      <c r="WOJ24" s="109"/>
      <c r="WOK24" s="109"/>
      <c r="WOL24" s="109"/>
      <c r="WOM24" s="109"/>
      <c r="WON24" s="109"/>
      <c r="WOO24" s="109"/>
      <c r="WOP24" s="109"/>
      <c r="WOQ24" s="109"/>
      <c r="WOR24" s="109"/>
      <c r="WOS24" s="109"/>
      <c r="WOT24" s="109"/>
      <c r="WOU24" s="109"/>
      <c r="WOV24" s="109"/>
      <c r="WOW24" s="109"/>
      <c r="WOX24" s="109"/>
      <c r="WOY24" s="109"/>
      <c r="WOZ24" s="109"/>
      <c r="WPA24" s="109"/>
      <c r="WPB24" s="109"/>
      <c r="WPC24" s="109"/>
      <c r="WPD24" s="109"/>
      <c r="WPE24" s="109"/>
      <c r="WPF24" s="109"/>
      <c r="WPG24" s="109"/>
      <c r="WPH24" s="109"/>
      <c r="WPI24" s="109"/>
      <c r="WPJ24" s="109"/>
      <c r="WPK24" s="109"/>
      <c r="WPL24" s="109"/>
      <c r="WPM24" s="109"/>
      <c r="WPN24" s="109"/>
      <c r="WPO24" s="109"/>
      <c r="WPP24" s="109"/>
      <c r="WPQ24" s="109"/>
      <c r="WPR24" s="109"/>
      <c r="WPS24" s="109"/>
      <c r="WPT24" s="109"/>
      <c r="WPU24" s="109"/>
      <c r="WPV24" s="109"/>
      <c r="WPW24" s="109"/>
      <c r="WPX24" s="109"/>
      <c r="WPY24" s="109"/>
      <c r="WPZ24" s="109"/>
      <c r="WQA24" s="109"/>
      <c r="WQB24" s="109"/>
      <c r="WQC24" s="109"/>
      <c r="WQD24" s="109"/>
      <c r="WQE24" s="109"/>
      <c r="WQF24" s="109"/>
      <c r="WQG24" s="109"/>
      <c r="WQH24" s="109"/>
      <c r="WQI24" s="109"/>
      <c r="WQJ24" s="109"/>
      <c r="WQK24" s="109"/>
      <c r="WQL24" s="109"/>
      <c r="WQM24" s="109"/>
      <c r="WQN24" s="109"/>
      <c r="WQO24" s="109"/>
      <c r="WQP24" s="109"/>
      <c r="WQQ24" s="109"/>
      <c r="WQR24" s="109"/>
      <c r="WQS24" s="109"/>
      <c r="WQT24" s="109"/>
      <c r="WQU24" s="109"/>
      <c r="WQV24" s="109"/>
      <c r="WQW24" s="109"/>
      <c r="WQX24" s="109"/>
      <c r="WQY24" s="109"/>
      <c r="WQZ24" s="109"/>
      <c r="WRA24" s="109"/>
      <c r="WRB24" s="109"/>
      <c r="WRC24" s="109"/>
      <c r="WRD24" s="109"/>
      <c r="WRE24" s="109"/>
      <c r="WRF24" s="109"/>
      <c r="WRG24" s="109"/>
      <c r="WRH24" s="109"/>
      <c r="WRI24" s="109"/>
      <c r="WRJ24" s="109"/>
      <c r="WRK24" s="109"/>
      <c r="WRL24" s="109"/>
      <c r="WRM24" s="109"/>
      <c r="WRN24" s="109"/>
      <c r="WRO24" s="109"/>
      <c r="WRP24" s="109"/>
      <c r="WRQ24" s="109"/>
      <c r="WRR24" s="109"/>
      <c r="WRS24" s="109"/>
      <c r="WRT24" s="109"/>
      <c r="WRU24" s="109"/>
      <c r="WRV24" s="109"/>
      <c r="WRW24" s="109"/>
      <c r="WRX24" s="109"/>
      <c r="WRY24" s="109"/>
      <c r="WRZ24" s="109"/>
      <c r="WSA24" s="109"/>
      <c r="WSB24" s="109"/>
      <c r="WSC24" s="109"/>
      <c r="WSD24" s="109"/>
      <c r="WSE24" s="109"/>
      <c r="WSF24" s="109"/>
      <c r="WSG24" s="109"/>
      <c r="WSH24" s="109"/>
      <c r="WSI24" s="109"/>
      <c r="WSJ24" s="109"/>
      <c r="WSK24" s="109"/>
      <c r="WSL24" s="109"/>
      <c r="WSM24" s="109"/>
      <c r="WSN24" s="109"/>
      <c r="WSO24" s="109"/>
      <c r="WSP24" s="109"/>
      <c r="WSQ24" s="109"/>
      <c r="WSR24" s="109"/>
      <c r="WSS24" s="109"/>
      <c r="WST24" s="109"/>
      <c r="WSU24" s="109"/>
      <c r="WSV24" s="109"/>
      <c r="WSW24" s="109"/>
      <c r="WSX24" s="109"/>
      <c r="WSY24" s="109"/>
      <c r="WSZ24" s="109"/>
      <c r="WTA24" s="109"/>
      <c r="WTB24" s="109"/>
      <c r="WTC24" s="109"/>
      <c r="WTD24" s="109"/>
      <c r="WTE24" s="109"/>
      <c r="WTF24" s="109"/>
      <c r="WTG24" s="109"/>
      <c r="WTH24" s="109"/>
      <c r="WTI24" s="109"/>
      <c r="WTJ24" s="109"/>
      <c r="WTK24" s="109"/>
      <c r="WTL24" s="109"/>
      <c r="WTM24" s="109"/>
      <c r="WTN24" s="109"/>
      <c r="WTO24" s="109"/>
      <c r="WTP24" s="109"/>
      <c r="WTQ24" s="109"/>
      <c r="WTR24" s="109"/>
      <c r="WTS24" s="109"/>
      <c r="WTT24" s="109"/>
      <c r="WTU24" s="109"/>
      <c r="WTV24" s="109"/>
      <c r="WTW24" s="109"/>
      <c r="WTX24" s="109"/>
      <c r="WTY24" s="109"/>
      <c r="WTZ24" s="109"/>
      <c r="WUA24" s="109"/>
      <c r="WUB24" s="109"/>
      <c r="WUC24" s="109"/>
      <c r="WUD24" s="109"/>
      <c r="WUE24" s="109"/>
      <c r="WUF24" s="109"/>
      <c r="WUG24" s="109"/>
      <c r="WUH24" s="109"/>
      <c r="WUI24" s="109"/>
      <c r="WUJ24" s="109"/>
      <c r="WUK24" s="109"/>
      <c r="WUL24" s="109"/>
      <c r="WUM24" s="109"/>
      <c r="WUN24" s="109"/>
      <c r="WUO24" s="109"/>
      <c r="WUP24" s="109"/>
      <c r="WUQ24" s="109"/>
      <c r="WUR24" s="109"/>
      <c r="WUS24" s="109"/>
      <c r="WUT24" s="109"/>
      <c r="WUU24" s="109"/>
      <c r="WUV24" s="109"/>
      <c r="WUW24" s="109"/>
      <c r="WUX24" s="109"/>
      <c r="WUY24" s="109"/>
      <c r="WUZ24" s="109"/>
      <c r="WVA24" s="109"/>
      <c r="WVB24" s="109"/>
      <c r="WVC24" s="109"/>
      <c r="WVD24" s="109"/>
      <c r="WVE24" s="109"/>
      <c r="WVF24" s="109"/>
      <c r="WVG24" s="109"/>
      <c r="WVH24" s="109"/>
      <c r="WVI24" s="109"/>
      <c r="WVJ24" s="109"/>
      <c r="WVK24" s="109"/>
      <c r="WVL24" s="109"/>
      <c r="WVM24" s="109"/>
      <c r="WVN24" s="109"/>
      <c r="WVO24" s="109"/>
      <c r="WVP24" s="109"/>
      <c r="WVQ24" s="109"/>
      <c r="WVR24" s="109"/>
      <c r="WVS24" s="109"/>
      <c r="WVT24" s="109"/>
      <c r="WVU24" s="109"/>
      <c r="WVV24" s="109"/>
      <c r="WVW24" s="109"/>
      <c r="WVX24" s="109"/>
      <c r="WVY24" s="109"/>
      <c r="WVZ24" s="109"/>
      <c r="WWA24" s="109"/>
      <c r="WWB24" s="109"/>
      <c r="WWC24" s="109"/>
      <c r="WWD24" s="109"/>
      <c r="WWE24" s="109"/>
      <c r="WWF24" s="109"/>
      <c r="WWG24" s="109"/>
      <c r="WWH24" s="109"/>
      <c r="WWI24" s="109"/>
      <c r="WWJ24" s="109"/>
      <c r="WWK24" s="109"/>
      <c r="WWL24" s="109"/>
      <c r="WWM24" s="109"/>
      <c r="WWN24" s="109"/>
      <c r="WWO24" s="109"/>
      <c r="WWP24" s="109"/>
      <c r="WWQ24" s="109"/>
      <c r="WWR24" s="109"/>
      <c r="WWS24" s="109"/>
      <c r="WWT24" s="109"/>
      <c r="WWU24" s="109"/>
      <c r="WWV24" s="109"/>
      <c r="WWW24" s="109"/>
      <c r="WWX24" s="109"/>
      <c r="WWY24" s="109"/>
      <c r="WWZ24" s="109"/>
      <c r="WXA24" s="109"/>
      <c r="WXB24" s="109"/>
      <c r="WXC24" s="109"/>
      <c r="WXD24" s="109"/>
      <c r="WXE24" s="109"/>
      <c r="WXF24" s="109"/>
      <c r="WXG24" s="109"/>
      <c r="WXH24" s="109"/>
      <c r="WXI24" s="109"/>
    </row>
    <row r="25" spans="1:16181" s="45" customFormat="1" x14ac:dyDescent="0.25">
      <c r="A25" s="171"/>
      <c r="B25" s="239">
        <v>22</v>
      </c>
      <c r="C25" s="239" t="s">
        <v>310</v>
      </c>
      <c r="D25" s="239" t="s">
        <v>1120</v>
      </c>
      <c r="E25" s="45" t="s">
        <v>1116</v>
      </c>
      <c r="F25" s="183" t="str">
        <f>HYPERLINK("C:\Users\kapalev\Desktop\SALT Automation Phase 2 - BACKUP\Projects\SALT\Snapshots\HappyPath_SingleProduct_AUS_IN-MU-LT-J27180\2014715\153545\Iterator_22\HappyPath_SingleProduct_AUS22.xlsx","Snapshot")</f>
        <v>Snapshot</v>
      </c>
      <c r="G25" s="183" t="str">
        <f>HYPERLINK("C:\Users\kapalev\Desktop\SALT Automation Phase 2 - BACKUP\Projects\SALT\Snapshots\HappyPath_SingleProduct_AUS_IN-MU-LT-J27180\2014715\153545\Iterator_22\Merge.html","Result")</f>
        <v>Result</v>
      </c>
      <c r="H25" s="29" t="s">
        <v>58</v>
      </c>
      <c r="I25" s="29" t="s">
        <v>351</v>
      </c>
      <c r="J25" s="29" t="s">
        <v>22</v>
      </c>
      <c r="K25" s="29" t="s">
        <v>531</v>
      </c>
      <c r="L25" s="29" t="s">
        <v>69</v>
      </c>
      <c r="M25" s="29" t="s">
        <v>437</v>
      </c>
      <c r="N25" s="29" t="s">
        <v>438</v>
      </c>
      <c r="O25" s="29" t="s">
        <v>812</v>
      </c>
      <c r="P25" s="29"/>
      <c r="Q25" s="29"/>
      <c r="R25" s="29"/>
      <c r="S25" s="29"/>
      <c r="T25" s="29"/>
      <c r="U25" s="29"/>
      <c r="V25" s="29" t="s">
        <v>439</v>
      </c>
      <c r="W25" s="29" t="s">
        <v>440</v>
      </c>
      <c r="X25" s="29" t="s">
        <v>447</v>
      </c>
      <c r="Y25" s="29">
        <v>26</v>
      </c>
      <c r="Z25" s="29" t="s">
        <v>445</v>
      </c>
      <c r="AA25" s="29">
        <v>1970</v>
      </c>
      <c r="AB25" s="29" t="s">
        <v>78</v>
      </c>
      <c r="AC25" s="29" t="s">
        <v>443</v>
      </c>
      <c r="AD25" s="29"/>
      <c r="AE25" s="29">
        <v>123456</v>
      </c>
      <c r="AF25" s="29">
        <v>123456</v>
      </c>
      <c r="AG25" s="29">
        <v>11</v>
      </c>
      <c r="AH25" s="29" t="s">
        <v>446</v>
      </c>
      <c r="AI25" s="29">
        <v>2037</v>
      </c>
      <c r="AJ25" s="29" t="s">
        <v>448</v>
      </c>
      <c r="AK25" s="29">
        <v>989898989</v>
      </c>
      <c r="AL25" s="29">
        <v>989898989</v>
      </c>
      <c r="AM25" s="29" t="s">
        <v>809</v>
      </c>
      <c r="AN25" s="29" t="s">
        <v>809</v>
      </c>
      <c r="AO25" s="29" t="s">
        <v>449</v>
      </c>
      <c r="AP25" s="29" t="s">
        <v>533</v>
      </c>
      <c r="AQ25" s="29" t="s">
        <v>533</v>
      </c>
      <c r="AR25" s="29">
        <v>4812</v>
      </c>
      <c r="AS25" s="29" t="s">
        <v>535</v>
      </c>
      <c r="AT25" s="29"/>
      <c r="AU25" s="29"/>
      <c r="AV25" s="29"/>
      <c r="AW25" s="29">
        <v>108</v>
      </c>
      <c r="AX25" s="29">
        <v>10</v>
      </c>
      <c r="AY25" s="29" t="s">
        <v>522</v>
      </c>
      <c r="AZ25" s="29"/>
      <c r="BA25" s="29"/>
      <c r="BB25" s="29"/>
      <c r="BC25" s="29"/>
      <c r="BD25" s="29" t="b">
        <v>1</v>
      </c>
      <c r="BE25" s="29">
        <v>918.99</v>
      </c>
      <c r="BF25" s="29"/>
      <c r="BG25" s="29" t="s">
        <v>1105</v>
      </c>
      <c r="BH25" s="29">
        <v>456</v>
      </c>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M25" s="29"/>
      <c r="EN25" s="29"/>
      <c r="EV25" s="29"/>
      <c r="HB25" s="29"/>
      <c r="HC25" s="29"/>
      <c r="HD25" s="29"/>
      <c r="HE25" s="29"/>
      <c r="HF25" s="29"/>
      <c r="HG25" s="29"/>
      <c r="HH25" s="29"/>
      <c r="HI25" s="29"/>
      <c r="HJ25" s="29"/>
      <c r="HK25" s="29" t="s">
        <v>83</v>
      </c>
      <c r="HL25" s="29">
        <v>800</v>
      </c>
      <c r="HM25" s="29" t="s">
        <v>84</v>
      </c>
      <c r="HN25" s="29">
        <v>899.99</v>
      </c>
      <c r="HO25" s="29" t="s">
        <v>450</v>
      </c>
      <c r="HP25" s="29"/>
      <c r="HQ25" s="29"/>
      <c r="HR25" s="29"/>
      <c r="HS25" s="29"/>
      <c r="HT25" s="29"/>
      <c r="HU25" s="29"/>
      <c r="HV25" s="29"/>
      <c r="HW25" s="29"/>
      <c r="HX25" s="29" t="s">
        <v>441</v>
      </c>
      <c r="HY25" s="29"/>
      <c r="HZ25" s="29"/>
      <c r="IA25" s="29"/>
      <c r="IB25" s="29"/>
      <c r="IC25" s="29"/>
      <c r="ID25" s="29"/>
      <c r="IE25" s="29"/>
      <c r="IF25" s="29"/>
      <c r="IG25" s="29"/>
      <c r="IH25" s="29"/>
      <c r="II25" s="29"/>
      <c r="IJ25" s="29"/>
      <c r="IK25" s="29"/>
      <c r="IL25" s="29"/>
      <c r="IM25" s="29" t="b">
        <v>0</v>
      </c>
      <c r="IN25" s="29"/>
      <c r="IO25" s="29"/>
      <c r="IP25" s="29"/>
      <c r="IQ25" s="29"/>
      <c r="IR25" s="29">
        <v>2021</v>
      </c>
      <c r="IS25" s="29" t="b">
        <v>1</v>
      </c>
      <c r="IT25" s="29"/>
      <c r="IU25" s="29"/>
      <c r="IV25" s="29"/>
      <c r="IW25" s="36">
        <v>41835.649826388886</v>
      </c>
      <c r="IX25" s="36">
        <v>41835.653935185182</v>
      </c>
      <c r="IY25" s="29" t="s">
        <v>1136</v>
      </c>
      <c r="IZ25" s="29"/>
      <c r="JA25" s="29"/>
      <c r="JB25" s="29"/>
      <c r="JC25" s="29"/>
      <c r="JD25" s="29"/>
      <c r="JE25" s="29"/>
      <c r="JF25" s="29"/>
      <c r="JG25" s="29"/>
      <c r="JH25" s="29" t="s">
        <v>441</v>
      </c>
      <c r="JI25" s="29"/>
      <c r="JJ25" s="29"/>
      <c r="JK25" s="29"/>
      <c r="JL25" s="29"/>
      <c r="JM25" s="29"/>
      <c r="JN25" s="29"/>
      <c r="JO25" s="29" t="s">
        <v>1458</v>
      </c>
      <c r="JP25" s="107" t="s">
        <v>531</v>
      </c>
      <c r="JQ25" s="107" t="s">
        <v>473</v>
      </c>
      <c r="JR25" s="179"/>
      <c r="JS25" s="142">
        <v>1000</v>
      </c>
      <c r="JU25" s="174"/>
      <c r="JV25" s="109" t="s">
        <v>450</v>
      </c>
      <c r="JW25" s="109" t="s">
        <v>437</v>
      </c>
      <c r="JX25" s="107" t="s">
        <v>438</v>
      </c>
      <c r="JY25" s="107" t="s">
        <v>812</v>
      </c>
      <c r="KF25" s="109" t="s">
        <v>439</v>
      </c>
      <c r="KG25" s="109" t="s">
        <v>1185</v>
      </c>
      <c r="KH25" s="109" t="s">
        <v>447</v>
      </c>
      <c r="KI25" s="142" t="s">
        <v>1184</v>
      </c>
      <c r="KJ25" s="107" t="s">
        <v>444</v>
      </c>
      <c r="KK25" s="109" t="s">
        <v>445</v>
      </c>
      <c r="KL25" s="130">
        <v>1987</v>
      </c>
      <c r="KM25" s="109" t="s">
        <v>78</v>
      </c>
      <c r="KN25" s="107" t="s">
        <v>443</v>
      </c>
      <c r="KP25" s="142">
        <v>123456</v>
      </c>
      <c r="KQ25" s="142">
        <v>123456</v>
      </c>
      <c r="KR25" s="142">
        <v>11</v>
      </c>
      <c r="KS25" s="109" t="s">
        <v>446</v>
      </c>
      <c r="KT25" s="142">
        <v>2037</v>
      </c>
      <c r="KU25" s="109" t="s">
        <v>448</v>
      </c>
      <c r="KV25" s="107" t="s">
        <v>532</v>
      </c>
      <c r="KW25" s="107" t="s">
        <v>532</v>
      </c>
      <c r="KX25" s="107" t="s">
        <v>1113</v>
      </c>
      <c r="KY25" s="107" t="s">
        <v>1113</v>
      </c>
      <c r="KZ25" s="109" t="s">
        <v>449</v>
      </c>
      <c r="LA25" s="109" t="s">
        <v>533</v>
      </c>
      <c r="LB25" s="109" t="s">
        <v>533</v>
      </c>
      <c r="LC25" s="107" t="s">
        <v>518</v>
      </c>
      <c r="LD25" s="107" t="s">
        <v>535</v>
      </c>
      <c r="LH25" s="109" t="s">
        <v>441</v>
      </c>
      <c r="LI25" s="109">
        <v>108</v>
      </c>
      <c r="LJ25" s="109">
        <v>10</v>
      </c>
      <c r="LK25" s="109">
        <v>2021</v>
      </c>
      <c r="LL25" s="107" t="s">
        <v>452</v>
      </c>
      <c r="LM25" s="107" t="s">
        <v>522</v>
      </c>
      <c r="LR25" s="107" t="s">
        <v>451</v>
      </c>
      <c r="LS25" s="107" t="s">
        <v>452</v>
      </c>
      <c r="LT25" s="232">
        <v>718.38</v>
      </c>
      <c r="LU25" s="109"/>
      <c r="LV25" s="109" t="s">
        <v>1459</v>
      </c>
      <c r="LW25" s="107">
        <v>456</v>
      </c>
      <c r="LX25" s="109" t="s">
        <v>58</v>
      </c>
      <c r="LY25" s="51" t="s">
        <v>351</v>
      </c>
      <c r="LZ25" s="109" t="s">
        <v>22</v>
      </c>
    </row>
    <row r="26" spans="1:16181" s="45" customFormat="1" x14ac:dyDescent="0.25">
      <c r="A26" s="171"/>
      <c r="B26" s="45">
        <v>23</v>
      </c>
      <c r="C26" s="45" t="s">
        <v>310</v>
      </c>
      <c r="D26" s="45" t="s">
        <v>1120</v>
      </c>
      <c r="E26" s="45" t="s">
        <v>1116</v>
      </c>
      <c r="F26" s="183" t="str">
        <f>HYPERLINK("\\gdc-data\Team\Test Team\!Testing Details\Automation\Vikram\Vikram\SALT Automation Phase 2 - BACKUP\Projects\SALT\Snapshots\HappyPath_SingleProduct_AUS_IN-MU-LT-J27180\2014711\104759\Iterator_23\HappyPath_SingleProduct_AUS23.xlsx","Snapshot")</f>
        <v>Snapshot</v>
      </c>
      <c r="G26" s="183" t="str">
        <f>HYPERLINK("\\gdc-data\Team\Test Team\!Testing Details\Automation\Vikram\Vikram\SALT Automation Phase 2 - BACKUP\Projects\SALT\Snapshots\HappyPath_SingleProduct_AUS_IN-MU-LT-J27180\2014711\104759\Iterator_23\Merge.html","Result")</f>
        <v>Result</v>
      </c>
      <c r="H26" s="125" t="s">
        <v>58</v>
      </c>
      <c r="I26" s="125" t="s">
        <v>351</v>
      </c>
      <c r="J26" s="125" t="s">
        <v>22</v>
      </c>
      <c r="K26" s="125" t="s">
        <v>531</v>
      </c>
      <c r="L26" s="125" t="s">
        <v>69</v>
      </c>
      <c r="M26" s="125" t="s">
        <v>437</v>
      </c>
      <c r="N26" s="125" t="s">
        <v>438</v>
      </c>
      <c r="O26" s="125" t="s">
        <v>812</v>
      </c>
      <c r="P26" s="125"/>
      <c r="Q26" s="125"/>
      <c r="R26" s="125"/>
      <c r="S26" s="125"/>
      <c r="T26" s="125"/>
      <c r="U26" s="125"/>
      <c r="V26" s="125" t="s">
        <v>439</v>
      </c>
      <c r="W26" s="125" t="s">
        <v>440</v>
      </c>
      <c r="X26" s="125" t="s">
        <v>447</v>
      </c>
      <c r="Y26" s="125">
        <v>26</v>
      </c>
      <c r="Z26" s="125" t="s">
        <v>445</v>
      </c>
      <c r="AA26" s="125">
        <v>1970</v>
      </c>
      <c r="AB26" s="125" t="s">
        <v>78</v>
      </c>
      <c r="AC26" s="125" t="s">
        <v>443</v>
      </c>
      <c r="AD26" s="125"/>
      <c r="AE26" s="125">
        <v>123456</v>
      </c>
      <c r="AF26" s="125">
        <v>123456</v>
      </c>
      <c r="AG26" s="125">
        <v>11</v>
      </c>
      <c r="AH26" s="125" t="s">
        <v>446</v>
      </c>
      <c r="AI26" s="125">
        <v>2037</v>
      </c>
      <c r="AJ26" s="125" t="s">
        <v>448</v>
      </c>
      <c r="AK26" s="125">
        <v>989898989</v>
      </c>
      <c r="AL26" s="125">
        <v>989898989</v>
      </c>
      <c r="AM26" s="125" t="s">
        <v>809</v>
      </c>
      <c r="AN26" s="125" t="s">
        <v>809</v>
      </c>
      <c r="AO26" s="125" t="s">
        <v>449</v>
      </c>
      <c r="AP26" s="125" t="s">
        <v>533</v>
      </c>
      <c r="AQ26" s="125" t="s">
        <v>533</v>
      </c>
      <c r="AR26" s="125">
        <v>4812</v>
      </c>
      <c r="AS26" s="125" t="s">
        <v>535</v>
      </c>
      <c r="AT26" s="125"/>
      <c r="AU26" s="125"/>
      <c r="AV26" s="125"/>
      <c r="AW26" s="125">
        <v>108</v>
      </c>
      <c r="AX26" s="125">
        <v>10</v>
      </c>
      <c r="AY26" s="125" t="s">
        <v>522</v>
      </c>
      <c r="AZ26" s="125"/>
      <c r="BA26" s="125"/>
      <c r="BB26" s="125"/>
      <c r="BC26" s="125"/>
      <c r="BD26" s="125" t="b">
        <v>1</v>
      </c>
      <c r="BE26" s="125">
        <v>918.99</v>
      </c>
      <c r="BF26" s="125"/>
      <c r="BG26" s="125" t="s">
        <v>1105</v>
      </c>
      <c r="BH26" s="125">
        <v>456</v>
      </c>
      <c r="BI26" s="125"/>
      <c r="BJ26" s="125"/>
      <c r="BK26" s="125"/>
      <c r="BL26" s="125"/>
      <c r="BM26" s="125"/>
      <c r="BN26" s="125"/>
      <c r="BO26" s="125"/>
      <c r="BP26" s="125"/>
      <c r="BQ26" s="125"/>
      <c r="BR26" s="125"/>
      <c r="BS26" s="125"/>
      <c r="BT26" s="125"/>
      <c r="BU26" s="125"/>
      <c r="BV26" s="125"/>
      <c r="BW26" s="125"/>
      <c r="BX26" s="125"/>
      <c r="BY26" s="125"/>
      <c r="BZ26" s="125"/>
      <c r="CA26" s="125"/>
      <c r="CB26" s="125"/>
      <c r="CC26" s="125"/>
      <c r="CD26" s="125"/>
      <c r="CE26" s="125"/>
      <c r="CF26" s="125"/>
      <c r="CG26" s="125"/>
      <c r="CH26" s="125"/>
      <c r="CI26" s="125"/>
      <c r="CJ26" s="125"/>
      <c r="CK26" s="125"/>
      <c r="CL26" s="125"/>
      <c r="CM26" s="125"/>
      <c r="CN26" s="125"/>
      <c r="CO26" s="125"/>
      <c r="CP26" s="125"/>
      <c r="CQ26" s="125"/>
      <c r="CR26" s="125"/>
      <c r="CS26" s="125"/>
      <c r="CT26" s="125"/>
      <c r="CU26" s="125"/>
      <c r="CV26" s="125"/>
      <c r="CW26" s="125"/>
      <c r="CX26" s="125"/>
      <c r="CY26" s="125"/>
      <c r="CZ26" s="125"/>
      <c r="DA26" s="125"/>
      <c r="DB26" s="125"/>
      <c r="DC26" s="125"/>
      <c r="DD26" s="125"/>
      <c r="DE26" s="125"/>
      <c r="DF26" s="125"/>
      <c r="DG26" s="125"/>
      <c r="DH26" s="125"/>
      <c r="DI26" s="125"/>
      <c r="DJ26" s="125"/>
      <c r="DK26" s="125"/>
      <c r="DL26" s="125"/>
      <c r="DM26" s="125"/>
      <c r="DN26" s="125"/>
      <c r="DO26" s="125"/>
      <c r="DP26" s="125"/>
      <c r="DQ26" s="125"/>
      <c r="DR26" s="125"/>
      <c r="DS26" s="125"/>
      <c r="DT26" s="125"/>
      <c r="DU26" s="125"/>
      <c r="DV26" s="125"/>
      <c r="DW26" s="125"/>
      <c r="DX26" s="125"/>
      <c r="DY26" s="125"/>
      <c r="DZ26" s="125"/>
      <c r="EA26" s="125"/>
      <c r="EB26" s="125"/>
      <c r="EC26" s="125"/>
      <c r="ED26" s="125"/>
      <c r="EE26" s="125"/>
      <c r="EF26" s="125"/>
      <c r="EG26" s="125"/>
      <c r="EH26" s="125"/>
      <c r="EI26" s="125"/>
      <c r="EJ26" s="125"/>
      <c r="EK26" s="125"/>
      <c r="EM26" s="125"/>
      <c r="EN26" s="125"/>
      <c r="EV26" s="125"/>
      <c r="HB26" s="125"/>
      <c r="HC26" s="125"/>
      <c r="HD26" s="125"/>
      <c r="HE26" s="125"/>
      <c r="HF26" s="125"/>
      <c r="HG26" s="125"/>
      <c r="HH26" s="125"/>
      <c r="HI26" s="125"/>
      <c r="HJ26" s="125"/>
      <c r="HK26" s="125" t="s">
        <v>83</v>
      </c>
      <c r="HL26" s="125">
        <v>800</v>
      </c>
      <c r="HM26" s="125" t="s">
        <v>84</v>
      </c>
      <c r="HN26" s="125">
        <v>899.99</v>
      </c>
      <c r="HO26" s="125" t="s">
        <v>450</v>
      </c>
      <c r="HP26" s="125"/>
      <c r="HQ26" s="125"/>
      <c r="HR26" s="125"/>
      <c r="HS26" s="125"/>
      <c r="HT26" s="125"/>
      <c r="HU26" s="125"/>
      <c r="HV26" s="125"/>
      <c r="HW26" s="125"/>
      <c r="HX26" s="125" t="s">
        <v>441</v>
      </c>
      <c r="HY26" s="125"/>
      <c r="HZ26" s="125"/>
      <c r="IA26" s="125"/>
      <c r="IB26" s="125"/>
      <c r="IC26" s="125"/>
      <c r="ID26" s="125"/>
      <c r="IE26" s="125"/>
      <c r="IF26" s="125"/>
      <c r="IG26" s="125"/>
      <c r="IH26" s="125"/>
      <c r="II26" s="125"/>
      <c r="IJ26" s="125"/>
      <c r="IK26" s="125"/>
      <c r="IL26" s="125"/>
      <c r="IM26" s="125" t="b">
        <v>0</v>
      </c>
      <c r="IN26" s="125"/>
      <c r="IO26" s="125"/>
      <c r="IP26" s="125"/>
      <c r="IQ26" s="125"/>
      <c r="IR26" s="125">
        <v>2021</v>
      </c>
      <c r="IS26" s="125" t="b">
        <v>1</v>
      </c>
      <c r="IT26" s="125"/>
      <c r="IU26" s="125"/>
      <c r="IV26" s="125"/>
      <c r="IW26" s="36">
        <v>41831.449988425928</v>
      </c>
      <c r="IX26" s="36">
        <v>41831.454351851855</v>
      </c>
      <c r="IY26" s="125" t="s">
        <v>1151</v>
      </c>
      <c r="IZ26" s="125"/>
      <c r="JA26" s="125"/>
      <c r="JB26" s="125"/>
      <c r="JC26" s="125"/>
      <c r="JD26" s="125"/>
      <c r="JE26" s="125"/>
      <c r="JF26" s="125"/>
      <c r="JG26" s="125"/>
      <c r="JH26" s="125" t="s">
        <v>441</v>
      </c>
      <c r="JI26" s="125"/>
      <c r="JJ26" s="125"/>
      <c r="JK26" s="125"/>
      <c r="JL26" s="125"/>
      <c r="JM26" s="125"/>
      <c r="JN26" s="125"/>
      <c r="JO26" s="204" t="s">
        <v>1414</v>
      </c>
      <c r="JP26" s="107" t="s">
        <v>531</v>
      </c>
      <c r="JQ26" s="163" t="s">
        <v>74</v>
      </c>
      <c r="JR26" s="179"/>
      <c r="JS26" s="142">
        <v>950</v>
      </c>
      <c r="JU26" s="174"/>
      <c r="JV26" s="109" t="s">
        <v>450</v>
      </c>
      <c r="JW26" s="109" t="s">
        <v>437</v>
      </c>
      <c r="JX26" s="107" t="s">
        <v>438</v>
      </c>
      <c r="JY26" s="107" t="s">
        <v>812</v>
      </c>
      <c r="KF26" s="109" t="s">
        <v>439</v>
      </c>
      <c r="KG26" s="109" t="s">
        <v>1186</v>
      </c>
      <c r="KH26" s="109" t="s">
        <v>447</v>
      </c>
      <c r="KI26" s="160" t="s">
        <v>1183</v>
      </c>
      <c r="KJ26" s="107" t="s">
        <v>444</v>
      </c>
      <c r="KK26" s="109" t="s">
        <v>445</v>
      </c>
      <c r="KL26" s="130" t="s">
        <v>490</v>
      </c>
      <c r="KM26" s="109" t="s">
        <v>78</v>
      </c>
      <c r="KN26" s="107" t="s">
        <v>443</v>
      </c>
      <c r="KP26" s="142">
        <v>123456</v>
      </c>
      <c r="KQ26" s="142">
        <v>123456</v>
      </c>
      <c r="KR26" s="142">
        <v>11</v>
      </c>
      <c r="KS26" s="109" t="s">
        <v>446</v>
      </c>
      <c r="KT26" s="142">
        <v>2037</v>
      </c>
      <c r="KU26" s="109" t="s">
        <v>448</v>
      </c>
      <c r="KV26" s="107" t="s">
        <v>532</v>
      </c>
      <c r="KW26" s="107" t="s">
        <v>532</v>
      </c>
      <c r="KX26" s="107" t="s">
        <v>1113</v>
      </c>
      <c r="KY26" s="107" t="s">
        <v>1113</v>
      </c>
      <c r="KZ26" s="109" t="s">
        <v>449</v>
      </c>
      <c r="LA26" s="109" t="s">
        <v>533</v>
      </c>
      <c r="LB26" s="109" t="s">
        <v>533</v>
      </c>
      <c r="LC26" s="107" t="s">
        <v>518</v>
      </c>
      <c r="LD26" s="126" t="s">
        <v>699</v>
      </c>
      <c r="LE26" s="126" t="s">
        <v>453</v>
      </c>
      <c r="LF26" s="126" t="s">
        <v>195</v>
      </c>
      <c r="LH26" s="109" t="s">
        <v>441</v>
      </c>
      <c r="LI26" s="109">
        <v>108</v>
      </c>
      <c r="LJ26" s="109">
        <v>10</v>
      </c>
      <c r="LK26" s="109">
        <v>2021</v>
      </c>
      <c r="LL26" s="107" t="s">
        <v>452</v>
      </c>
      <c r="LM26" s="107" t="s">
        <v>522</v>
      </c>
      <c r="LR26" s="107" t="s">
        <v>451</v>
      </c>
      <c r="LS26" s="107" t="s">
        <v>452</v>
      </c>
      <c r="LT26" s="181">
        <v>1393.17</v>
      </c>
      <c r="LU26" s="109"/>
      <c r="LV26" s="107" t="s">
        <v>1415</v>
      </c>
      <c r="LW26" s="107">
        <v>456</v>
      </c>
      <c r="LX26" s="109" t="s">
        <v>58</v>
      </c>
      <c r="LY26" s="51" t="s">
        <v>351</v>
      </c>
      <c r="LZ26" s="109" t="s">
        <v>22</v>
      </c>
    </row>
    <row r="27" spans="1:16181" s="45" customFormat="1" x14ac:dyDescent="0.25">
      <c r="A27" s="171"/>
      <c r="B27" s="45">
        <v>24</v>
      </c>
      <c r="C27" s="45" t="s">
        <v>310</v>
      </c>
      <c r="D27" s="45" t="s">
        <v>1120</v>
      </c>
      <c r="E27" s="45" t="s">
        <v>1116</v>
      </c>
      <c r="F27" s="183"/>
      <c r="G27" s="183"/>
      <c r="H27" s="125" t="s">
        <v>58</v>
      </c>
      <c r="I27" s="125" t="s">
        <v>351</v>
      </c>
      <c r="J27" s="125" t="s">
        <v>22</v>
      </c>
      <c r="K27" s="125" t="s">
        <v>531</v>
      </c>
      <c r="L27" s="125" t="s">
        <v>69</v>
      </c>
      <c r="M27" s="125" t="s">
        <v>437</v>
      </c>
      <c r="N27" s="125" t="s">
        <v>438</v>
      </c>
      <c r="O27" s="125" t="s">
        <v>812</v>
      </c>
      <c r="P27" s="125"/>
      <c r="Q27" s="125"/>
      <c r="R27" s="125"/>
      <c r="S27" s="125"/>
      <c r="T27" s="125"/>
      <c r="U27" s="125"/>
      <c r="V27" s="125" t="s">
        <v>439</v>
      </c>
      <c r="W27" s="125" t="s">
        <v>440</v>
      </c>
      <c r="X27" s="125" t="s">
        <v>447</v>
      </c>
      <c r="Y27" s="125">
        <v>26</v>
      </c>
      <c r="Z27" s="125" t="s">
        <v>445</v>
      </c>
      <c r="AA27" s="125">
        <v>1970</v>
      </c>
      <c r="AB27" s="125" t="s">
        <v>78</v>
      </c>
      <c r="AC27" s="125" t="s">
        <v>443</v>
      </c>
      <c r="AD27" s="125"/>
      <c r="AE27" s="125">
        <v>123456</v>
      </c>
      <c r="AF27" s="125">
        <v>123456</v>
      </c>
      <c r="AG27" s="125">
        <v>11</v>
      </c>
      <c r="AH27" s="125" t="s">
        <v>446</v>
      </c>
      <c r="AI27" s="125">
        <v>2037</v>
      </c>
      <c r="AJ27" s="125" t="s">
        <v>448</v>
      </c>
      <c r="AK27" s="125">
        <v>989898989</v>
      </c>
      <c r="AL27" s="125">
        <v>989898989</v>
      </c>
      <c r="AM27" s="125" t="s">
        <v>809</v>
      </c>
      <c r="AN27" s="125" t="s">
        <v>809</v>
      </c>
      <c r="AO27" s="125" t="s">
        <v>449</v>
      </c>
      <c r="AP27" s="125" t="s">
        <v>533</v>
      </c>
      <c r="AQ27" s="125" t="s">
        <v>533</v>
      </c>
      <c r="AR27" s="125">
        <v>4812</v>
      </c>
      <c r="AS27" s="125" t="s">
        <v>535</v>
      </c>
      <c r="AT27" s="125"/>
      <c r="AU27" s="125"/>
      <c r="AV27" s="125"/>
      <c r="AW27" s="125">
        <v>108</v>
      </c>
      <c r="AX27" s="125">
        <v>10</v>
      </c>
      <c r="AY27" s="125" t="s">
        <v>522</v>
      </c>
      <c r="AZ27" s="125"/>
      <c r="BA27" s="125"/>
      <c r="BB27" s="125"/>
      <c r="BC27" s="125"/>
      <c r="BD27" s="125" t="b">
        <v>1</v>
      </c>
      <c r="BE27" s="125">
        <v>918.99</v>
      </c>
      <c r="BF27" s="125"/>
      <c r="BG27" s="125" t="s">
        <v>1428</v>
      </c>
      <c r="BH27" s="125">
        <v>456</v>
      </c>
      <c r="BI27" s="125"/>
      <c r="BJ27" s="125"/>
      <c r="BK27" s="125"/>
      <c r="BL27" s="125"/>
      <c r="BM27" s="125"/>
      <c r="BN27" s="125"/>
      <c r="BO27" s="125"/>
      <c r="BP27" s="125"/>
      <c r="BQ27" s="125"/>
      <c r="BR27" s="125"/>
      <c r="BS27" s="125"/>
      <c r="BT27" s="125"/>
      <c r="BU27" s="125"/>
      <c r="BV27" s="125"/>
      <c r="BW27" s="125"/>
      <c r="BX27" s="125"/>
      <c r="BY27" s="125"/>
      <c r="BZ27" s="125"/>
      <c r="CA27" s="125"/>
      <c r="CB27" s="125"/>
      <c r="CC27" s="125"/>
      <c r="CD27" s="125"/>
      <c r="CE27" s="125"/>
      <c r="CF27" s="125"/>
      <c r="CG27" s="125"/>
      <c r="CH27" s="125"/>
      <c r="CI27" s="125"/>
      <c r="CJ27" s="125"/>
      <c r="CK27" s="125"/>
      <c r="CL27" s="125"/>
      <c r="CM27" s="125"/>
      <c r="CN27" s="125"/>
      <c r="CO27" s="125"/>
      <c r="CP27" s="125"/>
      <c r="CQ27" s="125"/>
      <c r="CR27" s="125"/>
      <c r="CS27" s="125"/>
      <c r="CT27" s="125"/>
      <c r="CU27" s="125"/>
      <c r="CV27" s="125"/>
      <c r="CW27" s="125"/>
      <c r="CX27" s="125"/>
      <c r="CY27" s="125"/>
      <c r="CZ27" s="125"/>
      <c r="DA27" s="125"/>
      <c r="DB27" s="125"/>
      <c r="DC27" s="125"/>
      <c r="DD27" s="125"/>
      <c r="DE27" s="125"/>
      <c r="DF27" s="125"/>
      <c r="DG27" s="125"/>
      <c r="DH27" s="125"/>
      <c r="DI27" s="125"/>
      <c r="DJ27" s="125"/>
      <c r="DK27" s="125"/>
      <c r="DL27" s="125"/>
      <c r="DM27" s="125"/>
      <c r="DN27" s="125"/>
      <c r="DO27" s="125"/>
      <c r="DP27" s="125"/>
      <c r="DQ27" s="125"/>
      <c r="DR27" s="125"/>
      <c r="DS27" s="125"/>
      <c r="DT27" s="125"/>
      <c r="DU27" s="125"/>
      <c r="DV27" s="125"/>
      <c r="DW27" s="125"/>
      <c r="DX27" s="125"/>
      <c r="DY27" s="125"/>
      <c r="DZ27" s="125"/>
      <c r="EA27" s="125"/>
      <c r="EB27" s="125"/>
      <c r="EC27" s="125"/>
      <c r="ED27" s="125"/>
      <c r="EE27" s="125"/>
      <c r="EF27" s="125"/>
      <c r="EG27" s="125"/>
      <c r="EH27" s="125"/>
      <c r="EI27" s="125"/>
      <c r="EJ27" s="125"/>
      <c r="EK27" s="125"/>
      <c r="EM27" s="125"/>
      <c r="EN27" s="125"/>
      <c r="EV27" s="125"/>
      <c r="HB27" s="125"/>
      <c r="HC27" s="125"/>
      <c r="HD27" s="125"/>
      <c r="HE27" s="125"/>
      <c r="HF27" s="125"/>
      <c r="HG27" s="125"/>
      <c r="HH27" s="125"/>
      <c r="HI27" s="125"/>
      <c r="HJ27" s="125"/>
      <c r="HK27" s="125" t="s">
        <v>83</v>
      </c>
      <c r="HL27" s="125">
        <v>800</v>
      </c>
      <c r="HM27" s="125" t="s">
        <v>84</v>
      </c>
      <c r="HN27" s="125">
        <v>899.99</v>
      </c>
      <c r="HO27" s="125" t="s">
        <v>450</v>
      </c>
      <c r="HP27" s="125"/>
      <c r="HQ27" s="125"/>
      <c r="HR27" s="125"/>
      <c r="HS27" s="125"/>
      <c r="HT27" s="125"/>
      <c r="HU27" s="125"/>
      <c r="HV27" s="125"/>
      <c r="HW27" s="125"/>
      <c r="HX27" s="125" t="s">
        <v>441</v>
      </c>
      <c r="HY27" s="125"/>
      <c r="HZ27" s="125"/>
      <c r="IA27" s="125"/>
      <c r="IB27" s="125"/>
      <c r="IC27" s="125"/>
      <c r="ID27" s="125"/>
      <c r="IE27" s="125"/>
      <c r="IF27" s="125"/>
      <c r="IG27" s="125"/>
      <c r="IH27" s="125"/>
      <c r="II27" s="125"/>
      <c r="IJ27" s="125"/>
      <c r="IK27" s="125"/>
      <c r="IL27" s="125"/>
      <c r="IM27" s="125" t="b">
        <v>0</v>
      </c>
      <c r="IN27" s="125"/>
      <c r="IO27" s="125"/>
      <c r="IP27" s="125"/>
      <c r="IQ27" s="125"/>
      <c r="IR27" s="125">
        <v>2021</v>
      </c>
      <c r="IS27" s="125" t="b">
        <v>1</v>
      </c>
      <c r="IT27" s="125"/>
      <c r="IU27" s="125"/>
      <c r="IV27" s="125"/>
      <c r="IW27" s="36">
        <v>41831.449988425928</v>
      </c>
      <c r="IX27" s="36">
        <v>41831.454351851855</v>
      </c>
      <c r="IY27" s="125" t="s">
        <v>1151</v>
      </c>
      <c r="IZ27" s="125"/>
      <c r="JA27" s="125"/>
      <c r="JB27" s="125"/>
      <c r="JC27" s="125"/>
      <c r="JD27" s="125"/>
      <c r="JE27" s="125"/>
      <c r="JF27" s="125"/>
      <c r="JG27" s="125"/>
      <c r="JH27" s="125" t="s">
        <v>441</v>
      </c>
      <c r="JI27" s="125"/>
      <c r="JJ27" s="125"/>
      <c r="JK27" s="125"/>
      <c r="JL27" s="125"/>
      <c r="JM27" s="125"/>
      <c r="JN27" s="125"/>
      <c r="JO27" s="125"/>
      <c r="JP27" s="107" t="s">
        <v>531</v>
      </c>
      <c r="JQ27" s="107" t="s">
        <v>473</v>
      </c>
      <c r="JR27" s="179"/>
      <c r="JS27" s="142">
        <v>1200</v>
      </c>
      <c r="JU27" s="174"/>
      <c r="JV27" s="109" t="s">
        <v>450</v>
      </c>
      <c r="JW27" s="109" t="s">
        <v>437</v>
      </c>
      <c r="JX27" s="107" t="s">
        <v>438</v>
      </c>
      <c r="JY27" s="107" t="s">
        <v>812</v>
      </c>
      <c r="KF27" s="109" t="s">
        <v>439</v>
      </c>
      <c r="KG27" s="109" t="s">
        <v>1187</v>
      </c>
      <c r="KH27" s="109" t="s">
        <v>447</v>
      </c>
      <c r="KI27" s="160" t="s">
        <v>440</v>
      </c>
      <c r="KJ27" s="107" t="s">
        <v>444</v>
      </c>
      <c r="KK27" s="109" t="s">
        <v>445</v>
      </c>
      <c r="KL27" s="130">
        <v>1965</v>
      </c>
      <c r="KM27" s="109" t="s">
        <v>78</v>
      </c>
      <c r="KN27" s="107" t="s">
        <v>443</v>
      </c>
      <c r="KP27" s="142">
        <v>123456</v>
      </c>
      <c r="KQ27" s="142">
        <v>123456</v>
      </c>
      <c r="KR27" s="142">
        <v>11</v>
      </c>
      <c r="KS27" s="109" t="s">
        <v>446</v>
      </c>
      <c r="KT27" s="142">
        <v>2037</v>
      </c>
      <c r="KU27" s="109" t="s">
        <v>448</v>
      </c>
      <c r="KV27" s="107" t="s">
        <v>532</v>
      </c>
      <c r="KW27" s="107" t="s">
        <v>532</v>
      </c>
      <c r="KX27" s="107" t="s">
        <v>1113</v>
      </c>
      <c r="KY27" s="107" t="s">
        <v>1113</v>
      </c>
      <c r="KZ27" s="109" t="s">
        <v>449</v>
      </c>
      <c r="LA27" s="109" t="s">
        <v>533</v>
      </c>
      <c r="LB27" s="109" t="s">
        <v>533</v>
      </c>
      <c r="LC27" s="107" t="s">
        <v>518</v>
      </c>
      <c r="LD27" s="126" t="s">
        <v>699</v>
      </c>
      <c r="LE27" s="126" t="s">
        <v>453</v>
      </c>
      <c r="LF27" s="126" t="s">
        <v>195</v>
      </c>
      <c r="LH27" s="109" t="s">
        <v>441</v>
      </c>
      <c r="LI27" s="109">
        <v>108</v>
      </c>
      <c r="LJ27" s="109">
        <v>10</v>
      </c>
      <c r="LK27" s="109">
        <v>2021</v>
      </c>
      <c r="LL27" s="107" t="s">
        <v>452</v>
      </c>
      <c r="LM27" s="107" t="s">
        <v>522</v>
      </c>
      <c r="LR27" s="107" t="s">
        <v>451</v>
      </c>
      <c r="LS27" s="107" t="s">
        <v>452</v>
      </c>
      <c r="LT27" s="232">
        <v>817.99</v>
      </c>
      <c r="LU27" s="109"/>
      <c r="LV27" t="s">
        <v>1445</v>
      </c>
      <c r="LW27" s="107">
        <v>456</v>
      </c>
      <c r="LX27" s="109" t="s">
        <v>58</v>
      </c>
      <c r="LY27" s="51" t="s">
        <v>351</v>
      </c>
      <c r="LZ27" s="109" t="s">
        <v>22</v>
      </c>
    </row>
    <row r="28" spans="1:16181" s="45" customFormat="1" x14ac:dyDescent="0.25">
      <c r="A28" s="171"/>
      <c r="B28" s="45">
        <v>25</v>
      </c>
      <c r="C28" s="45" t="s">
        <v>310</v>
      </c>
      <c r="D28" s="45" t="s">
        <v>1158</v>
      </c>
      <c r="E28" s="47" t="s">
        <v>1116</v>
      </c>
      <c r="F28" s="183" t="str">
        <f>HYPERLINK("C:\Users\kapalev\Desktop\SALT Automation Phase 2 - BACKUP\Projects\SALT\Snapshots\HappyPath_SingleProduct_AUS_IN-MU-LT-J27180\2014723\171058\Iterator_25\HappyPath_SingleProduct_AUS25.xlsx","Snapshot")</f>
        <v>Snapshot</v>
      </c>
      <c r="G28" s="183" t="str">
        <f>HYPERLINK("C:\Users\kapalev\Desktop\SALT Automation Phase 2 - BACKUP\Projects\SALT\Snapshots\HappyPath_SingleProduct_AUS_IN-MU-LT-J27180\2014723\171058\Iterator_25\Merge.html","Result")</f>
        <v>Result</v>
      </c>
      <c r="H28" s="125" t="s">
        <v>58</v>
      </c>
      <c r="I28" s="125" t="s">
        <v>351</v>
      </c>
      <c r="J28" s="125" t="s">
        <v>22</v>
      </c>
      <c r="K28" s="125" t="s">
        <v>531</v>
      </c>
      <c r="L28" s="125" t="s">
        <v>69</v>
      </c>
      <c r="M28" s="125" t="s">
        <v>437</v>
      </c>
      <c r="N28" s="125" t="s">
        <v>438</v>
      </c>
      <c r="O28" s="125" t="s">
        <v>812</v>
      </c>
      <c r="P28" s="125"/>
      <c r="Q28" s="125"/>
      <c r="R28" s="125"/>
      <c r="S28" s="125"/>
      <c r="T28" s="125"/>
      <c r="U28" s="125"/>
      <c r="V28" s="125" t="s">
        <v>439</v>
      </c>
      <c r="W28" s="125" t="s">
        <v>440</v>
      </c>
      <c r="X28" s="125" t="s">
        <v>447</v>
      </c>
      <c r="Y28" s="125">
        <v>26</v>
      </c>
      <c r="Z28" s="125" t="s">
        <v>445</v>
      </c>
      <c r="AA28" s="125">
        <v>1970</v>
      </c>
      <c r="AB28" s="125" t="s">
        <v>78</v>
      </c>
      <c r="AC28" s="125" t="s">
        <v>443</v>
      </c>
      <c r="AD28" s="125"/>
      <c r="AE28" s="125">
        <v>123456</v>
      </c>
      <c r="AF28" s="125">
        <v>123456</v>
      </c>
      <c r="AG28" s="125">
        <v>11</v>
      </c>
      <c r="AH28" s="125" t="s">
        <v>446</v>
      </c>
      <c r="AI28" s="125">
        <v>2037</v>
      </c>
      <c r="AJ28" s="125" t="s">
        <v>448</v>
      </c>
      <c r="AK28" s="125">
        <v>989898989</v>
      </c>
      <c r="AL28" s="125">
        <v>989898989</v>
      </c>
      <c r="AM28" s="125" t="s">
        <v>809</v>
      </c>
      <c r="AN28" s="125" t="s">
        <v>809</v>
      </c>
      <c r="AO28" s="125" t="s">
        <v>449</v>
      </c>
      <c r="AP28" s="125" t="s">
        <v>533</v>
      </c>
      <c r="AQ28" s="125" t="s">
        <v>533</v>
      </c>
      <c r="AR28" s="125">
        <v>4812</v>
      </c>
      <c r="AS28" s="125" t="s">
        <v>535</v>
      </c>
      <c r="AT28" s="125"/>
      <c r="AU28" s="125"/>
      <c r="AV28" s="125"/>
      <c r="AW28" s="125">
        <v>108</v>
      </c>
      <c r="AX28" s="125">
        <v>10</v>
      </c>
      <c r="AY28" s="125" t="s">
        <v>522</v>
      </c>
      <c r="AZ28" s="125"/>
      <c r="BA28" s="125"/>
      <c r="BB28" s="125"/>
      <c r="BC28" s="125"/>
      <c r="BD28" s="125" t="b">
        <v>1</v>
      </c>
      <c r="BE28" s="125">
        <v>918.99</v>
      </c>
      <c r="BF28" s="125"/>
      <c r="BG28" s="125" t="s">
        <v>1105</v>
      </c>
      <c r="BH28" s="125">
        <v>456</v>
      </c>
      <c r="BI28" s="125"/>
      <c r="BJ28" s="125"/>
      <c r="BK28" s="125"/>
      <c r="BL28" s="125"/>
      <c r="BM28" s="125"/>
      <c r="BN28" s="125"/>
      <c r="BO28" s="125"/>
      <c r="BP28" s="125"/>
      <c r="BQ28" s="125"/>
      <c r="BR28" s="125"/>
      <c r="BS28" s="125"/>
      <c r="BT28" s="125"/>
      <c r="BU28" s="125"/>
      <c r="BV28" s="125"/>
      <c r="BW28" s="125"/>
      <c r="BX28" s="125"/>
      <c r="BY28" s="125"/>
      <c r="BZ28" s="125"/>
      <c r="CA28" s="125"/>
      <c r="CB28" s="125"/>
      <c r="CC28" s="125"/>
      <c r="CD28" s="125"/>
      <c r="CE28" s="125"/>
      <c r="CF28" s="125"/>
      <c r="CG28" s="125"/>
      <c r="CH28" s="125"/>
      <c r="CI28" s="125"/>
      <c r="CJ28" s="125"/>
      <c r="CK28" s="125"/>
      <c r="CL28" s="125"/>
      <c r="CM28" s="125"/>
      <c r="CN28" s="125"/>
      <c r="CO28" s="125"/>
      <c r="CP28" s="125"/>
      <c r="CQ28" s="125"/>
      <c r="CR28" s="125"/>
      <c r="CS28" s="125"/>
      <c r="CT28" s="125"/>
      <c r="CU28" s="125"/>
      <c r="CV28" s="125"/>
      <c r="CW28" s="125"/>
      <c r="CX28" s="125"/>
      <c r="CY28" s="125"/>
      <c r="CZ28" s="125"/>
      <c r="DA28" s="125"/>
      <c r="DB28" s="125"/>
      <c r="DC28" s="125"/>
      <c r="DD28" s="125"/>
      <c r="DE28" s="125"/>
      <c r="DF28" s="125"/>
      <c r="DG28" s="125"/>
      <c r="DH28" s="125"/>
      <c r="DI28" s="125"/>
      <c r="DJ28" s="125"/>
      <c r="DK28" s="125"/>
      <c r="DL28" s="125"/>
      <c r="DM28" s="125"/>
      <c r="DN28" s="125"/>
      <c r="DO28" s="125"/>
      <c r="DP28" s="125"/>
      <c r="DQ28" s="125"/>
      <c r="DR28" s="125"/>
      <c r="DS28" s="125"/>
      <c r="DT28" s="125"/>
      <c r="DU28" s="125"/>
      <c r="DV28" s="125"/>
      <c r="DW28" s="125"/>
      <c r="DX28" s="125"/>
      <c r="DY28" s="125"/>
      <c r="DZ28" s="125"/>
      <c r="EA28" s="125"/>
      <c r="EB28" s="125"/>
      <c r="EC28" s="125"/>
      <c r="ED28" s="125"/>
      <c r="EE28" s="125"/>
      <c r="EF28" s="125"/>
      <c r="EG28" s="125"/>
      <c r="EH28" s="125"/>
      <c r="EI28" s="125"/>
      <c r="EJ28" s="125"/>
      <c r="EK28" s="125"/>
      <c r="EM28" s="125"/>
      <c r="EN28" s="125"/>
      <c r="EV28" s="125"/>
      <c r="HB28" s="125"/>
      <c r="HC28" s="125"/>
      <c r="HD28" s="125"/>
      <c r="HE28" s="125"/>
      <c r="HF28" s="125"/>
      <c r="HG28" s="125"/>
      <c r="HH28" s="125"/>
      <c r="HI28" s="125"/>
      <c r="HJ28" s="125"/>
      <c r="HK28" s="125" t="s">
        <v>83</v>
      </c>
      <c r="HL28" s="125">
        <v>800</v>
      </c>
      <c r="HM28" s="125" t="s">
        <v>84</v>
      </c>
      <c r="HN28" s="125">
        <v>899.99</v>
      </c>
      <c r="HO28" s="125" t="s">
        <v>450</v>
      </c>
      <c r="HP28" s="125"/>
      <c r="HQ28" s="125"/>
      <c r="HR28" s="125"/>
      <c r="HS28" s="125"/>
      <c r="HT28" s="125"/>
      <c r="HU28" s="125"/>
      <c r="HV28" s="125"/>
      <c r="HW28" s="125"/>
      <c r="HX28" s="125" t="s">
        <v>441</v>
      </c>
      <c r="HY28" s="125"/>
      <c r="HZ28" s="125"/>
      <c r="IA28" s="125"/>
      <c r="IB28" s="125"/>
      <c r="IC28" s="125"/>
      <c r="ID28" s="125"/>
      <c r="IE28" s="125"/>
      <c r="IF28" s="125"/>
      <c r="IG28" s="125"/>
      <c r="IH28" s="125"/>
      <c r="II28" s="125"/>
      <c r="IJ28" s="125"/>
      <c r="IK28" s="125"/>
      <c r="IL28" s="125"/>
      <c r="IM28" s="125" t="b">
        <v>0</v>
      </c>
      <c r="IN28" s="125"/>
      <c r="IO28" s="125"/>
      <c r="IP28" s="125"/>
      <c r="IQ28" s="125"/>
      <c r="IR28" s="125">
        <v>2021</v>
      </c>
      <c r="IS28" s="125" t="b">
        <v>1</v>
      </c>
      <c r="IT28" s="125"/>
      <c r="IU28" s="125"/>
      <c r="IV28" s="125"/>
      <c r="IW28" s="36">
        <v>41843.715949074074</v>
      </c>
      <c r="IX28" s="36">
        <v>41843.721956018519</v>
      </c>
      <c r="IY28" s="125" t="s">
        <v>1203</v>
      </c>
      <c r="IZ28" s="125"/>
      <c r="JA28" s="125"/>
      <c r="JB28" s="125"/>
      <c r="JC28" s="125"/>
      <c r="JD28" s="125"/>
      <c r="JE28" s="125"/>
      <c r="JF28" s="125"/>
      <c r="JG28" s="125"/>
      <c r="JH28" s="125" t="s">
        <v>441</v>
      </c>
      <c r="JI28" s="125"/>
      <c r="JJ28" s="125"/>
      <c r="JK28" s="125"/>
      <c r="JL28" s="125"/>
      <c r="JM28" s="125"/>
      <c r="JN28" s="125"/>
      <c r="JO28" s="125"/>
      <c r="JP28" s="107" t="s">
        <v>531</v>
      </c>
      <c r="JQ28" s="163" t="s">
        <v>64</v>
      </c>
      <c r="JR28" s="179" t="s">
        <v>83</v>
      </c>
      <c r="JS28" s="142">
        <v>1100</v>
      </c>
      <c r="JT28" s="45" t="s">
        <v>85</v>
      </c>
      <c r="JU28" s="174">
        <v>1100.1099999999999</v>
      </c>
      <c r="JV28" s="109" t="s">
        <v>450</v>
      </c>
      <c r="JW28" s="109" t="s">
        <v>437</v>
      </c>
      <c r="JX28" s="107" t="s">
        <v>438</v>
      </c>
      <c r="JY28" s="107" t="s">
        <v>812</v>
      </c>
      <c r="KF28" s="109" t="s">
        <v>439</v>
      </c>
      <c r="KG28" s="109" t="s">
        <v>476</v>
      </c>
      <c r="KH28" s="109" t="s">
        <v>447</v>
      </c>
      <c r="KI28" s="142" t="s">
        <v>1184</v>
      </c>
      <c r="KJ28" s="107" t="s">
        <v>444</v>
      </c>
      <c r="KK28" s="109" t="s">
        <v>445</v>
      </c>
      <c r="KL28" s="180" t="s">
        <v>490</v>
      </c>
      <c r="KM28" s="109" t="s">
        <v>78</v>
      </c>
      <c r="KN28" s="107" t="s">
        <v>443</v>
      </c>
      <c r="KP28" s="142">
        <v>123456</v>
      </c>
      <c r="KQ28" s="142">
        <v>123456</v>
      </c>
      <c r="KR28" s="142">
        <v>11</v>
      </c>
      <c r="KS28" s="109" t="s">
        <v>446</v>
      </c>
      <c r="KT28" s="142">
        <v>2037</v>
      </c>
      <c r="KU28" s="109" t="s">
        <v>448</v>
      </c>
      <c r="KV28" s="107" t="s">
        <v>532</v>
      </c>
      <c r="KW28" s="107" t="s">
        <v>532</v>
      </c>
      <c r="KX28" s="107" t="s">
        <v>1113</v>
      </c>
      <c r="KY28" s="107" t="s">
        <v>1113</v>
      </c>
      <c r="KZ28" s="109" t="s">
        <v>449</v>
      </c>
      <c r="LA28" s="109" t="s">
        <v>533</v>
      </c>
      <c r="LB28" s="109" t="s">
        <v>533</v>
      </c>
      <c r="LC28" s="107" t="s">
        <v>518</v>
      </c>
      <c r="LD28" s="126" t="s">
        <v>699</v>
      </c>
      <c r="LE28" s="126" t="s">
        <v>453</v>
      </c>
      <c r="LF28" s="126" t="s">
        <v>195</v>
      </c>
      <c r="LH28" s="109" t="s">
        <v>441</v>
      </c>
      <c r="LI28" s="109">
        <v>108</v>
      </c>
      <c r="LJ28" s="109">
        <v>10</v>
      </c>
      <c r="LK28" s="109">
        <v>2021</v>
      </c>
      <c r="LL28" s="107" t="s">
        <v>452</v>
      </c>
      <c r="LM28" s="107" t="s">
        <v>522</v>
      </c>
      <c r="LR28" s="107" t="s">
        <v>451</v>
      </c>
      <c r="LS28" s="107" t="s">
        <v>452</v>
      </c>
      <c r="LT28" s="181">
        <v>1111.1099999999999</v>
      </c>
      <c r="LU28" s="109"/>
      <c r="LV28" s="107" t="s">
        <v>1202</v>
      </c>
      <c r="LW28" s="107">
        <v>456</v>
      </c>
      <c r="LX28" s="109" t="s">
        <v>58</v>
      </c>
      <c r="LY28" s="51" t="s">
        <v>351</v>
      </c>
      <c r="LZ28" s="109" t="s">
        <v>22</v>
      </c>
    </row>
    <row r="29" spans="1:16181" s="45" customFormat="1" x14ac:dyDescent="0.25">
      <c r="A29" s="171"/>
      <c r="B29" s="45">
        <v>26</v>
      </c>
      <c r="C29" s="45" t="s">
        <v>310</v>
      </c>
      <c r="D29" s="45" t="s">
        <v>1120</v>
      </c>
      <c r="E29" s="45" t="s">
        <v>1116</v>
      </c>
      <c r="F29" s="183"/>
      <c r="G29" s="183"/>
      <c r="H29" s="125" t="s">
        <v>58</v>
      </c>
      <c r="I29" s="125" t="s">
        <v>351</v>
      </c>
      <c r="J29" s="125" t="s">
        <v>22</v>
      </c>
      <c r="K29" s="125" t="s">
        <v>531</v>
      </c>
      <c r="L29" s="125" t="s">
        <v>69</v>
      </c>
      <c r="M29" s="125" t="s">
        <v>437</v>
      </c>
      <c r="N29" s="125" t="s">
        <v>438</v>
      </c>
      <c r="O29" s="125" t="s">
        <v>812</v>
      </c>
      <c r="P29" s="125"/>
      <c r="Q29" s="125"/>
      <c r="R29" s="125"/>
      <c r="S29" s="125"/>
      <c r="T29" s="125"/>
      <c r="U29" s="125"/>
      <c r="V29" s="125" t="s">
        <v>439</v>
      </c>
      <c r="W29" s="125" t="s">
        <v>440</v>
      </c>
      <c r="X29" s="125" t="s">
        <v>447</v>
      </c>
      <c r="Y29" s="125">
        <v>26</v>
      </c>
      <c r="Z29" s="125" t="s">
        <v>445</v>
      </c>
      <c r="AA29" s="125">
        <v>1970</v>
      </c>
      <c r="AB29" s="125" t="s">
        <v>78</v>
      </c>
      <c r="AC29" s="125" t="s">
        <v>443</v>
      </c>
      <c r="AD29" s="125"/>
      <c r="AE29" s="125">
        <v>123456</v>
      </c>
      <c r="AF29" s="125">
        <v>123456</v>
      </c>
      <c r="AG29" s="125">
        <v>11</v>
      </c>
      <c r="AH29" s="125" t="s">
        <v>446</v>
      </c>
      <c r="AI29" s="125">
        <v>2037</v>
      </c>
      <c r="AJ29" s="125" t="s">
        <v>448</v>
      </c>
      <c r="AK29" s="125">
        <v>989898989</v>
      </c>
      <c r="AL29" s="125">
        <v>989898989</v>
      </c>
      <c r="AM29" s="125" t="s">
        <v>809</v>
      </c>
      <c r="AN29" s="125" t="s">
        <v>809</v>
      </c>
      <c r="AO29" s="125" t="s">
        <v>449</v>
      </c>
      <c r="AP29" s="125" t="s">
        <v>533</v>
      </c>
      <c r="AQ29" s="125" t="s">
        <v>533</v>
      </c>
      <c r="AR29" s="125">
        <v>4812</v>
      </c>
      <c r="AS29" s="125" t="s">
        <v>535</v>
      </c>
      <c r="AT29" s="125"/>
      <c r="AU29" s="125"/>
      <c r="AV29" s="125"/>
      <c r="AW29" s="125">
        <v>108</v>
      </c>
      <c r="AX29" s="125">
        <v>10</v>
      </c>
      <c r="AY29" s="125" t="s">
        <v>522</v>
      </c>
      <c r="AZ29" s="125"/>
      <c r="BA29" s="125"/>
      <c r="BB29" s="125"/>
      <c r="BC29" s="125"/>
      <c r="BD29" s="125" t="b">
        <v>1</v>
      </c>
      <c r="BE29" s="125">
        <v>918.99</v>
      </c>
      <c r="BF29" s="125"/>
      <c r="BG29" s="125" t="s">
        <v>1105</v>
      </c>
      <c r="BH29" s="125">
        <v>456</v>
      </c>
      <c r="BI29" s="125"/>
      <c r="BJ29" s="125"/>
      <c r="BK29" s="125"/>
      <c r="BL29" s="125"/>
      <c r="BM29" s="125"/>
      <c r="BN29" s="125"/>
      <c r="BO29" s="125"/>
      <c r="BP29" s="125"/>
      <c r="BQ29" s="125"/>
      <c r="BR29" s="125"/>
      <c r="BS29" s="125"/>
      <c r="BT29" s="125"/>
      <c r="BU29" s="125"/>
      <c r="BV29" s="125"/>
      <c r="BW29" s="125"/>
      <c r="BX29" s="125"/>
      <c r="BY29" s="125"/>
      <c r="BZ29" s="125"/>
      <c r="CA29" s="125"/>
      <c r="CB29" s="125"/>
      <c r="CC29" s="125"/>
      <c r="CD29" s="125"/>
      <c r="CE29" s="125"/>
      <c r="CF29" s="125"/>
      <c r="CG29" s="125"/>
      <c r="CH29" s="125"/>
      <c r="CI29" s="125"/>
      <c r="CJ29" s="125"/>
      <c r="CK29" s="125"/>
      <c r="CL29" s="125"/>
      <c r="CM29" s="125"/>
      <c r="CN29" s="125"/>
      <c r="CO29" s="125"/>
      <c r="CP29" s="125"/>
      <c r="CQ29" s="125"/>
      <c r="CR29" s="125"/>
      <c r="CS29" s="125"/>
      <c r="CT29" s="125"/>
      <c r="CU29" s="125"/>
      <c r="CV29" s="125"/>
      <c r="CW29" s="125"/>
      <c r="CX29" s="125"/>
      <c r="CY29" s="125"/>
      <c r="CZ29" s="125"/>
      <c r="DA29" s="125"/>
      <c r="DB29" s="125"/>
      <c r="DC29" s="125"/>
      <c r="DD29" s="125"/>
      <c r="DE29" s="125"/>
      <c r="DF29" s="125"/>
      <c r="DG29" s="125"/>
      <c r="DH29" s="125"/>
      <c r="DI29" s="125"/>
      <c r="DJ29" s="125"/>
      <c r="DK29" s="125"/>
      <c r="DL29" s="125"/>
      <c r="DM29" s="125"/>
      <c r="DN29" s="125"/>
      <c r="DO29" s="125"/>
      <c r="DP29" s="125"/>
      <c r="DQ29" s="125"/>
      <c r="DR29" s="125"/>
      <c r="DS29" s="125"/>
      <c r="DT29" s="125"/>
      <c r="DU29" s="125"/>
      <c r="DV29" s="125"/>
      <c r="DW29" s="125"/>
      <c r="DX29" s="125"/>
      <c r="DY29" s="125"/>
      <c r="DZ29" s="125"/>
      <c r="EA29" s="125"/>
      <c r="EB29" s="125"/>
      <c r="EC29" s="125"/>
      <c r="ED29" s="125"/>
      <c r="EE29" s="125"/>
      <c r="EF29" s="125"/>
      <c r="EG29" s="125"/>
      <c r="EH29" s="125"/>
      <c r="EI29" s="125"/>
      <c r="EJ29" s="125"/>
      <c r="EK29" s="125"/>
      <c r="EM29" s="125"/>
      <c r="EN29" s="125"/>
      <c r="EV29" s="125"/>
      <c r="HB29" s="125"/>
      <c r="HC29" s="125"/>
      <c r="HD29" s="125"/>
      <c r="HE29" s="125"/>
      <c r="HF29" s="125"/>
      <c r="HG29" s="125"/>
      <c r="HH29" s="125"/>
      <c r="HI29" s="125"/>
      <c r="HJ29" s="125"/>
      <c r="HK29" s="125" t="s">
        <v>83</v>
      </c>
      <c r="HL29" s="125">
        <v>800</v>
      </c>
      <c r="HM29" s="125" t="s">
        <v>84</v>
      </c>
      <c r="HN29" s="125">
        <v>899.99</v>
      </c>
      <c r="HO29" s="125" t="s">
        <v>450</v>
      </c>
      <c r="HP29" s="125"/>
      <c r="HQ29" s="125"/>
      <c r="HR29" s="125"/>
      <c r="HS29" s="125"/>
      <c r="HT29" s="125"/>
      <c r="HU29" s="125"/>
      <c r="HV29" s="125"/>
      <c r="HW29" s="125"/>
      <c r="HX29" s="125" t="s">
        <v>441</v>
      </c>
      <c r="HY29" s="125"/>
      <c r="HZ29" s="125"/>
      <c r="IA29" s="125"/>
      <c r="IB29" s="125"/>
      <c r="IC29" s="125"/>
      <c r="ID29" s="125"/>
      <c r="IE29" s="125"/>
      <c r="IF29" s="125"/>
      <c r="IG29" s="125"/>
      <c r="IH29" s="125"/>
      <c r="II29" s="125"/>
      <c r="IJ29" s="125"/>
      <c r="IK29" s="125"/>
      <c r="IL29" s="125"/>
      <c r="IM29" s="125" t="b">
        <v>0</v>
      </c>
      <c r="IN29" s="125"/>
      <c r="IO29" s="125"/>
      <c r="IP29" s="125"/>
      <c r="IQ29" s="125"/>
      <c r="IR29" s="125">
        <v>2021</v>
      </c>
      <c r="IS29" s="125" t="b">
        <v>1</v>
      </c>
      <c r="IT29" s="125"/>
      <c r="IU29" s="125"/>
      <c r="IV29" s="125"/>
      <c r="IW29" s="36">
        <v>41831.449988425928</v>
      </c>
      <c r="IX29" s="36">
        <v>41831.454351851855</v>
      </c>
      <c r="IY29" s="125" t="s">
        <v>1151</v>
      </c>
      <c r="IZ29" s="125"/>
      <c r="JA29" s="125"/>
      <c r="JB29" s="125"/>
      <c r="JC29" s="125"/>
      <c r="JD29" s="125"/>
      <c r="JE29" s="125"/>
      <c r="JF29" s="125"/>
      <c r="JG29" s="125"/>
      <c r="JH29" s="125" t="s">
        <v>441</v>
      </c>
      <c r="JI29" s="125"/>
      <c r="JJ29" s="125"/>
      <c r="JK29" s="125"/>
      <c r="JL29" s="125"/>
      <c r="JM29" s="125"/>
      <c r="JN29" s="125"/>
      <c r="JO29" s="125"/>
      <c r="JP29" s="128" t="s">
        <v>727</v>
      </c>
      <c r="JQ29" s="81" t="s">
        <v>69</v>
      </c>
      <c r="JR29" s="179"/>
      <c r="JS29" s="142">
        <v>1200</v>
      </c>
      <c r="JU29" s="174"/>
      <c r="JV29" s="109" t="s">
        <v>450</v>
      </c>
      <c r="JW29" s="109" t="s">
        <v>437</v>
      </c>
      <c r="JX29" s="107" t="s">
        <v>438</v>
      </c>
      <c r="JY29" s="107" t="s">
        <v>812</v>
      </c>
      <c r="KF29" s="109" t="s">
        <v>439</v>
      </c>
      <c r="KG29" s="109" t="s">
        <v>1188</v>
      </c>
      <c r="KH29" s="109" t="s">
        <v>447</v>
      </c>
      <c r="KI29" s="109" t="s">
        <v>1187</v>
      </c>
      <c r="KJ29" s="107" t="s">
        <v>444</v>
      </c>
      <c r="KK29" s="109" t="s">
        <v>445</v>
      </c>
      <c r="KL29" s="175">
        <v>1990</v>
      </c>
      <c r="KM29" s="109" t="s">
        <v>78</v>
      </c>
      <c r="KN29" s="107" t="s">
        <v>443</v>
      </c>
      <c r="KP29" s="142">
        <v>123456</v>
      </c>
      <c r="KQ29" s="142">
        <v>123456</v>
      </c>
      <c r="KR29" s="142">
        <v>11</v>
      </c>
      <c r="KS29" s="109" t="s">
        <v>446</v>
      </c>
      <c r="KT29" s="142">
        <v>2037</v>
      </c>
      <c r="KU29" s="109" t="s">
        <v>448</v>
      </c>
      <c r="KV29" s="107" t="s">
        <v>532</v>
      </c>
      <c r="KW29" s="107" t="s">
        <v>532</v>
      </c>
      <c r="KX29" s="107" t="s">
        <v>1113</v>
      </c>
      <c r="KY29" s="107" t="s">
        <v>1113</v>
      </c>
      <c r="KZ29" s="109" t="s">
        <v>449</v>
      </c>
      <c r="LA29" s="109" t="s">
        <v>533</v>
      </c>
      <c r="LB29" s="109" t="s">
        <v>533</v>
      </c>
      <c r="LC29" s="107" t="s">
        <v>518</v>
      </c>
      <c r="LD29" s="126" t="s">
        <v>699</v>
      </c>
      <c r="LE29" s="126" t="s">
        <v>453</v>
      </c>
      <c r="LF29" s="126" t="s">
        <v>195</v>
      </c>
      <c r="LH29" s="109" t="s">
        <v>441</v>
      </c>
      <c r="LI29" s="109">
        <v>108</v>
      </c>
      <c r="LJ29" s="109">
        <v>10</v>
      </c>
      <c r="LK29" s="109">
        <v>2021</v>
      </c>
      <c r="LL29" s="107" t="s">
        <v>452</v>
      </c>
      <c r="LM29" s="107" t="s">
        <v>522</v>
      </c>
      <c r="LR29" s="107" t="s">
        <v>451</v>
      </c>
      <c r="LS29" s="107" t="s">
        <v>452</v>
      </c>
      <c r="LT29" s="181">
        <v>1393.17</v>
      </c>
      <c r="LU29" s="109"/>
      <c r="LV29" s="107" t="s">
        <v>1179</v>
      </c>
      <c r="LW29" s="107">
        <v>456</v>
      </c>
      <c r="LX29" s="109" t="s">
        <v>58</v>
      </c>
      <c r="LY29" s="51" t="s">
        <v>351</v>
      </c>
      <c r="LZ29" s="109" t="s">
        <v>22</v>
      </c>
    </row>
    <row r="30" spans="1:16181" ht="45" hidden="1" x14ac:dyDescent="0.25">
      <c r="B30" s="61">
        <v>1</v>
      </c>
      <c r="C30" s="50" t="s">
        <v>436</v>
      </c>
      <c r="E30" s="30"/>
      <c r="F30" s="31"/>
      <c r="G30" s="31"/>
      <c r="IW30" s="36">
        <v>41689.761157407411</v>
      </c>
      <c r="IX30" s="36">
        <v>41689.767557870371</v>
      </c>
      <c r="IY30" s="29" t="s">
        <v>681</v>
      </c>
      <c r="IZ30" s="29" t="s">
        <v>443</v>
      </c>
      <c r="JI30" s="30" t="s">
        <v>443</v>
      </c>
      <c r="JY30" s="30" t="s">
        <v>530</v>
      </c>
      <c r="JZ30" s="30" t="s">
        <v>520</v>
      </c>
      <c r="LU30" s="29" t="s">
        <v>807</v>
      </c>
      <c r="LX30" s="29" t="s">
        <v>58</v>
      </c>
      <c r="LY30" s="30" t="s">
        <v>96</v>
      </c>
      <c r="LZ30" s="30" t="s">
        <v>22</v>
      </c>
    </row>
    <row r="31" spans="1:16181" s="80" customFormat="1" hidden="1" x14ac:dyDescent="0.25">
      <c r="A31" s="63"/>
      <c r="B31" s="245">
        <v>1</v>
      </c>
      <c r="C31" s="206" t="s">
        <v>205</v>
      </c>
      <c r="E31" s="81" t="s">
        <v>1116</v>
      </c>
      <c r="F31" s="82"/>
      <c r="G31" s="83"/>
      <c r="BE31" s="84"/>
      <c r="BF31" s="84"/>
      <c r="BG31" s="84"/>
      <c r="IW31" s="85">
        <v>41831.459629629629</v>
      </c>
      <c r="IX31" s="85">
        <v>41831.461238425924</v>
      </c>
      <c r="IY31" s="80" t="s">
        <v>1153</v>
      </c>
      <c r="JI31" s="81" t="s">
        <v>443</v>
      </c>
      <c r="JJ31" s="86" t="s">
        <v>310</v>
      </c>
      <c r="JK31" s="80">
        <v>1</v>
      </c>
      <c r="JL31" s="86" t="s">
        <v>159</v>
      </c>
      <c r="JM31" s="81" t="s">
        <v>199</v>
      </c>
      <c r="JO31" s="204" t="s">
        <v>1419</v>
      </c>
      <c r="LX31" s="80" t="s">
        <v>58</v>
      </c>
      <c r="LY31" s="80" t="s">
        <v>96</v>
      </c>
      <c r="LZ31" s="80" t="s">
        <v>22</v>
      </c>
    </row>
    <row r="32" spans="1:16181" hidden="1" x14ac:dyDescent="0.25">
      <c r="B32" s="61">
        <v>1</v>
      </c>
      <c r="C32" s="50" t="s">
        <v>206</v>
      </c>
      <c r="E32" s="30" t="s">
        <v>1116</v>
      </c>
      <c r="F32" s="31" t="str">
        <f>HYPERLINK("\\gdc-data\Team\Test Team\!Testing Details\Automation\Vikram\Vikram\SALT Automation Phase 2 - BACKUP\Projects\SALT\Snapshots\AdminFraudReviewSettle_IN-MU-LT-J27180\2014711\11417\Iterator_1\AdminFraudReviewSettle1.xlsx","Snapshot")</f>
        <v>Snapshot</v>
      </c>
      <c r="G32" s="31" t="str">
        <f>HYPERLINK("\\gdc-data\Team\Test Team\!Testing Details\Automation\Vikram\Vikram\SALT Automation Phase 2 - BACKUP\Projects\SALT\Snapshots\AdminFraudReviewSettle_IN-MU-LT-J27180\2014711\11417\Iterator_1\Merge.html","Result")</f>
        <v>Result</v>
      </c>
      <c r="IW32" s="36">
        <v>41831.46130787037</v>
      </c>
      <c r="IX32" s="36">
        <v>41831.46292824074</v>
      </c>
      <c r="IY32" s="29" t="s">
        <v>1154</v>
      </c>
      <c r="JH32" s="42" t="s">
        <v>293</v>
      </c>
      <c r="JI32" s="81" t="s">
        <v>443</v>
      </c>
      <c r="JJ32" s="87" t="s">
        <v>310</v>
      </c>
      <c r="JK32" s="29">
        <v>1</v>
      </c>
      <c r="JL32" s="87" t="s">
        <v>159</v>
      </c>
      <c r="JM32" s="30" t="s">
        <v>199</v>
      </c>
      <c r="JO32" s="29" t="s">
        <v>1118</v>
      </c>
      <c r="LX32" s="25" t="s">
        <v>58</v>
      </c>
      <c r="LY32" s="25" t="s">
        <v>96</v>
      </c>
      <c r="LZ32" s="80" t="s">
        <v>22</v>
      </c>
    </row>
    <row r="33" spans="1:338" hidden="1" x14ac:dyDescent="0.25">
      <c r="B33" s="245">
        <v>1</v>
      </c>
      <c r="C33" s="206" t="s">
        <v>207</v>
      </c>
      <c r="D33" s="29" t="s">
        <v>1120</v>
      </c>
      <c r="E33" s="29" t="s">
        <v>1116</v>
      </c>
      <c r="F33" s="31" t="str">
        <f>HYPERLINK("\\gdc-data\Team\Test Team\!Testing Details\Automation\Vikram\Vikram\SALT Automation Phase 2 - BACKUP\Projects\SALT\Snapshots\AdminFraudReviewReject_IN-MU-LT-J27180\2014711\11642\Iterator_1\AdminFraudReviewReject1.xlsx","Snapshot")</f>
        <v>Snapshot</v>
      </c>
      <c r="G33" s="31" t="str">
        <f>HYPERLINK("\\gdc-data\Team\Test Team\!Testing Details\Automation\Vikram\Vikram\SALT Automation Phase 2 - BACKUP\Projects\SALT\Snapshots\AdminFraudReviewReject_IN-MU-LT-J27180\2014711\11642\Iterator_1\Merge.html","Result")</f>
        <v>Result</v>
      </c>
      <c r="IW33" s="36">
        <v>41831.46298611111</v>
      </c>
      <c r="IX33" s="36">
        <v>41831.464606481481</v>
      </c>
      <c r="IY33" s="29" t="s">
        <v>1154</v>
      </c>
      <c r="JH33" s="42" t="s">
        <v>294</v>
      </c>
      <c r="JI33" s="81" t="s">
        <v>443</v>
      </c>
      <c r="JJ33" s="87" t="s">
        <v>310</v>
      </c>
      <c r="JK33" s="29">
        <v>2</v>
      </c>
      <c r="JL33" s="87" t="s">
        <v>159</v>
      </c>
      <c r="JM33" s="30" t="s">
        <v>199</v>
      </c>
      <c r="JO33" s="29" t="s">
        <v>1121</v>
      </c>
      <c r="LX33" s="51" t="s">
        <v>58</v>
      </c>
      <c r="LY33" s="51" t="s">
        <v>96</v>
      </c>
      <c r="LZ33" s="51" t="s">
        <v>22</v>
      </c>
    </row>
    <row r="34" spans="1:338" hidden="1" x14ac:dyDescent="0.25">
      <c r="A34" s="43">
        <v>0</v>
      </c>
      <c r="B34" s="245">
        <v>1</v>
      </c>
      <c r="C34" s="206" t="s">
        <v>208</v>
      </c>
      <c r="D34" s="195" t="s">
        <v>1120</v>
      </c>
      <c r="E34" s="30" t="s">
        <v>1116</v>
      </c>
      <c r="F34" s="31" t="str">
        <f>HYPERLINK("\\gdc-data\Team\Test Team\!Testing Details\Automation\Vikram\Vikram\SALT Automation Phase 2 - BACKUP\Projects\SALT\Snapshots\CheckRefundDashBoard_IN-MU-LT-J27180\2014711\1197\Iterator_1\CheckRefundDashBoard1.xlsx","Snapshot")</f>
        <v>Snapshot</v>
      </c>
      <c r="G34" s="31" t="str">
        <f>HYPERLINK("\\gdc-data\Team\Test Team\!Testing Details\Automation\Vikram\Vikram\SALT Automation Phase 2 - BACKUP\Projects\SALT\Snapshots\CheckRefundDashBoard_IN-MU-LT-J27180\2014711\1197\Iterator_1\Merge.html","Result")</f>
        <v>Result</v>
      </c>
      <c r="IW34" s="36">
        <v>41831.46466435185</v>
      </c>
      <c r="IX34" s="36">
        <v>41831.466400462959</v>
      </c>
      <c r="IY34" s="29" t="s">
        <v>1155</v>
      </c>
      <c r="IZ34" s="29" t="s">
        <v>443</v>
      </c>
      <c r="JI34" s="81" t="s">
        <v>443</v>
      </c>
      <c r="JJ34" s="56" t="s">
        <v>310</v>
      </c>
      <c r="JK34" s="29">
        <v>3</v>
      </c>
      <c r="JL34" s="87" t="s">
        <v>159</v>
      </c>
      <c r="JM34" s="30" t="s">
        <v>199</v>
      </c>
      <c r="JO34" s="29" t="s">
        <v>1123</v>
      </c>
      <c r="LX34" s="29" t="s">
        <v>58</v>
      </c>
      <c r="LY34" s="29" t="s">
        <v>96</v>
      </c>
      <c r="LZ34" s="29" t="s">
        <v>22</v>
      </c>
    </row>
    <row r="35" spans="1:338" hidden="1" x14ac:dyDescent="0.25">
      <c r="B35" s="61">
        <v>1</v>
      </c>
      <c r="C35" s="50" t="s">
        <v>209</v>
      </c>
      <c r="D35" s="29" t="s">
        <v>1120</v>
      </c>
      <c r="E35" s="126" t="s">
        <v>1116</v>
      </c>
      <c r="F35" s="31" t="str">
        <f>HYPERLINK("\\gdc-data\Team\Test Team\!Testing Details\Automation\Vikram\Vikram\SALT Automation Phase 2 - BACKUP\Projects\SALT\Snapshots\RefundCancellation_IN-MU-LT-J27180\2014711\111141\Iterator_1\RefundCancellation1.xlsx","Snapshot")</f>
        <v>Snapshot</v>
      </c>
      <c r="G35" s="31" t="str">
        <f>HYPERLINK("\\gdc-data\Team\Test Team\!Testing Details\Automation\Vikram\Vikram\SALT Automation Phase 2 - BACKUP\Projects\SALT\Snapshots\RefundCancellation_IN-MU-LT-J27180\2014711\111141\Iterator_1\Merge.html","Result")</f>
        <v>Result</v>
      </c>
      <c r="IN35" s="126" t="s">
        <v>1085</v>
      </c>
      <c r="IO35" s="126" t="s">
        <v>1086</v>
      </c>
      <c r="IP35" s="126" t="s">
        <v>1086</v>
      </c>
      <c r="IQ35" s="30" t="s">
        <v>851</v>
      </c>
      <c r="IW35" s="36">
        <v>41831.466446759259</v>
      </c>
      <c r="IX35" s="36">
        <v>41831.469039351854</v>
      </c>
      <c r="IY35" s="29" t="s">
        <v>1156</v>
      </c>
      <c r="IZ35" s="81" t="s">
        <v>443</v>
      </c>
      <c r="JI35" s="81" t="s">
        <v>443</v>
      </c>
      <c r="JJ35" s="56" t="s">
        <v>310</v>
      </c>
      <c r="JK35" s="29">
        <v>3</v>
      </c>
      <c r="JL35" s="67" t="s">
        <v>159</v>
      </c>
      <c r="JM35" s="30" t="s">
        <v>199</v>
      </c>
      <c r="JO35" s="29" t="s">
        <v>1123</v>
      </c>
      <c r="LX35" s="29" t="s">
        <v>58</v>
      </c>
      <c r="LY35" s="29" t="s">
        <v>96</v>
      </c>
      <c r="LZ35" s="29" t="s">
        <v>22</v>
      </c>
    </row>
    <row r="36" spans="1:338" ht="30" hidden="1" x14ac:dyDescent="0.25">
      <c r="B36" s="61">
        <v>1</v>
      </c>
      <c r="C36" s="50" t="s">
        <v>212</v>
      </c>
      <c r="D36" s="29" t="s">
        <v>1120</v>
      </c>
      <c r="E36" s="126" t="s">
        <v>1116</v>
      </c>
      <c r="F36" s="31" t="str">
        <f>HYPERLINK("\\gdc-data\Team\Test Team\!Testing Details\Automation\Vikram\Vikram\SALT Automation Phase 2 - BACKUP\Projects\SALT\Snapshots\CheckOrdersToPack_IN-MU-LT-J27180\2014711\111531\Iterator_1\CheckOrdersToPack1.xlsx","Snapshot")</f>
        <v>Snapshot</v>
      </c>
      <c r="G36" s="31" t="str">
        <f>HYPERLINK("\\gdc-data\Team\Test Team\!Testing Details\Automation\Vikram\Vikram\SALT Automation Phase 2 - BACKUP\Projects\SALT\Snapshots\CheckOrdersToPack_IN-MU-LT-J27180\2014711\111531\Iterator_1\Merge.html","Result")</f>
        <v>Result</v>
      </c>
      <c r="EJ36" s="89" t="s">
        <v>1068</v>
      </c>
      <c r="EK36" s="89" t="s">
        <v>1069</v>
      </c>
      <c r="IT36" s="126" t="s">
        <v>1034</v>
      </c>
      <c r="IW36" s="36">
        <v>41831.469108796293</v>
      </c>
      <c r="IX36" s="36">
        <v>41831.472638888888</v>
      </c>
      <c r="IY36" s="29" t="s">
        <v>1157</v>
      </c>
      <c r="IZ36" s="29" t="s">
        <v>443</v>
      </c>
      <c r="JI36" s="81" t="s">
        <v>443</v>
      </c>
      <c r="JJ36" s="56" t="s">
        <v>310</v>
      </c>
      <c r="JK36" s="125">
        <v>4</v>
      </c>
      <c r="JL36" s="125" t="s">
        <v>159</v>
      </c>
      <c r="JM36" s="125" t="s">
        <v>199</v>
      </c>
      <c r="JO36" s="29" t="s">
        <v>1125</v>
      </c>
      <c r="LX36" s="29" t="s">
        <v>58</v>
      </c>
      <c r="LY36" s="29" t="s">
        <v>96</v>
      </c>
      <c r="LZ36" s="29" t="s">
        <v>22</v>
      </c>
    </row>
    <row r="37" spans="1:338" hidden="1" x14ac:dyDescent="0.25">
      <c r="B37" s="61">
        <v>1</v>
      </c>
      <c r="C37" s="50" t="s">
        <v>213</v>
      </c>
      <c r="D37" s="29" t="s">
        <v>1120</v>
      </c>
      <c r="E37" s="29" t="s">
        <v>1116</v>
      </c>
      <c r="F37" s="31" t="str">
        <f>HYPERLINK("C:\RaviK\SVN_Admin_NewTask\Projects\SALT\Snapshots\CheckOrdersToPickUp_IN-MU-LT-J27116\2015514\125745\Iterator_1\CheckOrdersToPickUp1.xlsx","Snapshot")</f>
        <v>Snapshot</v>
      </c>
      <c r="G37" s="31" t="str">
        <f>HYPERLINK("C:\RaviK\SVN_Admin_NewTask\Projects\SALT\Snapshots\CheckOrdersToPickUp_IN-MU-LT-J27116\2015514\125745\Iterator_1\Merge.html","Result")</f>
        <v>Result</v>
      </c>
      <c r="IR37" s="29" t="s">
        <v>1399</v>
      </c>
      <c r="IS37" s="126" t="s">
        <v>1042</v>
      </c>
      <c r="IT37" s="126" t="s">
        <v>1034</v>
      </c>
      <c r="IW37" s="36">
        <v>42138.54010416667</v>
      </c>
      <c r="IX37" s="36">
        <v>42138.54247685185</v>
      </c>
      <c r="IY37" s="29" t="s">
        <v>1465</v>
      </c>
      <c r="JI37" s="81" t="s">
        <v>443</v>
      </c>
      <c r="JJ37" s="56" t="s">
        <v>215</v>
      </c>
      <c r="JK37" s="29">
        <v>1</v>
      </c>
      <c r="JL37" s="125" t="s">
        <v>199</v>
      </c>
      <c r="JM37" s="29" t="s">
        <v>199</v>
      </c>
      <c r="JO37" t="s">
        <v>1461</v>
      </c>
      <c r="LX37" s="29" t="s">
        <v>58</v>
      </c>
      <c r="LY37" s="29" t="s">
        <v>96</v>
      </c>
      <c r="LZ37" s="29" t="s">
        <v>22</v>
      </c>
    </row>
    <row r="38" spans="1:338" hidden="1" x14ac:dyDescent="0.25">
      <c r="B38" s="61">
        <v>1</v>
      </c>
      <c r="C38" s="50" t="s">
        <v>214</v>
      </c>
      <c r="D38" s="29" t="s">
        <v>1158</v>
      </c>
      <c r="E38" s="29" t="s">
        <v>1116</v>
      </c>
      <c r="F38" s="31" t="str">
        <f>HYPERLINK("C:\RaviK\SVN_Admin_NewTask\Projects\SALT\Snapshots\CheckOrdersToUnpack_IN-MU-LT-J27116\2015511\175736\Iterator_1\CheckOrdersToUnpack1.xlsx","Snapshot")</f>
        <v>Snapshot</v>
      </c>
      <c r="G38" s="31" t="str">
        <f>HYPERLINK("C:\RaviK\SVN_Admin_NewTask\Projects\SALT\Snapshots\CheckOrdersToUnpack_IN-MU-LT-J27116\2015511\175736\Iterator_1\Merge.html","Result")</f>
        <v>Result</v>
      </c>
      <c r="IT38" s="30" t="s">
        <v>1034</v>
      </c>
      <c r="IU38" s="29" t="s">
        <v>466</v>
      </c>
      <c r="IV38" s="29" t="s">
        <v>466</v>
      </c>
      <c r="IW38" s="36">
        <v>42135.748344907406</v>
      </c>
      <c r="IX38" s="36">
        <v>42135.753900462965</v>
      </c>
      <c r="IY38" s="29" t="s">
        <v>1416</v>
      </c>
      <c r="IZ38" s="81" t="s">
        <v>443</v>
      </c>
      <c r="JI38" s="81" t="s">
        <v>443</v>
      </c>
      <c r="JJ38" s="88" t="s">
        <v>310</v>
      </c>
      <c r="JK38" s="29">
        <v>23</v>
      </c>
      <c r="JL38" s="29" t="s">
        <v>159</v>
      </c>
      <c r="JM38" s="29" t="s">
        <v>199</v>
      </c>
      <c r="JO38" s="204" t="s">
        <v>1415</v>
      </c>
      <c r="LX38" s="29" t="s">
        <v>58</v>
      </c>
      <c r="LY38" s="29" t="s">
        <v>96</v>
      </c>
      <c r="LZ38" s="29" t="s">
        <v>22</v>
      </c>
    </row>
    <row r="39" spans="1:338" hidden="1" x14ac:dyDescent="0.25">
      <c r="B39" s="61">
        <v>1</v>
      </c>
      <c r="C39" s="50" t="s">
        <v>215</v>
      </c>
      <c r="D39" s="29" t="s">
        <v>1158</v>
      </c>
      <c r="E39" s="30" t="s">
        <v>1116</v>
      </c>
      <c r="F39" s="31" t="str">
        <f>HYPERLINK("C:\RaviK\SVN_Admin_NewTask\Projects\SALT\Snapshots\StorePackCashOrder_IN-MU-LT-J27116\2015513\22362\Iterator_1\StorePackCashOrder1.xlsx","Snapshot")</f>
        <v>Snapshot</v>
      </c>
      <c r="G39" s="31" t="str">
        <f>HYPERLINK("C:\RaviK\SVN_Admin_NewTask\Projects\SALT\Snapshots\StorePackCashOrder_IN-MU-LT-J27116\2015513\22362\Iterator_1\Merge.html","Result")</f>
        <v>Result</v>
      </c>
      <c r="IT39" s="126" t="s">
        <v>1034</v>
      </c>
      <c r="IU39" s="126" t="s">
        <v>1093</v>
      </c>
      <c r="IV39" s="29" t="s">
        <v>466</v>
      </c>
      <c r="IW39" s="36">
        <v>42137.941689814812</v>
      </c>
      <c r="IX39" s="36">
        <v>42138.537233796298</v>
      </c>
      <c r="IY39" s="29" t="s">
        <v>1462</v>
      </c>
      <c r="JI39" s="81" t="s">
        <v>443</v>
      </c>
      <c r="JJ39" s="87" t="s">
        <v>310</v>
      </c>
      <c r="JK39" s="29">
        <v>4</v>
      </c>
      <c r="JL39" s="29" t="s">
        <v>159</v>
      </c>
      <c r="JM39" s="29" t="s">
        <v>199</v>
      </c>
      <c r="JO39" s="29" t="s">
        <v>1461</v>
      </c>
      <c r="LX39" s="29" t="s">
        <v>58</v>
      </c>
      <c r="LY39" s="29" t="s">
        <v>96</v>
      </c>
      <c r="LZ39" s="29" t="s">
        <v>22</v>
      </c>
    </row>
    <row r="40" spans="1:338" hidden="1" x14ac:dyDescent="0.25">
      <c r="B40" s="61">
        <v>1</v>
      </c>
      <c r="C40" s="50" t="s">
        <v>216</v>
      </c>
      <c r="E40" s="30"/>
      <c r="F40" s="31"/>
      <c r="G40" s="31"/>
      <c r="IT40" s="126" t="s">
        <v>1034</v>
      </c>
      <c r="IU40" s="126" t="s">
        <v>1094</v>
      </c>
      <c r="IV40" s="29" t="s">
        <v>466</v>
      </c>
      <c r="IW40" s="36">
        <v>42135.952164351853</v>
      </c>
      <c r="IX40" s="36">
        <v>42135.95480324074</v>
      </c>
      <c r="IY40" s="29" t="s">
        <v>1424</v>
      </c>
      <c r="JI40" s="81" t="s">
        <v>443</v>
      </c>
      <c r="JJ40" s="62" t="s">
        <v>310</v>
      </c>
      <c r="JK40" s="29">
        <v>5</v>
      </c>
      <c r="JL40" s="29" t="s">
        <v>159</v>
      </c>
      <c r="JM40" s="29" t="s">
        <v>199</v>
      </c>
      <c r="JO40" s="29" t="s">
        <v>1423</v>
      </c>
      <c r="LX40" s="29" t="s">
        <v>58</v>
      </c>
      <c r="LY40" s="29" t="s">
        <v>96</v>
      </c>
      <c r="LZ40" s="29" t="s">
        <v>22</v>
      </c>
    </row>
    <row r="41" spans="1:338" ht="120" hidden="1" x14ac:dyDescent="0.25">
      <c r="B41" s="61">
        <v>1</v>
      </c>
      <c r="C41" s="206" t="s">
        <v>217</v>
      </c>
      <c r="D41" s="29" t="s">
        <v>1158</v>
      </c>
      <c r="E41" s="126" t="s">
        <v>1404</v>
      </c>
      <c r="F41" s="31" t="str">
        <f>HYPERLINK("C:\RaviK\SVN_Admin_NewTask\Projects\SALT\Snapshots\StoreDayEndOrdersPackedInSafe_IN-MU-LT-J27116\201559\17441\Iterator_1\StoreDayEndOrdersPackedInSafe1.xlsx","Snapshot")</f>
        <v>Snapshot</v>
      </c>
      <c r="G41" s="31" t="str">
        <f>HYPERLINK("C:\RaviK\SVN_Admin_NewTask\Projects\SALT\Snapshots\StoreDayEndOrdersPackedInSafe_IN-MU-LT-J27116\201559\17441\Iterator_1\Merge.html","Result")</f>
        <v>Result</v>
      </c>
      <c r="HB41" t="s">
        <v>1402</v>
      </c>
      <c r="HC41" s="89">
        <v>41806</v>
      </c>
      <c r="HE41" t="s">
        <v>1403</v>
      </c>
      <c r="HF41" s="205">
        <v>1183.0999999999999</v>
      </c>
      <c r="IT41" s="30" t="s">
        <v>1034</v>
      </c>
      <c r="IW41" s="36">
        <v>42133.711585648147</v>
      </c>
      <c r="IX41" s="36">
        <v>42133.713761574072</v>
      </c>
      <c r="IY41" s="29" t="s">
        <v>1405</v>
      </c>
      <c r="IZ41" s="29" t="s">
        <v>1062</v>
      </c>
      <c r="JI41" s="81" t="s">
        <v>443</v>
      </c>
      <c r="JJ41" s="159" t="s">
        <v>215</v>
      </c>
      <c r="JK41" s="125">
        <v>1</v>
      </c>
      <c r="JL41" s="45" t="s">
        <v>1077</v>
      </c>
      <c r="JM41" s="45" t="s">
        <v>1077</v>
      </c>
      <c r="JO41" t="s">
        <v>1207</v>
      </c>
      <c r="LU41" s="126" t="s">
        <v>443</v>
      </c>
      <c r="LX41" s="29" t="s">
        <v>58</v>
      </c>
      <c r="LY41" s="29" t="s">
        <v>96</v>
      </c>
      <c r="LZ41" s="29" t="s">
        <v>22</v>
      </c>
    </row>
    <row r="42" spans="1:338" hidden="1" x14ac:dyDescent="0.25">
      <c r="B42" s="61">
        <v>1</v>
      </c>
      <c r="C42" s="206" t="s">
        <v>218</v>
      </c>
      <c r="D42" s="29" t="s">
        <v>1120</v>
      </c>
      <c r="E42" s="126" t="s">
        <v>1116</v>
      </c>
      <c r="F42" s="31" t="str">
        <f>HYPERLINK("C:\RaviK\SVN_Admin_NewTask\Projects\SALT\Snapshots\StoreDayEndOrdersCompleted_IN-MU-LT-J27116\201559\17751\Iterator_1\StoreDayEndOrdersCompleted1.xlsx","Snapshot")</f>
        <v>Snapshot</v>
      </c>
      <c r="G42" s="31" t="str">
        <f>HYPERLINK("C:\RaviK\SVN_Admin_NewTask\Projects\SALT\Snapshots\StoreDayEndOrdersCompleted_IN-MU-LT-J27116\201559\17751\Iterator_1\Merge.html","Result")</f>
        <v>Result</v>
      </c>
      <c r="HC42" s="36">
        <v>41831.68472222222</v>
      </c>
      <c r="HG42" s="29" t="s">
        <v>79</v>
      </c>
      <c r="HH42" s="29" t="s">
        <v>84</v>
      </c>
      <c r="HI42" s="54">
        <v>1000</v>
      </c>
      <c r="HJ42" s="54">
        <v>1124.99</v>
      </c>
      <c r="IT42" s="30" t="s">
        <v>1057</v>
      </c>
      <c r="IW42" s="36">
        <v>42133.713784722226</v>
      </c>
      <c r="IX42" s="36">
        <v>42133.715358796297</v>
      </c>
      <c r="IY42" s="29" t="s">
        <v>1406</v>
      </c>
      <c r="IZ42" s="29" t="s">
        <v>443</v>
      </c>
      <c r="JI42" s="81" t="s">
        <v>443</v>
      </c>
      <c r="JJ42" s="29" t="s">
        <v>310</v>
      </c>
      <c r="JK42" s="29">
        <v>6</v>
      </c>
      <c r="JL42" s="29" t="s">
        <v>159</v>
      </c>
      <c r="JM42" s="29" t="s">
        <v>199</v>
      </c>
      <c r="JO42" s="29" t="s">
        <v>1129</v>
      </c>
      <c r="LX42" s="29" t="s">
        <v>58</v>
      </c>
      <c r="LY42" s="29" t="s">
        <v>96</v>
      </c>
      <c r="LZ42" s="29" t="s">
        <v>22</v>
      </c>
    </row>
    <row r="43" spans="1:338" hidden="1" x14ac:dyDescent="0.25">
      <c r="B43" s="61">
        <v>1</v>
      </c>
      <c r="C43" s="50" t="s">
        <v>219</v>
      </c>
      <c r="D43" s="29" t="s">
        <v>1158</v>
      </c>
      <c r="E43" s="29" t="s">
        <v>1116</v>
      </c>
      <c r="F43" s="31" t="str">
        <f>HYPERLINK("C:\RaviK\SVN_Admin_NewTask\Projects\SALT\Snapshots\PickUpCashOrder_IN-MU-LT-J27116\201559\19713\Iterator_1\PickUpCashOrder1.xlsx","Snapshot")</f>
        <v>Snapshot</v>
      </c>
      <c r="G43" s="31" t="str">
        <f>HYPERLINK("C:\RaviK\SVN_Admin_NewTask\Projects\SALT\Snapshots\PickUpCashOrder_IN-MU-LT-J27116\201559\19713\Iterator_1\Merge.html","Result")</f>
        <v>Result</v>
      </c>
      <c r="IT43" s="30" t="s">
        <v>1409</v>
      </c>
      <c r="IU43" s="126" t="s">
        <v>1094</v>
      </c>
      <c r="IV43" s="126" t="s">
        <v>1094</v>
      </c>
      <c r="IW43" s="36">
        <v>42133.796678240738</v>
      </c>
      <c r="IX43" s="36">
        <v>42133.800057870372</v>
      </c>
      <c r="IY43" s="29" t="s">
        <v>1412</v>
      </c>
      <c r="JI43" s="81" t="s">
        <v>443</v>
      </c>
      <c r="JJ43" s="62" t="s">
        <v>310</v>
      </c>
      <c r="JK43" s="29">
        <v>6</v>
      </c>
      <c r="JL43" s="30" t="s">
        <v>159</v>
      </c>
      <c r="JM43" s="30" t="s">
        <v>199</v>
      </c>
      <c r="JO43" s="204" t="s">
        <v>1408</v>
      </c>
      <c r="LX43" s="29" t="s">
        <v>58</v>
      </c>
      <c r="LY43" s="29" t="s">
        <v>96</v>
      </c>
      <c r="LZ43" s="29" t="s">
        <v>22</v>
      </c>
    </row>
    <row r="44" spans="1:338" ht="225" hidden="1" x14ac:dyDescent="0.25">
      <c r="B44" s="61">
        <v>1</v>
      </c>
      <c r="C44" s="50" t="s">
        <v>220</v>
      </c>
      <c r="D44" s="29" t="s">
        <v>1158</v>
      </c>
      <c r="E44" s="126" t="s">
        <v>1411</v>
      </c>
      <c r="F44" s="31" t="str">
        <f>HYPERLINK("C:\RaviK\SVN_Admin_NewTask\Projects\SALT\Snapshots\PickUpCashPassportOrder_IN-MU-LT-J27116\201559\19127\Iterator_1\PickUpCashPassportOrder1.xlsx","Snapshot")</f>
        <v>Snapshot</v>
      </c>
      <c r="G44" s="31" t="str">
        <f>HYPERLINK("C:\RaviK\SVN_Admin_NewTask\Projects\SALT\Snapshots\PickUpCashPassportOrder_IN-MU-LT-J27116\201559\19127\Iterator_1\Merge.html","Result")</f>
        <v>Result</v>
      </c>
      <c r="IT44" s="30" t="s">
        <v>1039</v>
      </c>
      <c r="IU44" s="126" t="s">
        <v>1094</v>
      </c>
      <c r="IV44" s="126" t="s">
        <v>1094</v>
      </c>
      <c r="IW44" s="36">
        <v>42133.800081018519</v>
      </c>
      <c r="IX44" s="36">
        <v>42133.804918981485</v>
      </c>
      <c r="IY44" s="29" t="s">
        <v>1413</v>
      </c>
      <c r="JI44" s="81" t="s">
        <v>443</v>
      </c>
      <c r="JJ44" s="62" t="s">
        <v>310</v>
      </c>
      <c r="JK44" s="29">
        <v>7</v>
      </c>
      <c r="JL44" s="29" t="s">
        <v>159</v>
      </c>
      <c r="JM44" s="29" t="s">
        <v>199</v>
      </c>
      <c r="JO44" s="29" t="s">
        <v>1131</v>
      </c>
      <c r="LX44" s="29" t="s">
        <v>58</v>
      </c>
      <c r="LY44" s="29" t="s">
        <v>96</v>
      </c>
      <c r="LZ44" s="29" t="s">
        <v>22</v>
      </c>
    </row>
    <row r="45" spans="1:338" hidden="1" x14ac:dyDescent="0.25">
      <c r="B45" s="61">
        <v>1</v>
      </c>
      <c r="C45" s="50" t="s">
        <v>221</v>
      </c>
      <c r="E45" s="126"/>
      <c r="F45" s="31"/>
      <c r="G45" s="31"/>
      <c r="IT45" s="30"/>
      <c r="IU45" s="29" t="s">
        <v>466</v>
      </c>
      <c r="IV45" s="29" t="s">
        <v>466</v>
      </c>
      <c r="IW45" s="36">
        <v>42135.790416666663</v>
      </c>
      <c r="IX45" s="36">
        <v>42135.799490740741</v>
      </c>
      <c r="IY45" s="29" t="s">
        <v>1418</v>
      </c>
      <c r="JI45" s="81" t="s">
        <v>443</v>
      </c>
      <c r="JJ45" s="62" t="s">
        <v>310</v>
      </c>
      <c r="JK45" s="29">
        <v>8</v>
      </c>
      <c r="JL45" s="29" t="s">
        <v>159</v>
      </c>
      <c r="JM45" s="29" t="s">
        <v>199</v>
      </c>
      <c r="JO45" s="126" t="s">
        <v>1417</v>
      </c>
      <c r="LX45" s="29" t="s">
        <v>58</v>
      </c>
      <c r="LY45" s="29" t="s">
        <v>96</v>
      </c>
      <c r="LZ45" s="29" t="s">
        <v>22</v>
      </c>
    </row>
    <row r="46" spans="1:338" hidden="1" x14ac:dyDescent="0.25">
      <c r="B46" s="61">
        <v>1</v>
      </c>
      <c r="C46" s="50" t="s">
        <v>222</v>
      </c>
      <c r="F46" s="31"/>
      <c r="G46" s="31"/>
      <c r="IW46" s="36">
        <v>42135.820659722223</v>
      </c>
      <c r="IX46" s="36">
        <v>42135.821157407408</v>
      </c>
      <c r="IY46" s="29" t="s">
        <v>1421</v>
      </c>
      <c r="JI46" s="81" t="s">
        <v>443</v>
      </c>
      <c r="JJ46" s="62" t="s">
        <v>310</v>
      </c>
      <c r="JK46" s="29">
        <v>9</v>
      </c>
      <c r="JL46" s="29" t="s">
        <v>159</v>
      </c>
      <c r="JM46" s="29" t="s">
        <v>199</v>
      </c>
      <c r="JO46" s="204" t="s">
        <v>1134</v>
      </c>
      <c r="LX46" s="29" t="s">
        <v>58</v>
      </c>
      <c r="LY46" s="29" t="s">
        <v>96</v>
      </c>
      <c r="LZ46" s="29" t="s">
        <v>22</v>
      </c>
    </row>
    <row r="47" spans="1:338" hidden="1" x14ac:dyDescent="0.25">
      <c r="B47" s="61">
        <v>1</v>
      </c>
      <c r="C47" s="50" t="s">
        <v>223</v>
      </c>
      <c r="F47" s="31"/>
      <c r="G47" s="31"/>
      <c r="IW47" s="36">
        <v>41725.412951388891</v>
      </c>
      <c r="IX47" s="36">
        <v>41725.413101851853</v>
      </c>
      <c r="IY47" s="29" t="s">
        <v>785</v>
      </c>
      <c r="JI47" s="81" t="s">
        <v>443</v>
      </c>
      <c r="LX47" s="29" t="s">
        <v>58</v>
      </c>
      <c r="LY47" s="29" t="s">
        <v>96</v>
      </c>
      <c r="LZ47" s="29" t="s">
        <v>22</v>
      </c>
    </row>
    <row r="48" spans="1:338" hidden="1" x14ac:dyDescent="0.25">
      <c r="B48" s="61">
        <v>1</v>
      </c>
      <c r="C48" s="50" t="s">
        <v>308</v>
      </c>
      <c r="D48" s="29" t="s">
        <v>1120</v>
      </c>
      <c r="E48" s="126" t="s">
        <v>1116</v>
      </c>
      <c r="F48" s="31" t="str">
        <f>HYPERLINK("C:\RaviK\SVN_Admin_NewTask\Projects\SALT\Snapshots\CallCenter_SubmitNewOrder_IN-MU-LT-J27116\2015512\22426\Iterator_1\CallCenter_SubmitNewOrder1.xlsx","Snapshot")</f>
        <v>Snapshot</v>
      </c>
      <c r="G48" s="31" t="str">
        <f>HYPERLINK("C:\RaviK\SVN_Admin_NewTask\Projects\SALT\Snapshots\CallCenter_SubmitNewOrder_IN-MU-LT-J27116\2015512\22426\Iterator_1\Merge.html","Result")</f>
        <v>Result</v>
      </c>
      <c r="U48" s="30"/>
      <c r="Y48" s="29" t="s">
        <v>454</v>
      </c>
      <c r="CP48" s="42" t="s">
        <v>787</v>
      </c>
      <c r="EH48" s="29" t="s">
        <v>454</v>
      </c>
      <c r="IF48" s="42" t="s">
        <v>494</v>
      </c>
      <c r="IG48" s="29">
        <v>29</v>
      </c>
      <c r="IH48" s="29">
        <v>2037</v>
      </c>
      <c r="II48" s="42" t="s">
        <v>494</v>
      </c>
      <c r="IJ48" s="30" t="s">
        <v>444</v>
      </c>
      <c r="IK48" s="29">
        <v>1986</v>
      </c>
      <c r="IW48" s="36">
        <v>42136.919745370367</v>
      </c>
      <c r="IX48" s="36">
        <v>42136.924074074072</v>
      </c>
      <c r="IY48" s="29" t="s">
        <v>834</v>
      </c>
      <c r="IZ48" s="29" t="s">
        <v>443</v>
      </c>
      <c r="JI48" s="29" t="s">
        <v>443</v>
      </c>
      <c r="JV48" s="29" t="s">
        <v>450</v>
      </c>
      <c r="JW48" s="29" t="s">
        <v>437</v>
      </c>
      <c r="JX48" s="29" t="s">
        <v>438</v>
      </c>
      <c r="JY48" s="29" t="s">
        <v>825</v>
      </c>
      <c r="KB48" s="91">
        <v>41733</v>
      </c>
      <c r="KC48" s="29" t="s">
        <v>788</v>
      </c>
      <c r="KE48" s="29" t="s">
        <v>778</v>
      </c>
      <c r="KF48" s="29" t="s">
        <v>439</v>
      </c>
      <c r="KG48" s="29" t="s">
        <v>294</v>
      </c>
      <c r="KH48" s="29" t="s">
        <v>459</v>
      </c>
      <c r="KI48" s="29" t="s">
        <v>294</v>
      </c>
      <c r="KJ48" s="30" t="s">
        <v>444</v>
      </c>
      <c r="KK48" s="42" t="s">
        <v>494</v>
      </c>
      <c r="KL48" s="29">
        <v>1986</v>
      </c>
      <c r="KM48" s="29" t="s">
        <v>78</v>
      </c>
      <c r="KN48" s="30" t="s">
        <v>443</v>
      </c>
      <c r="KO48" s="29" t="b">
        <v>1</v>
      </c>
      <c r="KP48" s="29">
        <v>123456</v>
      </c>
      <c r="KQ48" s="125">
        <v>123456</v>
      </c>
      <c r="KR48" s="29">
        <v>11</v>
      </c>
      <c r="KS48" s="29" t="s">
        <v>461</v>
      </c>
      <c r="KT48" s="29">
        <v>2041</v>
      </c>
      <c r="KU48" s="29" t="s">
        <v>462</v>
      </c>
      <c r="KV48" s="30" t="s">
        <v>532</v>
      </c>
      <c r="KW48" s="30" t="s">
        <v>532</v>
      </c>
      <c r="KX48" s="126" t="s">
        <v>809</v>
      </c>
      <c r="KY48" s="30" t="s">
        <v>809</v>
      </c>
      <c r="KZ48" s="29" t="s">
        <v>463</v>
      </c>
      <c r="LA48" s="29" t="s">
        <v>533</v>
      </c>
      <c r="LB48" s="29" t="s">
        <v>533</v>
      </c>
      <c r="LC48" s="29">
        <v>4812</v>
      </c>
      <c r="LD48" s="30" t="s">
        <v>699</v>
      </c>
      <c r="LE48" s="30" t="s">
        <v>453</v>
      </c>
      <c r="LF48" s="30" t="s">
        <v>195</v>
      </c>
      <c r="LG48" s="29" t="s">
        <v>458</v>
      </c>
      <c r="LH48" s="29" t="s">
        <v>460</v>
      </c>
      <c r="LI48" s="29">
        <v>108</v>
      </c>
      <c r="LJ48" s="29">
        <v>10</v>
      </c>
      <c r="LK48" s="29">
        <v>2021</v>
      </c>
      <c r="LL48" s="30" t="b">
        <v>1</v>
      </c>
      <c r="LM48" s="29" t="s">
        <v>454</v>
      </c>
      <c r="LN48" s="30" t="s">
        <v>521</v>
      </c>
      <c r="LO48" s="30" t="s">
        <v>521</v>
      </c>
      <c r="LP48" s="30" t="s">
        <v>521</v>
      </c>
      <c r="LQ48" s="30">
        <v>4569</v>
      </c>
      <c r="LR48" s="30" t="b">
        <v>0</v>
      </c>
      <c r="LS48" s="30" t="b">
        <v>1</v>
      </c>
      <c r="LT48" s="54">
        <v>520.02</v>
      </c>
      <c r="LV48" s="29" t="s">
        <v>1444</v>
      </c>
      <c r="LX48" s="29" t="s">
        <v>58</v>
      </c>
      <c r="LY48" s="90" t="s">
        <v>96</v>
      </c>
      <c r="LZ48" s="29" t="s">
        <v>22</v>
      </c>
    </row>
    <row r="49" spans="2:338" ht="409.5" hidden="1" x14ac:dyDescent="0.25">
      <c r="B49" s="61">
        <v>1</v>
      </c>
      <c r="C49" s="50" t="s">
        <v>309</v>
      </c>
      <c r="D49" s="29" t="s">
        <v>1192</v>
      </c>
      <c r="E49" s="126" t="s">
        <v>1448</v>
      </c>
      <c r="F49" s="31" t="s">
        <v>1447</v>
      </c>
      <c r="G49" s="31"/>
      <c r="IA49" s="29" t="s">
        <v>440</v>
      </c>
      <c r="IB49" s="29" t="s">
        <v>78</v>
      </c>
      <c r="IC49" s="29" t="s">
        <v>443</v>
      </c>
      <c r="IE49" s="29">
        <v>258963</v>
      </c>
      <c r="IF49" s="29" t="s">
        <v>469</v>
      </c>
      <c r="IG49" s="29">
        <v>20</v>
      </c>
      <c r="IH49" s="29">
        <v>2019</v>
      </c>
      <c r="II49" s="29" t="s">
        <v>469</v>
      </c>
      <c r="IJ49" s="29">
        <v>20</v>
      </c>
      <c r="IK49" s="29">
        <v>1989</v>
      </c>
      <c r="IL49" s="29" t="s">
        <v>824</v>
      </c>
      <c r="IM49" s="29" t="s">
        <v>1047</v>
      </c>
      <c r="IT49" s="30" t="s">
        <v>1034</v>
      </c>
      <c r="IW49" s="36">
        <v>42137.636319444442</v>
      </c>
      <c r="IX49" s="36">
        <v>42137.645127314812</v>
      </c>
      <c r="IY49" s="29" t="s">
        <v>1446</v>
      </c>
      <c r="JI49" s="29" t="s">
        <v>443</v>
      </c>
      <c r="JJ49" s="62" t="s">
        <v>310</v>
      </c>
      <c r="JK49" s="29">
        <v>24</v>
      </c>
      <c r="JL49" s="30" t="s">
        <v>159</v>
      </c>
      <c r="JM49" s="30" t="s">
        <v>199</v>
      </c>
      <c r="JO49" s="29" t="s">
        <v>1445</v>
      </c>
      <c r="LX49" s="29" t="s">
        <v>58</v>
      </c>
      <c r="LY49" s="29" t="s">
        <v>96</v>
      </c>
      <c r="LZ49" s="29" t="s">
        <v>22</v>
      </c>
    </row>
    <row r="50" spans="2:338" hidden="1" x14ac:dyDescent="0.25">
      <c r="B50" s="61">
        <v>1</v>
      </c>
      <c r="C50" s="50" t="s">
        <v>352</v>
      </c>
      <c r="D50" s="29" t="s">
        <v>1120</v>
      </c>
      <c r="E50" s="30" t="s">
        <v>1116</v>
      </c>
      <c r="F50" s="31" t="str">
        <f>HYPERLINK("C:\RaviK\SVN_Admin_NewTask\Projects\SALT\Snapshots\FullPayment_IN-MU-LT-J27116\2015512\174526\Iterator_1\FullPayment1.xlsx","Snapshot")</f>
        <v>Snapshot</v>
      </c>
      <c r="G50" s="31" t="str">
        <f>HYPERLINK("C:\RaviK\SVN_Admin_NewTask\Projects\SALT\Snapshots\FullPayment_IN-MU-LT-J27116\2015512\174526\Iterator_1\Merge.html","Result")</f>
        <v>Result</v>
      </c>
      <c r="HY50" s="125" t="s">
        <v>527</v>
      </c>
      <c r="HZ50" s="29" t="s">
        <v>527</v>
      </c>
      <c r="IW50" s="36">
        <v>42136.739884259259</v>
      </c>
      <c r="IX50" s="36">
        <v>42136.741076388891</v>
      </c>
      <c r="IY50" s="29" t="s">
        <v>1433</v>
      </c>
      <c r="JI50" s="29" t="s">
        <v>443</v>
      </c>
      <c r="JJ50" s="30" t="s">
        <v>310</v>
      </c>
      <c r="JK50" s="29">
        <v>11</v>
      </c>
      <c r="JL50" s="30" t="s">
        <v>159</v>
      </c>
      <c r="JM50" s="30" t="s">
        <v>199</v>
      </c>
      <c r="JO50" s="29" t="s">
        <v>1425</v>
      </c>
      <c r="LX50" s="29" t="s">
        <v>58</v>
      </c>
      <c r="LY50" s="29" t="s">
        <v>96</v>
      </c>
      <c r="LZ50" s="29" t="s">
        <v>22</v>
      </c>
    </row>
    <row r="51" spans="2:338" ht="30" hidden="1" x14ac:dyDescent="0.25">
      <c r="B51" s="61">
        <v>1</v>
      </c>
      <c r="C51" s="50" t="s">
        <v>353</v>
      </c>
      <c r="D51" s="30" t="s">
        <v>1120</v>
      </c>
      <c r="E51" s="30" t="s">
        <v>1116</v>
      </c>
      <c r="F51" s="31" t="str">
        <f>HYPERLINK("C:\RaviK\SVN_Admin_NewTask\Projects\SALT\Snapshots\PartialPayment_IN-MU-LT-J27116\2015512\174714\Iterator_1\PartialPayment1.xlsx","Snapshot")</f>
        <v>Snapshot</v>
      </c>
      <c r="G51" s="31" t="str">
        <f>HYPERLINK("C:\RaviK\SVN_Admin_NewTask\Projects\SALT\Snapshots\PartialPayment_IN-MU-LT-J27116\2015512\174714\Iterator_1\Merge.html","Result")</f>
        <v>Result</v>
      </c>
      <c r="HY51" s="125" t="s">
        <v>528</v>
      </c>
      <c r="HZ51" s="29" t="s">
        <v>528</v>
      </c>
      <c r="IW51" s="36">
        <v>42136.74113425926</v>
      </c>
      <c r="IX51" s="36">
        <v>42136.741851851853</v>
      </c>
      <c r="IY51" s="29" t="s">
        <v>1434</v>
      </c>
      <c r="JI51" s="29" t="s">
        <v>443</v>
      </c>
      <c r="JJ51" s="29" t="s">
        <v>310</v>
      </c>
      <c r="JK51" s="29">
        <v>12</v>
      </c>
      <c r="JL51" s="29" t="s">
        <v>159</v>
      </c>
      <c r="JM51" s="29" t="s">
        <v>199</v>
      </c>
      <c r="JO51" s="29" t="s">
        <v>1428</v>
      </c>
      <c r="LX51" s="29" t="s">
        <v>58</v>
      </c>
      <c r="LY51" s="29" t="s">
        <v>96</v>
      </c>
      <c r="LZ51" s="29" t="s">
        <v>22</v>
      </c>
    </row>
    <row r="52" spans="2:338" ht="30" hidden="1" x14ac:dyDescent="0.25">
      <c r="B52" s="61">
        <v>1</v>
      </c>
      <c r="C52" s="50" t="s">
        <v>354</v>
      </c>
      <c r="D52" s="29" t="s">
        <v>1120</v>
      </c>
      <c r="E52" s="30" t="s">
        <v>1116</v>
      </c>
      <c r="F52" s="31" t="str">
        <f>HYPERLINK("C:\RaviK\SVN_Admin_NewTask\Projects\SALT\Snapshots\HigherPayment_IN-MU-LT-J27116\2015512\174818\Iterator_1\HigherPayment1.xlsx","Snapshot")</f>
        <v>Snapshot</v>
      </c>
      <c r="G52" s="31" t="str">
        <f>HYPERLINK("C:\RaviK\SVN_Admin_NewTask\Projects\SALT\Snapshots\HigherPayment_IN-MU-LT-J27116\2015512\174818\Iterator_1\Merge.html","Result")</f>
        <v>Result</v>
      </c>
      <c r="HY52" s="125" t="s">
        <v>529</v>
      </c>
      <c r="HZ52" s="29" t="s">
        <v>529</v>
      </c>
      <c r="IW52" s="36">
        <v>42136.741875</v>
      </c>
      <c r="IX52" s="36">
        <v>42136.742523148147</v>
      </c>
      <c r="IY52" s="29" t="s">
        <v>1435</v>
      </c>
      <c r="JI52" s="29" t="s">
        <v>443</v>
      </c>
      <c r="JJ52" s="30" t="s">
        <v>310</v>
      </c>
      <c r="JK52" s="29">
        <v>13</v>
      </c>
      <c r="JL52" s="29" t="s">
        <v>159</v>
      </c>
      <c r="JM52" s="29" t="s">
        <v>199</v>
      </c>
      <c r="JO52" s="29" t="s">
        <v>1430</v>
      </c>
      <c r="LX52" s="29" t="s">
        <v>58</v>
      </c>
      <c r="LY52" s="29" t="s">
        <v>96</v>
      </c>
      <c r="LZ52" s="29" t="s">
        <v>22</v>
      </c>
    </row>
    <row r="53" spans="2:338" ht="30" hidden="1" x14ac:dyDescent="0.25">
      <c r="B53" s="61">
        <v>1</v>
      </c>
      <c r="C53" s="50" t="s">
        <v>355</v>
      </c>
      <c r="D53" s="125" t="s">
        <v>1120</v>
      </c>
      <c r="E53" s="126" t="s">
        <v>1116</v>
      </c>
      <c r="F53" s="31" t="str">
        <f>HYPERLINK("C:\RaviK\SVN_Admin_NewTask\Projects\SALT\Snapshots\IgnorePayment_IN-MU-LT-J27116\2015512\174916\Iterator_1\IgnorePayment1.xlsx","Snapshot")</f>
        <v>Snapshot</v>
      </c>
      <c r="G53" s="31" t="str">
        <f>HYPERLINK("C:\RaviK\SVN_Admin_NewTask\Projects\SALT\Snapshots\IgnorePayment_IN-MU-LT-J27116\2015512\174916\Iterator_1\Merge.html","Result")</f>
        <v>Result</v>
      </c>
      <c r="HY53" s="125" t="s">
        <v>740</v>
      </c>
      <c r="HZ53" s="29" t="s">
        <v>740</v>
      </c>
      <c r="IW53" s="36">
        <v>42136.742546296293</v>
      </c>
      <c r="IX53" s="36">
        <v>42136.743287037039</v>
      </c>
      <c r="IY53" s="29" t="s">
        <v>1436</v>
      </c>
      <c r="JI53" s="29" t="s">
        <v>443</v>
      </c>
      <c r="JJ53" s="29" t="s">
        <v>310</v>
      </c>
      <c r="JK53" s="29">
        <v>14</v>
      </c>
      <c r="JL53" s="29" t="s">
        <v>159</v>
      </c>
      <c r="JM53" s="29" t="s">
        <v>199</v>
      </c>
      <c r="JO53" s="125" t="s">
        <v>1432</v>
      </c>
      <c r="LX53" s="29" t="s">
        <v>58</v>
      </c>
      <c r="LY53" s="29" t="s">
        <v>96</v>
      </c>
      <c r="LZ53" s="29" t="s">
        <v>22</v>
      </c>
    </row>
    <row r="54" spans="2:338" ht="51" hidden="1" x14ac:dyDescent="0.25">
      <c r="B54" s="44">
        <v>1</v>
      </c>
      <c r="C54" s="50" t="s">
        <v>800</v>
      </c>
      <c r="E54" s="30"/>
      <c r="F54" s="57"/>
      <c r="G54" s="31"/>
      <c r="M54" s="29" t="s">
        <v>442</v>
      </c>
      <c r="N54" s="29">
        <v>2</v>
      </c>
      <c r="O54" s="29">
        <v>1988</v>
      </c>
      <c r="Q54" s="29" t="s">
        <v>442</v>
      </c>
      <c r="R54" s="29">
        <v>2</v>
      </c>
      <c r="S54" s="29">
        <v>2021</v>
      </c>
      <c r="U54" s="30" t="s">
        <v>522</v>
      </c>
      <c r="V54" s="29">
        <v>10</v>
      </c>
      <c r="W54" s="29">
        <v>2019</v>
      </c>
      <c r="Y54" s="30" t="s">
        <v>534</v>
      </c>
      <c r="EH54" s="30" t="s">
        <v>454</v>
      </c>
      <c r="HK54" s="54">
        <v>1000</v>
      </c>
      <c r="HL54" s="54">
        <v>1151.81</v>
      </c>
      <c r="HM54" s="47"/>
      <c r="HN54" s="52" t="s">
        <v>720</v>
      </c>
      <c r="HP54" s="30" t="s">
        <v>456</v>
      </c>
      <c r="HQ54" s="30" t="s">
        <v>531</v>
      </c>
      <c r="HR54" s="30" t="s">
        <v>64</v>
      </c>
      <c r="HS54" s="30">
        <v>700</v>
      </c>
      <c r="HT54" s="29" t="s">
        <v>94</v>
      </c>
      <c r="HU54" s="29">
        <v>683.73</v>
      </c>
      <c r="HV54" s="29" t="s">
        <v>83</v>
      </c>
      <c r="HW54" s="29" t="s">
        <v>886</v>
      </c>
      <c r="HX54" s="29" t="s">
        <v>83</v>
      </c>
      <c r="IW54" s="36">
        <v>41752.578877314816</v>
      </c>
      <c r="IX54" s="36">
        <v>41752.58452546296</v>
      </c>
      <c r="IY54" s="29" t="s">
        <v>875</v>
      </c>
      <c r="IZ54" s="29" t="s">
        <v>807</v>
      </c>
      <c r="JJ54" s="30" t="s">
        <v>800</v>
      </c>
      <c r="JK54" s="29">
        <v>1</v>
      </c>
      <c r="JL54" s="30" t="s">
        <v>104</v>
      </c>
      <c r="JM54" s="30" t="s">
        <v>813</v>
      </c>
      <c r="JP54" s="128" t="s">
        <v>531</v>
      </c>
      <c r="JQ54" s="128" t="s">
        <v>74</v>
      </c>
      <c r="JR54" s="29" t="s">
        <v>83</v>
      </c>
      <c r="JS54" s="29">
        <v>410</v>
      </c>
      <c r="JT54" s="29" t="s">
        <v>88</v>
      </c>
      <c r="JU54" s="54">
        <v>1151.81</v>
      </c>
      <c r="JV54" s="127" t="s">
        <v>450</v>
      </c>
      <c r="JW54" s="127" t="s">
        <v>437</v>
      </c>
      <c r="JX54" s="128" t="s">
        <v>438</v>
      </c>
      <c r="JY54" s="128" t="s">
        <v>812</v>
      </c>
      <c r="JZ54" s="30" t="s">
        <v>790</v>
      </c>
      <c r="KA54" s="30" t="s">
        <v>791</v>
      </c>
      <c r="KB54" s="48">
        <v>41772</v>
      </c>
      <c r="KC54" s="29" t="s">
        <v>808</v>
      </c>
      <c r="KD54" s="55"/>
      <c r="KE54" s="29" t="s">
        <v>816</v>
      </c>
      <c r="KF54" s="29" t="s">
        <v>439</v>
      </c>
      <c r="KG54" s="29" t="s">
        <v>484</v>
      </c>
      <c r="KH54" s="29" t="s">
        <v>447</v>
      </c>
      <c r="KI54" s="127" t="s">
        <v>479</v>
      </c>
      <c r="KJ54" s="30" t="s">
        <v>444</v>
      </c>
      <c r="KK54" s="29" t="s">
        <v>445</v>
      </c>
      <c r="KL54" s="53" t="s">
        <v>490</v>
      </c>
      <c r="KM54" s="29" t="s">
        <v>78</v>
      </c>
      <c r="KN54" s="30" t="s">
        <v>443</v>
      </c>
      <c r="KP54" s="29">
        <v>123456</v>
      </c>
      <c r="KQ54" s="29">
        <v>123456</v>
      </c>
      <c r="KR54" s="29">
        <v>11</v>
      </c>
      <c r="KS54" s="29" t="s">
        <v>461</v>
      </c>
      <c r="KT54" s="29">
        <v>2041</v>
      </c>
      <c r="KU54" s="29" t="s">
        <v>462</v>
      </c>
      <c r="KV54" s="30" t="s">
        <v>532</v>
      </c>
      <c r="KW54" s="30" t="s">
        <v>532</v>
      </c>
      <c r="KX54" s="30" t="s">
        <v>809</v>
      </c>
      <c r="KY54" s="30" t="s">
        <v>809</v>
      </c>
      <c r="KZ54" s="29" t="s">
        <v>463</v>
      </c>
      <c r="LA54" s="29" t="s">
        <v>533</v>
      </c>
      <c r="LB54" s="29" t="s">
        <v>533</v>
      </c>
      <c r="LC54" s="30" t="s">
        <v>518</v>
      </c>
      <c r="LD54" s="30" t="s">
        <v>535</v>
      </c>
      <c r="LE54" s="30" t="s">
        <v>888</v>
      </c>
      <c r="LF54" s="30" t="s">
        <v>890</v>
      </c>
      <c r="LG54" s="29" t="s">
        <v>294</v>
      </c>
      <c r="LH54" s="29" t="s">
        <v>294</v>
      </c>
      <c r="LI54" s="29">
        <v>108</v>
      </c>
      <c r="LJ54" s="29">
        <v>10</v>
      </c>
      <c r="LK54" s="29">
        <v>2021</v>
      </c>
      <c r="LL54" s="30" t="s">
        <v>452</v>
      </c>
      <c r="LM54" s="29" t="s">
        <v>454</v>
      </c>
      <c r="LN54" s="30" t="s">
        <v>521</v>
      </c>
      <c r="LO54" s="30" t="s">
        <v>521</v>
      </c>
      <c r="LP54" s="30" t="s">
        <v>521</v>
      </c>
      <c r="LQ54" s="29">
        <v>4569</v>
      </c>
      <c r="LR54" s="30" t="s">
        <v>451</v>
      </c>
      <c r="LS54" s="30" t="s">
        <v>452</v>
      </c>
      <c r="LT54" s="54">
        <v>1835.54</v>
      </c>
      <c r="LU54" s="29" t="s">
        <v>807</v>
      </c>
      <c r="LV54" s="30" t="s">
        <v>865</v>
      </c>
      <c r="LW54" s="30">
        <v>456</v>
      </c>
      <c r="LX54" s="29" t="s">
        <v>58</v>
      </c>
      <c r="LY54" s="30" t="s">
        <v>351</v>
      </c>
      <c r="LZ54" s="29" t="s">
        <v>22</v>
      </c>
    </row>
    <row r="55" spans="2:338" ht="51" hidden="1" x14ac:dyDescent="0.25">
      <c r="B55" s="44">
        <v>1</v>
      </c>
      <c r="C55" s="50" t="s">
        <v>801</v>
      </c>
      <c r="D55" s="30"/>
      <c r="E55" s="30"/>
      <c r="F55" s="31"/>
      <c r="G55" s="31"/>
      <c r="M55" s="29" t="s">
        <v>495</v>
      </c>
      <c r="N55" s="29">
        <v>3</v>
      </c>
      <c r="O55" s="29">
        <v>1989</v>
      </c>
      <c r="Q55" s="29" t="s">
        <v>495</v>
      </c>
      <c r="R55" s="29">
        <v>3</v>
      </c>
      <c r="S55" s="29">
        <v>2022</v>
      </c>
      <c r="U55" s="30" t="s">
        <v>522</v>
      </c>
      <c r="V55" s="29">
        <v>10</v>
      </c>
      <c r="W55" s="29">
        <v>2020</v>
      </c>
      <c r="Y55" s="30" t="s">
        <v>534</v>
      </c>
      <c r="EH55" s="30"/>
      <c r="HK55" s="54">
        <v>1100</v>
      </c>
      <c r="HL55" s="54">
        <v>1758.59</v>
      </c>
      <c r="HM55" s="47"/>
      <c r="HN55" s="52" t="s">
        <v>720</v>
      </c>
      <c r="HO55" s="30" t="s">
        <v>811</v>
      </c>
      <c r="HX55" s="29" t="s">
        <v>831</v>
      </c>
      <c r="IW55" s="36">
        <v>41758.477766203701</v>
      </c>
      <c r="IX55" s="36">
        <v>41758.482881944445</v>
      </c>
      <c r="IY55" s="29" t="s">
        <v>887</v>
      </c>
      <c r="IZ55" s="29" t="s">
        <v>74</v>
      </c>
      <c r="JJ55" s="56" t="s">
        <v>801</v>
      </c>
      <c r="JK55" s="29">
        <v>1</v>
      </c>
      <c r="JL55" s="30" t="s">
        <v>104</v>
      </c>
      <c r="JM55" s="30" t="s">
        <v>813</v>
      </c>
      <c r="JP55" s="128" t="s">
        <v>531</v>
      </c>
      <c r="JQ55" s="128" t="s">
        <v>64</v>
      </c>
      <c r="JR55" s="29" t="s">
        <v>831</v>
      </c>
      <c r="JS55" s="29">
        <v>600</v>
      </c>
      <c r="JT55" s="29" t="s">
        <v>833</v>
      </c>
      <c r="JU55" s="54" t="s">
        <v>889</v>
      </c>
      <c r="JV55" s="127" t="s">
        <v>450</v>
      </c>
      <c r="JW55" s="127" t="s">
        <v>437</v>
      </c>
      <c r="JX55" s="128" t="s">
        <v>438</v>
      </c>
      <c r="JY55" s="128" t="s">
        <v>812</v>
      </c>
      <c r="KB55" s="48">
        <v>41759</v>
      </c>
      <c r="KC55" s="29" t="s">
        <v>788</v>
      </c>
      <c r="KD55" s="55"/>
      <c r="KE55" s="29" t="s">
        <v>816</v>
      </c>
      <c r="KF55" s="29" t="s">
        <v>439</v>
      </c>
      <c r="KG55" s="29" t="s">
        <v>474</v>
      </c>
      <c r="KH55" s="29" t="s">
        <v>447</v>
      </c>
      <c r="KI55" s="127" t="s">
        <v>984</v>
      </c>
      <c r="KJ55" s="30" t="s">
        <v>444</v>
      </c>
      <c r="KK55" s="29" t="s">
        <v>445</v>
      </c>
      <c r="KL55" s="53" t="s">
        <v>485</v>
      </c>
      <c r="KM55" s="29" t="s">
        <v>78</v>
      </c>
      <c r="KN55" s="30" t="s">
        <v>443</v>
      </c>
      <c r="KP55" s="29">
        <v>123456</v>
      </c>
      <c r="KQ55" s="29">
        <v>123456</v>
      </c>
      <c r="KR55" s="29">
        <v>11</v>
      </c>
      <c r="KS55" s="29" t="s">
        <v>446</v>
      </c>
      <c r="KT55" s="29">
        <v>2037</v>
      </c>
      <c r="KU55" s="29" t="s">
        <v>448</v>
      </c>
      <c r="KV55" s="30" t="s">
        <v>532</v>
      </c>
      <c r="KW55" s="30" t="s">
        <v>532</v>
      </c>
      <c r="KX55" s="30" t="s">
        <v>809</v>
      </c>
      <c r="KY55" s="30" t="s">
        <v>809</v>
      </c>
      <c r="KZ55" s="29" t="s">
        <v>449</v>
      </c>
      <c r="LA55" s="29" t="s">
        <v>533</v>
      </c>
      <c r="LB55" s="29" t="s">
        <v>533</v>
      </c>
      <c r="LC55" s="30" t="s">
        <v>518</v>
      </c>
      <c r="LD55" s="30" t="s">
        <v>699</v>
      </c>
      <c r="LE55" s="30" t="s">
        <v>888</v>
      </c>
      <c r="LF55" s="30" t="s">
        <v>195</v>
      </c>
      <c r="LG55" s="29" t="s">
        <v>474</v>
      </c>
      <c r="LH55" s="29" t="s">
        <v>441</v>
      </c>
      <c r="LI55" s="29">
        <v>108</v>
      </c>
      <c r="LJ55" s="29">
        <v>10</v>
      </c>
      <c r="LK55" s="29">
        <v>2021</v>
      </c>
      <c r="LL55" s="30" t="s">
        <v>452</v>
      </c>
      <c r="LN55" s="30"/>
      <c r="LO55" s="30"/>
      <c r="LP55" s="30"/>
      <c r="LR55" s="30" t="s">
        <v>451</v>
      </c>
      <c r="LS55" s="30" t="s">
        <v>452</v>
      </c>
      <c r="LT55" s="54">
        <v>1759.59</v>
      </c>
      <c r="LU55" s="29" t="s">
        <v>74</v>
      </c>
      <c r="LV55" s="30" t="s">
        <v>817</v>
      </c>
      <c r="LW55" s="30">
        <v>546</v>
      </c>
      <c r="LX55" s="29" t="s">
        <v>58</v>
      </c>
      <c r="LY55" s="30" t="s">
        <v>351</v>
      </c>
      <c r="LZ55" s="29" t="s">
        <v>22</v>
      </c>
    </row>
    <row r="56" spans="2:338" ht="51" hidden="1" x14ac:dyDescent="0.25">
      <c r="B56" s="44">
        <v>1</v>
      </c>
      <c r="C56" s="50" t="s">
        <v>802</v>
      </c>
      <c r="E56" s="30"/>
      <c r="F56" s="31"/>
      <c r="G56" s="31"/>
      <c r="M56" s="29" t="s">
        <v>445</v>
      </c>
      <c r="N56" s="29">
        <v>4</v>
      </c>
      <c r="O56" s="29">
        <v>1990</v>
      </c>
      <c r="Q56" s="29" t="s">
        <v>445</v>
      </c>
      <c r="R56" s="29">
        <v>4</v>
      </c>
      <c r="S56" s="29">
        <v>2023</v>
      </c>
      <c r="U56" s="30" t="s">
        <v>522</v>
      </c>
      <c r="V56" s="29">
        <v>10</v>
      </c>
      <c r="W56" s="29">
        <v>2021</v>
      </c>
      <c r="Y56" s="30" t="s">
        <v>534</v>
      </c>
      <c r="HL56" s="54"/>
      <c r="HM56" s="47"/>
      <c r="HN56" s="52" t="s">
        <v>720</v>
      </c>
      <c r="HO56" s="30" t="s">
        <v>811</v>
      </c>
      <c r="HP56" s="30" t="s">
        <v>456</v>
      </c>
      <c r="HQ56" s="30" t="s">
        <v>806</v>
      </c>
      <c r="HR56" s="30" t="s">
        <v>473</v>
      </c>
      <c r="HS56" s="29">
        <v>1000</v>
      </c>
      <c r="HW56" s="54"/>
      <c r="IW56" s="36">
        <v>41741.845682870371</v>
      </c>
      <c r="IX56" s="36">
        <v>41741.850266203706</v>
      </c>
      <c r="IY56" s="29" t="s">
        <v>820</v>
      </c>
      <c r="IZ56" s="30" t="s">
        <v>472</v>
      </c>
      <c r="JJ56" s="56" t="s">
        <v>802</v>
      </c>
      <c r="JK56" s="29">
        <v>1</v>
      </c>
      <c r="JL56" s="30" t="s">
        <v>104</v>
      </c>
      <c r="JM56" s="30" t="s">
        <v>813</v>
      </c>
      <c r="JP56" s="128" t="s">
        <v>531</v>
      </c>
      <c r="JQ56" s="128" t="s">
        <v>473</v>
      </c>
      <c r="JS56" s="29">
        <v>440</v>
      </c>
      <c r="JU56" s="54"/>
      <c r="JV56" s="127" t="s">
        <v>450</v>
      </c>
      <c r="JW56" s="127" t="s">
        <v>437</v>
      </c>
      <c r="JX56" s="128" t="s">
        <v>438</v>
      </c>
      <c r="JY56" s="128" t="s">
        <v>812</v>
      </c>
      <c r="JZ56" s="30" t="s">
        <v>790</v>
      </c>
      <c r="KA56" s="30" t="s">
        <v>791</v>
      </c>
      <c r="KB56" s="48">
        <v>41752</v>
      </c>
      <c r="KC56" s="29" t="s">
        <v>808</v>
      </c>
      <c r="KD56" s="55"/>
      <c r="KE56" s="29" t="s">
        <v>818</v>
      </c>
      <c r="KF56" s="29" t="s">
        <v>439</v>
      </c>
      <c r="KG56" s="29" t="s">
        <v>475</v>
      </c>
      <c r="KH56" s="29" t="s">
        <v>447</v>
      </c>
      <c r="KI56" s="127" t="s">
        <v>478</v>
      </c>
      <c r="KJ56" s="30" t="s">
        <v>444</v>
      </c>
      <c r="KK56" s="29" t="s">
        <v>445</v>
      </c>
      <c r="KL56" s="53" t="s">
        <v>486</v>
      </c>
      <c r="KM56" s="29" t="s">
        <v>78</v>
      </c>
      <c r="KN56" s="30" t="s">
        <v>443</v>
      </c>
      <c r="KP56" s="29">
        <v>123456</v>
      </c>
      <c r="KQ56" s="29">
        <v>123456</v>
      </c>
      <c r="KR56" s="29">
        <v>11</v>
      </c>
      <c r="KS56" s="29" t="s">
        <v>446</v>
      </c>
      <c r="KT56" s="29">
        <v>2037</v>
      </c>
      <c r="KU56" s="29" t="s">
        <v>448</v>
      </c>
      <c r="KV56" s="30" t="s">
        <v>532</v>
      </c>
      <c r="KW56" s="30" t="s">
        <v>532</v>
      </c>
      <c r="KX56" s="30" t="s">
        <v>809</v>
      </c>
      <c r="KY56" s="30" t="s">
        <v>809</v>
      </c>
      <c r="KZ56" s="29" t="s">
        <v>449</v>
      </c>
      <c r="LA56" s="29" t="s">
        <v>533</v>
      </c>
      <c r="LB56" s="29" t="s">
        <v>533</v>
      </c>
      <c r="LC56" s="30" t="s">
        <v>518</v>
      </c>
      <c r="LD56" s="30" t="s">
        <v>535</v>
      </c>
      <c r="LE56" s="30" t="s">
        <v>888</v>
      </c>
      <c r="LF56" s="30" t="s">
        <v>195</v>
      </c>
      <c r="LG56" s="29" t="s">
        <v>475</v>
      </c>
      <c r="LH56" s="29" t="s">
        <v>482</v>
      </c>
      <c r="LI56" s="29">
        <v>108</v>
      </c>
      <c r="LJ56" s="29">
        <v>10</v>
      </c>
      <c r="LK56" s="29">
        <v>2021</v>
      </c>
      <c r="LL56" s="30" t="s">
        <v>452</v>
      </c>
      <c r="LN56" s="30"/>
      <c r="LO56" s="30"/>
      <c r="LP56" s="30"/>
      <c r="LR56" s="30" t="s">
        <v>451</v>
      </c>
      <c r="LS56" s="30" t="s">
        <v>452</v>
      </c>
      <c r="LT56" s="54">
        <v>1835.54</v>
      </c>
      <c r="LU56" s="30" t="s">
        <v>472</v>
      </c>
      <c r="LV56" s="30" t="s">
        <v>819</v>
      </c>
      <c r="LW56" s="30">
        <v>123</v>
      </c>
      <c r="LX56" s="29" t="s">
        <v>58</v>
      </c>
      <c r="LY56" s="30" t="s">
        <v>351</v>
      </c>
      <c r="LZ56" s="29" t="s">
        <v>22</v>
      </c>
    </row>
    <row r="57" spans="2:338" ht="51" hidden="1" x14ac:dyDescent="0.25">
      <c r="B57" s="44">
        <v>1</v>
      </c>
      <c r="C57" s="50" t="s">
        <v>874</v>
      </c>
      <c r="E57" s="30"/>
      <c r="F57" s="31"/>
      <c r="G57" s="31"/>
      <c r="M57" s="29" t="s">
        <v>469</v>
      </c>
      <c r="N57" s="29">
        <v>5</v>
      </c>
      <c r="O57" s="29">
        <v>1987</v>
      </c>
      <c r="Q57" s="29" t="s">
        <v>469</v>
      </c>
      <c r="R57" s="29">
        <v>5</v>
      </c>
      <c r="S57" s="29">
        <v>2024</v>
      </c>
      <c r="U57" s="30" t="s">
        <v>522</v>
      </c>
      <c r="V57" s="29">
        <v>10</v>
      </c>
      <c r="W57" s="29">
        <v>2022</v>
      </c>
      <c r="Y57" s="30" t="s">
        <v>534</v>
      </c>
      <c r="HK57" s="29">
        <v>700</v>
      </c>
      <c r="HL57" s="54">
        <v>683.73</v>
      </c>
      <c r="HM57" s="47"/>
      <c r="HN57" s="52" t="s">
        <v>720</v>
      </c>
      <c r="HP57" s="30" t="s">
        <v>863</v>
      </c>
      <c r="HQ57" s="30" t="s">
        <v>864</v>
      </c>
      <c r="HR57" s="30" t="s">
        <v>852</v>
      </c>
      <c r="HS57" s="30" t="s">
        <v>853</v>
      </c>
      <c r="HT57" s="29" t="s">
        <v>867</v>
      </c>
      <c r="HU57" s="29" t="s">
        <v>868</v>
      </c>
      <c r="HV57" s="29" t="s">
        <v>869</v>
      </c>
      <c r="HW57" s="29" t="s">
        <v>866</v>
      </c>
      <c r="HX57" s="29" t="s">
        <v>870</v>
      </c>
      <c r="IW57" s="36">
        <v>41751.537245370368</v>
      </c>
      <c r="IX57" s="36">
        <v>41751.538541666669</v>
      </c>
      <c r="IY57" s="29" t="s">
        <v>862</v>
      </c>
      <c r="IZ57" s="29" t="s">
        <v>472</v>
      </c>
      <c r="JJ57" s="56" t="s">
        <v>803</v>
      </c>
      <c r="JK57" s="29">
        <v>1</v>
      </c>
      <c r="JL57" s="30" t="s">
        <v>104</v>
      </c>
      <c r="JM57" s="30" t="s">
        <v>813</v>
      </c>
      <c r="JP57" s="128" t="s">
        <v>727</v>
      </c>
      <c r="JQ57" s="128" t="s">
        <v>473</v>
      </c>
      <c r="JR57" s="29" t="s">
        <v>870</v>
      </c>
      <c r="JS57" s="29">
        <v>500</v>
      </c>
      <c r="JT57" s="29" t="s">
        <v>871</v>
      </c>
      <c r="JU57" s="54" t="s">
        <v>872</v>
      </c>
      <c r="JV57" s="127" t="s">
        <v>450</v>
      </c>
      <c r="JW57" s="127" t="s">
        <v>437</v>
      </c>
      <c r="JX57" s="128" t="s">
        <v>438</v>
      </c>
      <c r="JY57" s="128" t="s">
        <v>812</v>
      </c>
      <c r="KB57" s="48">
        <v>41759</v>
      </c>
      <c r="KC57" s="29" t="s">
        <v>788</v>
      </c>
      <c r="KD57" s="55"/>
      <c r="KE57" s="29" t="s">
        <v>816</v>
      </c>
      <c r="KF57" s="29" t="s">
        <v>439</v>
      </c>
      <c r="KG57" s="29" t="s">
        <v>476</v>
      </c>
      <c r="KH57" s="29" t="s">
        <v>447</v>
      </c>
      <c r="KI57" s="127" t="s">
        <v>478</v>
      </c>
      <c r="KJ57" s="30" t="s">
        <v>444</v>
      </c>
      <c r="KK57" s="29" t="s">
        <v>445</v>
      </c>
      <c r="KL57" s="53" t="s">
        <v>487</v>
      </c>
      <c r="KM57" s="29" t="s">
        <v>78</v>
      </c>
      <c r="KN57" s="30" t="s">
        <v>443</v>
      </c>
      <c r="KP57" s="29">
        <v>123456</v>
      </c>
      <c r="KQ57" s="29">
        <v>123456</v>
      </c>
      <c r="KR57" s="29">
        <v>11</v>
      </c>
      <c r="KS57" s="29" t="s">
        <v>446</v>
      </c>
      <c r="KT57" s="29">
        <v>2037</v>
      </c>
      <c r="KU57" s="29" t="s">
        <v>448</v>
      </c>
      <c r="KV57" s="30" t="s">
        <v>532</v>
      </c>
      <c r="KW57" s="30" t="s">
        <v>532</v>
      </c>
      <c r="KX57" s="30" t="s">
        <v>809</v>
      </c>
      <c r="KY57" s="30" t="s">
        <v>809</v>
      </c>
      <c r="KZ57" s="29" t="s">
        <v>449</v>
      </c>
      <c r="LA57" s="29" t="s">
        <v>533</v>
      </c>
      <c r="LB57" s="29" t="s">
        <v>533</v>
      </c>
      <c r="LC57" s="30" t="s">
        <v>518</v>
      </c>
      <c r="LD57" s="30" t="s">
        <v>699</v>
      </c>
      <c r="LE57" s="30" t="s">
        <v>888</v>
      </c>
      <c r="LF57" s="30" t="s">
        <v>195</v>
      </c>
      <c r="LG57" s="29" t="s">
        <v>476</v>
      </c>
      <c r="LH57" s="29" t="s">
        <v>477</v>
      </c>
      <c r="LI57" s="29">
        <v>108</v>
      </c>
      <c r="LJ57" s="29">
        <v>10</v>
      </c>
      <c r="LK57" s="29">
        <v>2021</v>
      </c>
      <c r="LL57" s="30" t="s">
        <v>452</v>
      </c>
      <c r="LN57" s="30"/>
      <c r="LO57" s="30"/>
      <c r="LP57" s="30"/>
      <c r="LR57" s="30" t="s">
        <v>451</v>
      </c>
      <c r="LS57" s="30" t="s">
        <v>452</v>
      </c>
      <c r="LT57" s="54">
        <v>683.73</v>
      </c>
      <c r="LV57" s="30" t="s">
        <v>821</v>
      </c>
      <c r="LW57" s="30">
        <v>456</v>
      </c>
      <c r="LX57" s="29" t="s">
        <v>58</v>
      </c>
      <c r="LY57" s="30" t="s">
        <v>351</v>
      </c>
      <c r="LZ57" s="29" t="s">
        <v>22</v>
      </c>
    </row>
    <row r="58" spans="2:338" ht="51" hidden="1" x14ac:dyDescent="0.25">
      <c r="B58" s="44">
        <v>1</v>
      </c>
      <c r="C58" s="50" t="s">
        <v>804</v>
      </c>
      <c r="E58" s="30"/>
      <c r="F58" s="31"/>
      <c r="G58" s="31"/>
      <c r="M58" s="29" t="s">
        <v>496</v>
      </c>
      <c r="N58" s="29">
        <v>7</v>
      </c>
      <c r="O58" s="29">
        <v>1989</v>
      </c>
      <c r="Q58" s="29" t="s">
        <v>496</v>
      </c>
      <c r="R58" s="29">
        <v>7</v>
      </c>
      <c r="S58" s="29">
        <v>2026</v>
      </c>
      <c r="U58" s="30" t="s">
        <v>522</v>
      </c>
      <c r="V58" s="29">
        <v>10</v>
      </c>
      <c r="W58" s="29">
        <v>2018</v>
      </c>
      <c r="Y58" s="30" t="s">
        <v>534</v>
      </c>
      <c r="HL58" s="54"/>
      <c r="HM58" s="47"/>
      <c r="HN58" s="52" t="s">
        <v>720</v>
      </c>
      <c r="HO58" s="30" t="s">
        <v>814</v>
      </c>
      <c r="IW58" s="36">
        <v>41741.860115740739</v>
      </c>
      <c r="IX58" s="36">
        <v>41741.86146990741</v>
      </c>
      <c r="IY58" s="29" t="s">
        <v>783</v>
      </c>
      <c r="IZ58" s="29" t="s">
        <v>74</v>
      </c>
      <c r="JJ58" s="56" t="s">
        <v>804</v>
      </c>
      <c r="JK58" s="29">
        <v>1</v>
      </c>
      <c r="JL58" s="30" t="s">
        <v>104</v>
      </c>
      <c r="JM58" s="30" t="s">
        <v>813</v>
      </c>
      <c r="JP58" s="128" t="s">
        <v>531</v>
      </c>
      <c r="JQ58" s="128" t="s">
        <v>74</v>
      </c>
      <c r="JS58" s="29">
        <v>660</v>
      </c>
      <c r="JU58" s="54"/>
      <c r="JV58" s="127" t="s">
        <v>450</v>
      </c>
      <c r="JW58" s="127" t="s">
        <v>437</v>
      </c>
      <c r="JX58" s="30" t="s">
        <v>438</v>
      </c>
      <c r="JY58" s="30" t="s">
        <v>812</v>
      </c>
      <c r="KB58" s="48">
        <v>41759</v>
      </c>
      <c r="KC58" s="29" t="s">
        <v>788</v>
      </c>
      <c r="KE58" s="29" t="s">
        <v>777</v>
      </c>
      <c r="KF58" s="29" t="s">
        <v>439</v>
      </c>
      <c r="KG58" s="29" t="s">
        <v>440</v>
      </c>
      <c r="KH58" s="29" t="s">
        <v>447</v>
      </c>
      <c r="KI58" s="127" t="s">
        <v>983</v>
      </c>
      <c r="KJ58" s="30" t="s">
        <v>444</v>
      </c>
      <c r="KK58" s="29" t="s">
        <v>445</v>
      </c>
      <c r="KL58" s="53" t="s">
        <v>489</v>
      </c>
      <c r="KM58" s="29" t="s">
        <v>78</v>
      </c>
      <c r="KN58" s="30" t="s">
        <v>443</v>
      </c>
      <c r="KP58" s="29">
        <v>123456</v>
      </c>
      <c r="KQ58" s="29">
        <v>123456</v>
      </c>
      <c r="KR58" s="29">
        <v>11</v>
      </c>
      <c r="KS58" s="29" t="s">
        <v>446</v>
      </c>
      <c r="KT58" s="29">
        <v>2037</v>
      </c>
      <c r="KU58" s="29" t="s">
        <v>448</v>
      </c>
      <c r="KV58" s="30" t="s">
        <v>532</v>
      </c>
      <c r="KW58" s="30" t="s">
        <v>532</v>
      </c>
      <c r="KX58" s="30" t="s">
        <v>809</v>
      </c>
      <c r="KY58" s="30" t="s">
        <v>809</v>
      </c>
      <c r="KZ58" s="29" t="s">
        <v>449</v>
      </c>
      <c r="LA58" s="29" t="s">
        <v>533</v>
      </c>
      <c r="LB58" s="29" t="s">
        <v>533</v>
      </c>
      <c r="LC58" s="30" t="s">
        <v>518</v>
      </c>
      <c r="LD58" s="30" t="s">
        <v>699</v>
      </c>
      <c r="LE58" s="30" t="s">
        <v>888</v>
      </c>
      <c r="LF58" s="30" t="s">
        <v>195</v>
      </c>
      <c r="LG58" s="29" t="s">
        <v>440</v>
      </c>
      <c r="LH58" s="29" t="s">
        <v>483</v>
      </c>
      <c r="LI58" s="29">
        <v>108</v>
      </c>
      <c r="LJ58" s="29">
        <v>10</v>
      </c>
      <c r="LK58" s="29">
        <v>2021</v>
      </c>
      <c r="LL58" s="30" t="s">
        <v>452</v>
      </c>
      <c r="LN58" s="30"/>
      <c r="LO58" s="30"/>
      <c r="LP58" s="30"/>
      <c r="LR58" s="30" t="s">
        <v>451</v>
      </c>
      <c r="LS58" s="30" t="s">
        <v>452</v>
      </c>
      <c r="LV58" s="30"/>
      <c r="LW58" s="30">
        <v>123</v>
      </c>
      <c r="LX58" s="29" t="s">
        <v>58</v>
      </c>
      <c r="LY58" s="30" t="s">
        <v>351</v>
      </c>
      <c r="LZ58" s="29" t="s">
        <v>22</v>
      </c>
    </row>
    <row r="59" spans="2:338" ht="51" hidden="1" x14ac:dyDescent="0.25">
      <c r="B59" s="44">
        <v>1</v>
      </c>
      <c r="C59" s="50" t="s">
        <v>805</v>
      </c>
      <c r="E59" s="30"/>
      <c r="F59" s="31"/>
      <c r="G59" s="31"/>
      <c r="M59" s="29" t="s">
        <v>497</v>
      </c>
      <c r="N59" s="29">
        <v>8</v>
      </c>
      <c r="O59" s="29">
        <v>1990</v>
      </c>
      <c r="Q59" s="29" t="s">
        <v>497</v>
      </c>
      <c r="R59" s="29">
        <v>8</v>
      </c>
      <c r="S59" s="29">
        <v>2027</v>
      </c>
      <c r="U59" s="30" t="s">
        <v>522</v>
      </c>
      <c r="V59" s="29">
        <v>10</v>
      </c>
      <c r="W59" s="29">
        <v>2019</v>
      </c>
      <c r="Y59" s="30" t="s">
        <v>534</v>
      </c>
      <c r="HL59" s="54"/>
      <c r="HM59" s="47"/>
      <c r="HN59" s="52" t="s">
        <v>720</v>
      </c>
      <c r="HO59" s="30" t="s">
        <v>814</v>
      </c>
      <c r="HP59" s="30" t="s">
        <v>456</v>
      </c>
      <c r="HQ59" s="30" t="s">
        <v>727</v>
      </c>
      <c r="HR59" s="29" t="s">
        <v>69</v>
      </c>
      <c r="HS59" s="29">
        <v>800</v>
      </c>
      <c r="IW59" s="36">
        <v>41741.861493055556</v>
      </c>
      <c r="IX59" s="36">
        <v>41741.864155092589</v>
      </c>
      <c r="IY59" s="29" t="s">
        <v>822</v>
      </c>
      <c r="IZ59" s="29" t="s">
        <v>472</v>
      </c>
      <c r="JJ59" s="56" t="s">
        <v>805</v>
      </c>
      <c r="JK59" s="29">
        <v>1</v>
      </c>
      <c r="JL59" s="30" t="s">
        <v>104</v>
      </c>
      <c r="JM59" s="30" t="s">
        <v>813</v>
      </c>
      <c r="JP59" s="128" t="s">
        <v>727</v>
      </c>
      <c r="JQ59" s="128" t="s">
        <v>74</v>
      </c>
      <c r="JS59" s="29">
        <v>520</v>
      </c>
      <c r="JU59" s="54"/>
      <c r="JV59" s="127" t="s">
        <v>450</v>
      </c>
      <c r="JW59" s="127" t="s">
        <v>437</v>
      </c>
      <c r="JX59" s="30" t="s">
        <v>789</v>
      </c>
      <c r="JZ59" s="30" t="s">
        <v>790</v>
      </c>
      <c r="KA59" s="30" t="s">
        <v>791</v>
      </c>
      <c r="KB59" s="48">
        <v>41759</v>
      </c>
      <c r="KC59" s="29" t="s">
        <v>808</v>
      </c>
      <c r="KE59" s="29" t="s">
        <v>777</v>
      </c>
      <c r="KF59" s="29" t="s">
        <v>439</v>
      </c>
      <c r="KG59" s="29" t="s">
        <v>477</v>
      </c>
      <c r="KH59" s="29" t="s">
        <v>447</v>
      </c>
      <c r="KI59" s="127" t="s">
        <v>479</v>
      </c>
      <c r="KJ59" s="30" t="s">
        <v>444</v>
      </c>
      <c r="KK59" s="29" t="s">
        <v>445</v>
      </c>
      <c r="KL59" s="53" t="s">
        <v>490</v>
      </c>
      <c r="KM59" s="29" t="s">
        <v>78</v>
      </c>
      <c r="KN59" s="30" t="s">
        <v>443</v>
      </c>
      <c r="KP59" s="29">
        <v>123456</v>
      </c>
      <c r="KQ59" s="29">
        <v>123456</v>
      </c>
      <c r="KR59" s="29">
        <v>11</v>
      </c>
      <c r="KS59" s="29" t="s">
        <v>446</v>
      </c>
      <c r="KT59" s="29">
        <v>2037</v>
      </c>
      <c r="KU59" s="29" t="s">
        <v>448</v>
      </c>
      <c r="KV59" s="30" t="s">
        <v>532</v>
      </c>
      <c r="KW59" s="30" t="s">
        <v>532</v>
      </c>
      <c r="KX59" s="30" t="s">
        <v>809</v>
      </c>
      <c r="KY59" s="30" t="s">
        <v>809</v>
      </c>
      <c r="KZ59" s="29" t="s">
        <v>449</v>
      </c>
      <c r="LA59" s="29" t="s">
        <v>533</v>
      </c>
      <c r="LB59" s="29" t="s">
        <v>533</v>
      </c>
      <c r="LC59" s="30" t="s">
        <v>518</v>
      </c>
      <c r="LD59" s="30" t="s">
        <v>699</v>
      </c>
      <c r="LE59" s="30" t="s">
        <v>888</v>
      </c>
      <c r="LF59" s="30" t="s">
        <v>195</v>
      </c>
      <c r="LG59" s="29" t="s">
        <v>477</v>
      </c>
      <c r="LH59" s="29" t="s">
        <v>478</v>
      </c>
      <c r="LI59" s="29">
        <v>108</v>
      </c>
      <c r="LJ59" s="29">
        <v>10</v>
      </c>
      <c r="LK59" s="29">
        <v>2021</v>
      </c>
      <c r="LL59" s="30" t="s">
        <v>452</v>
      </c>
      <c r="LN59" s="30"/>
      <c r="LO59" s="30"/>
      <c r="LP59" s="30"/>
      <c r="LR59" s="30" t="s">
        <v>451</v>
      </c>
      <c r="LS59" s="30" t="s">
        <v>452</v>
      </c>
      <c r="LT59" s="54"/>
      <c r="LU59" s="29" t="s">
        <v>472</v>
      </c>
      <c r="LV59" s="30"/>
      <c r="LW59" s="30">
        <v>456</v>
      </c>
      <c r="LX59" s="29" t="s">
        <v>58</v>
      </c>
      <c r="LY59" s="30" t="s">
        <v>351</v>
      </c>
      <c r="LZ59" s="29" t="s">
        <v>22</v>
      </c>
    </row>
    <row r="60" spans="2:338" ht="60" hidden="1" x14ac:dyDescent="0.25">
      <c r="B60" s="44">
        <v>1</v>
      </c>
      <c r="C60" s="50" t="s">
        <v>824</v>
      </c>
      <c r="D60" s="29" t="s">
        <v>1192</v>
      </c>
      <c r="E60" s="30" t="s">
        <v>1116</v>
      </c>
      <c r="F60" s="31"/>
      <c r="G60" s="31"/>
      <c r="M60" s="29" t="s">
        <v>499</v>
      </c>
      <c r="N60" s="29">
        <v>18</v>
      </c>
      <c r="O60" s="29">
        <v>1987</v>
      </c>
      <c r="Q60" s="29" t="s">
        <v>499</v>
      </c>
      <c r="R60" s="29">
        <v>18</v>
      </c>
      <c r="S60" s="29">
        <v>2036</v>
      </c>
      <c r="U60" s="30" t="s">
        <v>522</v>
      </c>
      <c r="V60" s="29">
        <v>10</v>
      </c>
      <c r="W60" s="29">
        <v>2022</v>
      </c>
      <c r="Y60" s="30" t="s">
        <v>534</v>
      </c>
      <c r="CX60" s="30"/>
      <c r="DC60" s="30"/>
      <c r="DD60" s="30"/>
      <c r="DH60" s="30"/>
      <c r="DI60" s="30"/>
      <c r="DJ60" s="30"/>
      <c r="DP60" s="30"/>
      <c r="DQ60" s="30"/>
      <c r="DR60" s="30"/>
      <c r="DU60" s="30"/>
      <c r="EI60" s="30"/>
      <c r="HK60" s="54"/>
      <c r="HL60" s="54"/>
      <c r="HM60" s="47"/>
      <c r="HN60" s="47" t="s">
        <v>720</v>
      </c>
      <c r="HP60" s="30" t="s">
        <v>456</v>
      </c>
      <c r="HQ60" s="29" t="s">
        <v>531</v>
      </c>
      <c r="HR60" s="30" t="s">
        <v>69</v>
      </c>
      <c r="HS60" s="29">
        <v>400</v>
      </c>
      <c r="IW60" s="36">
        <v>41724.563391203701</v>
      </c>
      <c r="IX60" s="36">
        <v>41724.568287037036</v>
      </c>
      <c r="IY60" s="29" t="s">
        <v>780</v>
      </c>
      <c r="IZ60" s="125" t="s">
        <v>443</v>
      </c>
      <c r="JA60" s="30"/>
      <c r="JB60" s="30"/>
      <c r="JC60" s="30"/>
      <c r="JE60" s="53"/>
      <c r="JG60" s="30"/>
      <c r="JP60" s="30" t="s">
        <v>727</v>
      </c>
      <c r="JQ60" s="128" t="s">
        <v>74</v>
      </c>
      <c r="JR60" s="29" t="s">
        <v>83</v>
      </c>
      <c r="JS60" s="127">
        <v>600</v>
      </c>
      <c r="JT60" s="30" t="s">
        <v>85</v>
      </c>
      <c r="JU60" s="54"/>
      <c r="JV60" s="30" t="s">
        <v>450</v>
      </c>
      <c r="JW60" s="29" t="s">
        <v>437</v>
      </c>
      <c r="JX60" s="30" t="s">
        <v>438</v>
      </c>
      <c r="JY60" s="29" t="s">
        <v>728</v>
      </c>
      <c r="KB60" s="48">
        <v>41733</v>
      </c>
      <c r="KC60" s="29" t="s">
        <v>538</v>
      </c>
      <c r="KE60" s="29" t="s">
        <v>778</v>
      </c>
      <c r="KF60" s="29" t="s">
        <v>439</v>
      </c>
      <c r="KG60" s="127" t="s">
        <v>479</v>
      </c>
      <c r="KH60" s="29" t="s">
        <v>447</v>
      </c>
      <c r="KI60" s="127" t="s">
        <v>478</v>
      </c>
      <c r="KJ60" s="30" t="s">
        <v>444</v>
      </c>
      <c r="KK60" s="29" t="s">
        <v>445</v>
      </c>
      <c r="KL60" s="53" t="s">
        <v>486</v>
      </c>
      <c r="KM60" s="29" t="s">
        <v>78</v>
      </c>
      <c r="KN60" s="30" t="s">
        <v>493</v>
      </c>
      <c r="KO60" s="30"/>
      <c r="KP60" s="29">
        <v>123456</v>
      </c>
      <c r="KR60" s="29">
        <v>11</v>
      </c>
      <c r="KS60" s="29" t="s">
        <v>446</v>
      </c>
      <c r="KT60" s="29">
        <v>2037</v>
      </c>
      <c r="KU60" s="29" t="s">
        <v>448</v>
      </c>
      <c r="KV60" s="30" t="s">
        <v>540</v>
      </c>
      <c r="KW60" s="30" t="s">
        <v>540</v>
      </c>
      <c r="KX60" s="30" t="s">
        <v>500</v>
      </c>
      <c r="KY60" s="30" t="s">
        <v>500</v>
      </c>
      <c r="KZ60" s="29" t="s">
        <v>449</v>
      </c>
      <c r="LA60" s="29" t="s">
        <v>533</v>
      </c>
      <c r="LB60" s="29" t="s">
        <v>533</v>
      </c>
      <c r="LC60" s="30" t="s">
        <v>518</v>
      </c>
      <c r="LD60" s="30" t="s">
        <v>699</v>
      </c>
      <c r="LE60" s="30" t="s">
        <v>453</v>
      </c>
      <c r="LF60" s="30" t="s">
        <v>195</v>
      </c>
      <c r="LG60" s="29" t="s">
        <v>440</v>
      </c>
      <c r="LH60" s="29" t="s">
        <v>441</v>
      </c>
      <c r="LI60" s="29">
        <v>108</v>
      </c>
      <c r="LJ60" s="29">
        <v>10</v>
      </c>
      <c r="LK60" s="29">
        <v>2021</v>
      </c>
      <c r="LL60" s="30" t="s">
        <v>452</v>
      </c>
      <c r="LN60" s="30"/>
      <c r="LO60" s="30"/>
      <c r="LP60" s="30"/>
      <c r="LR60" s="30" t="s">
        <v>451</v>
      </c>
      <c r="LS60" s="30" t="s">
        <v>452</v>
      </c>
      <c r="LT60" s="54">
        <v>1409.22</v>
      </c>
      <c r="LV60" s="30" t="s">
        <v>779</v>
      </c>
      <c r="LW60" s="30">
        <v>456</v>
      </c>
      <c r="LX60" s="29" t="s">
        <v>58</v>
      </c>
      <c r="LY60" s="30" t="s">
        <v>351</v>
      </c>
      <c r="LZ60" s="29" t="s">
        <v>22</v>
      </c>
    </row>
    <row r="61" spans="2:338" ht="75" hidden="1" x14ac:dyDescent="0.25">
      <c r="B61" s="44">
        <v>1</v>
      </c>
      <c r="C61" s="50" t="s">
        <v>312</v>
      </c>
      <c r="E61" s="30"/>
      <c r="F61" s="57"/>
      <c r="G61" s="31"/>
      <c r="M61" s="30" t="s">
        <v>499</v>
      </c>
      <c r="N61" s="29">
        <v>19</v>
      </c>
      <c r="O61" s="29">
        <v>1987</v>
      </c>
      <c r="Q61" s="29" t="s">
        <v>499</v>
      </c>
      <c r="R61" s="29">
        <v>19</v>
      </c>
      <c r="S61" s="29">
        <v>2036</v>
      </c>
      <c r="U61" s="30" t="s">
        <v>522</v>
      </c>
      <c r="V61" s="29">
        <v>10</v>
      </c>
      <c r="W61" s="29">
        <v>2022</v>
      </c>
      <c r="X61" s="29" t="s">
        <v>730</v>
      </c>
      <c r="Y61" s="30" t="s">
        <v>534</v>
      </c>
      <c r="DA61" s="42"/>
      <c r="EA61" s="30"/>
      <c r="EB61" s="30"/>
      <c r="ED61" s="30"/>
      <c r="HK61" s="54"/>
      <c r="HL61" s="54"/>
      <c r="HM61" s="47"/>
      <c r="HN61" s="47" t="s">
        <v>720</v>
      </c>
      <c r="IW61" s="36">
        <v>41743.691400462965</v>
      </c>
      <c r="IX61" s="36">
        <v>41743.700381944444</v>
      </c>
      <c r="IY61" s="29" t="s">
        <v>829</v>
      </c>
      <c r="IZ61" s="29" t="s">
        <v>493</v>
      </c>
      <c r="JP61" s="30" t="s">
        <v>531</v>
      </c>
      <c r="JQ61" s="128" t="s">
        <v>64</v>
      </c>
      <c r="JS61" s="29">
        <v>800</v>
      </c>
      <c r="JU61" s="54"/>
      <c r="JV61" s="30" t="s">
        <v>539</v>
      </c>
      <c r="JW61" s="30" t="s">
        <v>457</v>
      </c>
      <c r="JX61" s="30" t="s">
        <v>438</v>
      </c>
      <c r="JY61" s="30" t="s">
        <v>825</v>
      </c>
      <c r="KB61" s="48">
        <v>41759</v>
      </c>
      <c r="KC61" s="29" t="s">
        <v>788</v>
      </c>
      <c r="KE61" s="29" t="s">
        <v>816</v>
      </c>
      <c r="KF61" s="29" t="s">
        <v>439</v>
      </c>
      <c r="KG61" s="127" t="s">
        <v>984</v>
      </c>
      <c r="KH61" s="29" t="s">
        <v>447</v>
      </c>
      <c r="KI61" s="127" t="s">
        <v>478</v>
      </c>
      <c r="KJ61" s="30">
        <v>25</v>
      </c>
      <c r="KK61" s="29" t="s">
        <v>442</v>
      </c>
      <c r="KL61" s="29">
        <v>1985</v>
      </c>
      <c r="KM61" s="29" t="s">
        <v>78</v>
      </c>
      <c r="KN61" s="30" t="s">
        <v>493</v>
      </c>
      <c r="KO61" s="30" t="s">
        <v>452</v>
      </c>
      <c r="KP61" s="29">
        <v>123456</v>
      </c>
      <c r="KR61" s="29">
        <v>11</v>
      </c>
      <c r="KS61" s="29" t="s">
        <v>461</v>
      </c>
      <c r="KT61" s="29">
        <v>2041</v>
      </c>
      <c r="KU61" s="29" t="s">
        <v>448</v>
      </c>
      <c r="KV61" s="30" t="s">
        <v>540</v>
      </c>
      <c r="KW61" s="30" t="s">
        <v>540</v>
      </c>
      <c r="KX61" s="30" t="s">
        <v>809</v>
      </c>
      <c r="KY61" s="30" t="s">
        <v>809</v>
      </c>
      <c r="KZ61" s="29" t="s">
        <v>449</v>
      </c>
      <c r="LA61" s="29" t="s">
        <v>533</v>
      </c>
      <c r="LB61" s="29" t="s">
        <v>533</v>
      </c>
      <c r="LC61" s="30" t="s">
        <v>518</v>
      </c>
      <c r="LD61" s="30" t="s">
        <v>699</v>
      </c>
      <c r="LE61" s="30" t="s">
        <v>453</v>
      </c>
      <c r="LF61" s="30" t="s">
        <v>195</v>
      </c>
      <c r="LG61" s="29" t="s">
        <v>440</v>
      </c>
      <c r="LH61" s="29" t="s">
        <v>441</v>
      </c>
      <c r="LI61" s="29">
        <v>108</v>
      </c>
      <c r="LJ61" s="30" t="s">
        <v>464</v>
      </c>
      <c r="LK61" s="30" t="s">
        <v>465</v>
      </c>
      <c r="LL61" s="30" t="s">
        <v>452</v>
      </c>
      <c r="LN61" s="30"/>
      <c r="LO61" s="30"/>
      <c r="LP61" s="30"/>
      <c r="LR61" s="30" t="s">
        <v>451</v>
      </c>
      <c r="LS61" s="30" t="s">
        <v>452</v>
      </c>
      <c r="LT61" s="29">
        <v>899.99</v>
      </c>
      <c r="LV61" s="30" t="s">
        <v>828</v>
      </c>
      <c r="LW61" s="30">
        <v>456</v>
      </c>
      <c r="LX61" s="29" t="s">
        <v>58</v>
      </c>
      <c r="LY61" s="30" t="s">
        <v>351</v>
      </c>
      <c r="LZ61" s="29" t="s">
        <v>22</v>
      </c>
    </row>
    <row r="62" spans="2:338" ht="75" hidden="1" x14ac:dyDescent="0.25">
      <c r="B62" s="44">
        <v>1</v>
      </c>
      <c r="C62" s="50" t="s">
        <v>313</v>
      </c>
      <c r="E62" s="30"/>
      <c r="F62" s="31"/>
      <c r="G62" s="31"/>
      <c r="M62" s="29" t="s">
        <v>499</v>
      </c>
      <c r="N62" s="29">
        <v>20</v>
      </c>
      <c r="O62" s="29">
        <v>1987</v>
      </c>
      <c r="Q62" s="29" t="s">
        <v>499</v>
      </c>
      <c r="R62" s="29">
        <v>20</v>
      </c>
      <c r="S62" s="29">
        <v>2036</v>
      </c>
      <c r="U62" s="30" t="s">
        <v>522</v>
      </c>
      <c r="V62" s="29">
        <v>10</v>
      </c>
      <c r="W62" s="29">
        <v>2022</v>
      </c>
      <c r="Y62" s="30" t="s">
        <v>534</v>
      </c>
      <c r="HK62" s="54"/>
      <c r="HL62" s="54"/>
      <c r="HM62" s="47"/>
      <c r="HN62" s="47" t="s">
        <v>720</v>
      </c>
      <c r="HP62" s="30" t="s">
        <v>456</v>
      </c>
      <c r="HQ62" s="29" t="s">
        <v>531</v>
      </c>
      <c r="HR62" s="29" t="s">
        <v>69</v>
      </c>
      <c r="HS62" s="29">
        <v>200</v>
      </c>
      <c r="IW62" s="36">
        <v>41724.608923611115</v>
      </c>
      <c r="IX62" s="36">
        <v>41724.616539351853</v>
      </c>
      <c r="IY62" s="29" t="s">
        <v>782</v>
      </c>
      <c r="JP62" s="30" t="s">
        <v>727</v>
      </c>
      <c r="JQ62" s="128" t="s">
        <v>473</v>
      </c>
      <c r="JS62" s="29">
        <v>600</v>
      </c>
      <c r="JU62" s="54"/>
      <c r="JV62" s="30" t="s">
        <v>541</v>
      </c>
      <c r="JW62" s="30" t="s">
        <v>457</v>
      </c>
      <c r="JX62" s="30" t="s">
        <v>438</v>
      </c>
      <c r="JY62" s="29" t="s">
        <v>728</v>
      </c>
      <c r="KB62" s="48">
        <v>41733</v>
      </c>
      <c r="KC62" s="29" t="s">
        <v>538</v>
      </c>
      <c r="KE62" s="29" t="s">
        <v>778</v>
      </c>
      <c r="KF62" s="29" t="s">
        <v>439</v>
      </c>
      <c r="KG62" s="29" t="s">
        <v>501</v>
      </c>
      <c r="KH62" s="29" t="s">
        <v>447</v>
      </c>
      <c r="KI62" s="127" t="s">
        <v>983</v>
      </c>
      <c r="KJ62" s="30" t="s">
        <v>444</v>
      </c>
      <c r="KK62" s="29" t="s">
        <v>445</v>
      </c>
      <c r="KL62" s="29">
        <v>1986</v>
      </c>
      <c r="KM62" s="29" t="s">
        <v>78</v>
      </c>
      <c r="KN62" s="30" t="s">
        <v>493</v>
      </c>
      <c r="KP62" s="29">
        <v>123456</v>
      </c>
      <c r="KR62" s="29">
        <v>29</v>
      </c>
      <c r="KS62" s="29" t="s">
        <v>446</v>
      </c>
      <c r="KT62" s="29">
        <v>2037</v>
      </c>
      <c r="KU62" s="29" t="s">
        <v>448</v>
      </c>
      <c r="KV62" s="30" t="s">
        <v>540</v>
      </c>
      <c r="KW62" s="30" t="s">
        <v>540</v>
      </c>
      <c r="KX62" s="30" t="s">
        <v>500</v>
      </c>
      <c r="KY62" s="30" t="s">
        <v>500</v>
      </c>
      <c r="KZ62" s="29" t="s">
        <v>449</v>
      </c>
      <c r="LA62" s="29" t="s">
        <v>533</v>
      </c>
      <c r="LB62" s="29" t="s">
        <v>533</v>
      </c>
      <c r="LC62" s="30" t="s">
        <v>518</v>
      </c>
      <c r="LD62" s="30" t="s">
        <v>535</v>
      </c>
      <c r="LE62" s="30" t="s">
        <v>453</v>
      </c>
      <c r="LF62" s="30" t="s">
        <v>195</v>
      </c>
      <c r="LG62" s="29" t="s">
        <v>440</v>
      </c>
      <c r="LH62" s="29" t="s">
        <v>441</v>
      </c>
      <c r="LI62" s="29">
        <v>108</v>
      </c>
      <c r="LJ62" s="29">
        <v>10</v>
      </c>
      <c r="LK62" s="29">
        <v>2021</v>
      </c>
      <c r="LL62" s="30" t="s">
        <v>452</v>
      </c>
      <c r="LN62" s="30"/>
      <c r="LO62" s="30"/>
      <c r="LP62" s="30"/>
      <c r="LR62" s="30" t="s">
        <v>451</v>
      </c>
      <c r="LS62" s="30" t="s">
        <v>452</v>
      </c>
      <c r="LT62" s="54">
        <v>1184.23</v>
      </c>
      <c r="LV62" s="30" t="s">
        <v>781</v>
      </c>
      <c r="LW62" s="30">
        <v>456</v>
      </c>
      <c r="LX62" s="29" t="s">
        <v>58</v>
      </c>
      <c r="LY62" s="30" t="s">
        <v>351</v>
      </c>
      <c r="LZ62" s="29" t="s">
        <v>22</v>
      </c>
    </row>
    <row r="63" spans="2:338" ht="30" hidden="1" x14ac:dyDescent="0.25">
      <c r="B63" s="44">
        <v>1</v>
      </c>
      <c r="C63" s="50" t="s">
        <v>513</v>
      </c>
      <c r="D63" s="29" t="s">
        <v>1120</v>
      </c>
      <c r="E63" s="29" t="s">
        <v>1116</v>
      </c>
      <c r="F63" s="31" t="str">
        <f>HYPERLINK("C:\Users\kapalev\Desktop\SALT Automation Phase 2 - BACKUP\Projects\SALT\Snapshots\BPAYbillpayBankTransferPaymentFull_IN-MU-LT-J27180\2014724\202338\Iterator_1\BPAYbillpayBankTransferPaymentFull1.xlsx","Snapshot")</f>
        <v>Snapshot</v>
      </c>
      <c r="G63" s="31" t="str">
        <f>HYPERLINK("C:\Users\kapalev\Desktop\SALT Automation Phase 2 - BACKUP\Projects\SALT\Snapshots\BPAYbillpayBankTransferPaymentFull_IN-MU-LT-J27180\2014724\202338\Iterator_1\Merge.html","Result")</f>
        <v>Result</v>
      </c>
      <c r="IW63" s="36">
        <v>41844.849745370368</v>
      </c>
      <c r="IX63" s="36">
        <v>41844.849814814814</v>
      </c>
      <c r="IY63" s="29" t="s">
        <v>1027</v>
      </c>
      <c r="JA63" s="42" t="s">
        <v>443</v>
      </c>
      <c r="JB63" s="29" t="s">
        <v>508</v>
      </c>
      <c r="JC63" s="29" t="s">
        <v>517</v>
      </c>
      <c r="JD63" s="29" t="s">
        <v>1095</v>
      </c>
      <c r="JE63" s="58" t="s">
        <v>963</v>
      </c>
      <c r="JF63" s="54">
        <v>1019.1</v>
      </c>
      <c r="JG63" s="30" t="s">
        <v>527</v>
      </c>
      <c r="JJ63" s="29" t="s">
        <v>310</v>
      </c>
      <c r="JK63" s="29">
        <v>11</v>
      </c>
      <c r="JL63" s="29" t="s">
        <v>523</v>
      </c>
      <c r="JM63" s="29" t="s">
        <v>524</v>
      </c>
      <c r="JO63" s="29" t="s">
        <v>1209</v>
      </c>
      <c r="JQ63" s="128" t="s">
        <v>69</v>
      </c>
      <c r="KI63" s="127" t="s">
        <v>479</v>
      </c>
    </row>
    <row r="64" spans="2:338" ht="30" hidden="1" x14ac:dyDescent="0.25">
      <c r="B64" s="243">
        <v>1</v>
      </c>
      <c r="C64" s="206" t="s">
        <v>514</v>
      </c>
      <c r="D64" s="29" t="s">
        <v>1120</v>
      </c>
      <c r="E64" s="29" t="s">
        <v>1116</v>
      </c>
      <c r="F64" s="31" t="str">
        <f>HYPERLINK("\\gdc-data\Team\Test Team\!Testing Details\Automation\Vikram\Vikram\SALT Automation Phase 2 - BACKUP\Projects\SALT\Snapshots\BPAYbillpayBankTransferPaymentPartial_IN-MU-LT-J27180\2014711\10558\Iterator_1\BPAYbillpayBankTransferPaymentPartial1.xlsx","Snapshot")</f>
        <v>Snapshot</v>
      </c>
      <c r="G64" s="31" t="str">
        <f>HYPERLINK("\\gdc-data\Team\Test Team\!Testing Details\Automation\Vikram\Vikram\SALT Automation Phase 2 - BACKUP\Projects\SALT\Snapshots\BPAYbillpayBankTransferPaymentPartial_IN-MU-LT-J27180\2014711\10558\Iterator_1\Merge.html","Result")</f>
        <v>Result</v>
      </c>
      <c r="IW64" s="36">
        <v>41831.454953703702</v>
      </c>
      <c r="IX64" s="36">
        <v>41831.455011574071</v>
      </c>
      <c r="IY64" s="29" t="s">
        <v>1028</v>
      </c>
      <c r="JA64" s="29" t="s">
        <v>443</v>
      </c>
      <c r="JB64" s="29" t="s">
        <v>508</v>
      </c>
      <c r="JC64" s="29" t="s">
        <v>517</v>
      </c>
      <c r="JD64" s="125" t="s">
        <v>1095</v>
      </c>
      <c r="JE64" s="58" t="s">
        <v>963</v>
      </c>
      <c r="JF64" s="29">
        <v>800.4</v>
      </c>
      <c r="JG64" s="29" t="s">
        <v>528</v>
      </c>
      <c r="JJ64" s="29" t="s">
        <v>310</v>
      </c>
      <c r="JK64" s="29">
        <v>12</v>
      </c>
      <c r="JL64" s="29" t="s">
        <v>523</v>
      </c>
      <c r="JM64" s="29" t="s">
        <v>524</v>
      </c>
      <c r="JO64" s="29" t="s">
        <v>1137</v>
      </c>
    </row>
    <row r="65" spans="1:338" ht="30" hidden="1" x14ac:dyDescent="0.25">
      <c r="B65" s="243">
        <v>1</v>
      </c>
      <c r="C65" s="206" t="s">
        <v>515</v>
      </c>
      <c r="D65" s="29" t="s">
        <v>1120</v>
      </c>
      <c r="E65" s="29" t="s">
        <v>1116</v>
      </c>
      <c r="F65" s="31" t="str">
        <f>HYPERLINK("\\gdc-data\Team\Test Team\!Testing Details\Automation\Vikram\Vikram\SALT Automation Phase 2 - BACKUP\Projects\SALT\Snapshots\BPAYbillpayBankTransferPaymentHigher_IN-MU-LT-J27180\2014711\105532\Iterator_1\BPAYbillpayBankTransferPaymentHigher1.xlsx","Snapshot")</f>
        <v>Snapshot</v>
      </c>
      <c r="G65" s="31" t="str">
        <f>HYPERLINK("\\gdc-data\Team\Test Team\!Testing Details\Automation\Vikram\Vikram\SALT Automation Phase 2 - BACKUP\Projects\SALT\Snapshots\BPAYbillpayBankTransferPaymentHigher_IN-MU-LT-J27180\2014711\105532\Iterator_1\Merge.html","Result")</f>
        <v>Result</v>
      </c>
      <c r="IW65" s="36">
        <v>41831.455231481479</v>
      </c>
      <c r="IX65" s="36">
        <v>41831.455289351848</v>
      </c>
      <c r="IY65" s="29" t="s">
        <v>1028</v>
      </c>
      <c r="JA65" s="29" t="s">
        <v>443</v>
      </c>
      <c r="JB65" s="29" t="s">
        <v>508</v>
      </c>
      <c r="JC65" s="29" t="s">
        <v>517</v>
      </c>
      <c r="JD65" s="125" t="s">
        <v>1095</v>
      </c>
      <c r="JE65" s="58" t="s">
        <v>963</v>
      </c>
      <c r="JF65" s="29">
        <v>1055.6300000000001</v>
      </c>
      <c r="JG65" s="30" t="s">
        <v>529</v>
      </c>
      <c r="JJ65" s="29" t="s">
        <v>310</v>
      </c>
      <c r="JK65" s="29">
        <v>13</v>
      </c>
      <c r="JL65" s="29" t="s">
        <v>523</v>
      </c>
      <c r="JM65" s="29" t="s">
        <v>524</v>
      </c>
      <c r="JO65" s="29" t="s">
        <v>1138</v>
      </c>
    </row>
    <row r="66" spans="1:338" s="125" customFormat="1" ht="30" hidden="1" x14ac:dyDescent="0.25">
      <c r="A66" s="43"/>
      <c r="B66" s="243">
        <v>1</v>
      </c>
      <c r="C66" s="206" t="s">
        <v>1018</v>
      </c>
      <c r="D66" s="125" t="s">
        <v>1120</v>
      </c>
      <c r="E66" s="125" t="s">
        <v>1116</v>
      </c>
      <c r="F66" s="31" t="str">
        <f>HYPERLINK("\\gdc-data\Team\Test Team\!Testing Details\Automation\Vikram\Vikram\SALT Automation Phase 2 - BACKUP\Projects\SALT\Snapshots\BPAYbillpayBankTransferPaymentIgnore_IN-MU-LT-J27180\2014711\105550\Iterator_1\BPAYbillpayBankTransferPaymentIgnore1.xlsx","Snapshot")</f>
        <v>Snapshot</v>
      </c>
      <c r="G66" s="31" t="str">
        <f>HYPERLINK("\\gdc-data\Team\Test Team\!Testing Details\Automation\Vikram\Vikram\SALT Automation Phase 2 - BACKUP\Projects\SALT\Snapshots\BPAYbillpayBankTransferPaymentIgnore_IN-MU-LT-J27180\2014711\105550\Iterator_1\Merge.html","Result")</f>
        <v>Result</v>
      </c>
      <c r="IW66" s="36">
        <v>41831.455439814818</v>
      </c>
      <c r="IX66" s="36">
        <v>41831.455497685187</v>
      </c>
      <c r="IY66" s="125" t="s">
        <v>1028</v>
      </c>
      <c r="JA66" s="125" t="s">
        <v>443</v>
      </c>
      <c r="JB66" s="125" t="s">
        <v>508</v>
      </c>
      <c r="JC66" s="125" t="s">
        <v>517</v>
      </c>
      <c r="JD66" s="125" t="s">
        <v>1095</v>
      </c>
      <c r="JE66" s="58" t="s">
        <v>963</v>
      </c>
      <c r="JF66" s="125">
        <v>1368.98</v>
      </c>
      <c r="JG66" s="125" t="s">
        <v>528</v>
      </c>
      <c r="JJ66" s="125" t="s">
        <v>310</v>
      </c>
      <c r="JK66" s="125">
        <v>14</v>
      </c>
      <c r="JL66" s="125" t="s">
        <v>523</v>
      </c>
      <c r="JM66" s="125" t="s">
        <v>524</v>
      </c>
      <c r="JO66" s="125" t="s">
        <v>1140</v>
      </c>
    </row>
    <row r="67" spans="1:338" s="125" customFormat="1" hidden="1" x14ac:dyDescent="0.25">
      <c r="A67" s="43"/>
      <c r="B67" s="243">
        <v>1</v>
      </c>
      <c r="C67" s="206" t="s">
        <v>1020</v>
      </c>
      <c r="D67" s="244" t="s">
        <v>1120</v>
      </c>
      <c r="E67" s="125" t="s">
        <v>1116</v>
      </c>
      <c r="F67" s="31"/>
      <c r="G67" s="31"/>
      <c r="IW67" s="36">
        <v>41763.805173611108</v>
      </c>
      <c r="IX67" s="36">
        <v>41763.805231481485</v>
      </c>
      <c r="IY67" s="125" t="s">
        <v>1028</v>
      </c>
      <c r="JA67" s="42" t="s">
        <v>443</v>
      </c>
      <c r="JB67" s="125" t="s">
        <v>505</v>
      </c>
      <c r="JC67" s="125" t="s">
        <v>964</v>
      </c>
      <c r="JD67" s="125" t="s">
        <v>1095</v>
      </c>
      <c r="JE67" s="58" t="s">
        <v>1024</v>
      </c>
      <c r="JF67" s="54">
        <v>940.45</v>
      </c>
      <c r="JG67" s="126" t="s">
        <v>527</v>
      </c>
      <c r="JJ67" s="125" t="s">
        <v>310</v>
      </c>
      <c r="JK67" s="125">
        <v>19</v>
      </c>
      <c r="JL67" s="125" t="s">
        <v>523</v>
      </c>
      <c r="JM67" s="125" t="s">
        <v>524</v>
      </c>
      <c r="JO67" s="125" t="s">
        <v>1147</v>
      </c>
      <c r="KI67" s="127" t="s">
        <v>479</v>
      </c>
    </row>
    <row r="68" spans="1:338" s="125" customFormat="1" hidden="1" x14ac:dyDescent="0.25">
      <c r="A68" s="43"/>
      <c r="B68" s="243">
        <v>1</v>
      </c>
      <c r="C68" s="206" t="s">
        <v>1021</v>
      </c>
      <c r="D68" s="126"/>
      <c r="F68" s="31"/>
      <c r="G68" s="31"/>
      <c r="IW68" s="36">
        <v>41763.833148148151</v>
      </c>
      <c r="IX68" s="36">
        <v>41763.83321759259</v>
      </c>
      <c r="IY68" s="125" t="s">
        <v>1027</v>
      </c>
      <c r="JA68" s="125" t="s">
        <v>443</v>
      </c>
      <c r="JB68" s="125" t="s">
        <v>505</v>
      </c>
      <c r="JC68" s="125" t="s">
        <v>517</v>
      </c>
      <c r="JD68" s="125" t="s">
        <v>1095</v>
      </c>
      <c r="JE68" s="58" t="s">
        <v>1024</v>
      </c>
      <c r="JF68" s="125">
        <v>1322.91</v>
      </c>
      <c r="JG68" s="125" t="s">
        <v>528</v>
      </c>
      <c r="JJ68" s="125" t="s">
        <v>310</v>
      </c>
      <c r="JK68" s="125">
        <v>20</v>
      </c>
      <c r="JL68" s="125" t="s">
        <v>523</v>
      </c>
      <c r="JM68" s="125" t="s">
        <v>524</v>
      </c>
      <c r="JO68" s="125" t="s">
        <v>1037</v>
      </c>
    </row>
    <row r="69" spans="1:338" s="125" customFormat="1" hidden="1" x14ac:dyDescent="0.25">
      <c r="A69" s="43"/>
      <c r="B69" s="243">
        <v>1</v>
      </c>
      <c r="C69" s="206" t="s">
        <v>1022</v>
      </c>
      <c r="D69" s="126"/>
      <c r="F69" s="31"/>
      <c r="G69" s="31"/>
      <c r="IW69" s="36">
        <v>41762.579884259256</v>
      </c>
      <c r="IX69" s="36">
        <v>41762.579953703702</v>
      </c>
      <c r="IY69" s="125" t="s">
        <v>1027</v>
      </c>
      <c r="JA69" s="125" t="s">
        <v>443</v>
      </c>
      <c r="JB69" s="125" t="s">
        <v>505</v>
      </c>
      <c r="JC69" s="125" t="s">
        <v>517</v>
      </c>
      <c r="JD69" s="125" t="s">
        <v>1095</v>
      </c>
      <c r="JE69" s="58" t="s">
        <v>1024</v>
      </c>
      <c r="JF69" s="125">
        <v>1151.81</v>
      </c>
      <c r="JG69" s="126" t="s">
        <v>529</v>
      </c>
      <c r="JJ69" s="125" t="s">
        <v>310</v>
      </c>
      <c r="JK69" s="125">
        <v>21</v>
      </c>
      <c r="JL69" s="125" t="s">
        <v>523</v>
      </c>
      <c r="JM69" s="125" t="s">
        <v>524</v>
      </c>
      <c r="JO69" s="125" t="s">
        <v>1025</v>
      </c>
    </row>
    <row r="70" spans="1:338" s="125" customFormat="1" hidden="1" x14ac:dyDescent="0.25">
      <c r="A70" s="43"/>
      <c r="B70" s="243">
        <v>1</v>
      </c>
      <c r="C70" s="206" t="s">
        <v>1023</v>
      </c>
      <c r="D70" s="126"/>
      <c r="F70" s="31"/>
      <c r="G70" s="31"/>
      <c r="IW70" s="36">
        <v>41762.579976851855</v>
      </c>
      <c r="IX70" s="36">
        <v>41762.580046296294</v>
      </c>
      <c r="IY70" s="125" t="s">
        <v>1027</v>
      </c>
      <c r="JA70" s="125" t="s">
        <v>443</v>
      </c>
      <c r="JB70" s="125" t="s">
        <v>505</v>
      </c>
      <c r="JC70" s="125" t="s">
        <v>517</v>
      </c>
      <c r="JD70" s="125" t="s">
        <v>1095</v>
      </c>
      <c r="JE70" s="58" t="s">
        <v>1024</v>
      </c>
      <c r="JF70" s="125">
        <v>1151.81</v>
      </c>
      <c r="JG70" s="125" t="s">
        <v>528</v>
      </c>
      <c r="JJ70" s="125" t="s">
        <v>310</v>
      </c>
      <c r="JK70" s="125">
        <v>22</v>
      </c>
      <c r="JL70" s="125" t="s">
        <v>523</v>
      </c>
      <c r="JM70" s="125" t="s">
        <v>524</v>
      </c>
      <c r="JO70" s="125" t="s">
        <v>1026</v>
      </c>
    </row>
    <row r="71" spans="1:338" ht="30" hidden="1" x14ac:dyDescent="0.25">
      <c r="B71" s="44">
        <v>1</v>
      </c>
      <c r="C71" s="50" t="s">
        <v>548</v>
      </c>
      <c r="E71" s="30"/>
      <c r="F71" s="31"/>
      <c r="G71" s="31"/>
      <c r="BH71" s="59" t="s">
        <v>449</v>
      </c>
      <c r="BI71" s="60">
        <v>456</v>
      </c>
      <c r="BJ71" s="60" t="s">
        <v>675</v>
      </c>
      <c r="BK71" s="60"/>
      <c r="BL71" s="60" t="s">
        <v>676</v>
      </c>
      <c r="BM71" s="59"/>
      <c r="BN71" s="59"/>
      <c r="BO71" s="59"/>
      <c r="BP71" s="59"/>
      <c r="BQ71" s="59"/>
      <c r="BR71" s="60"/>
      <c r="BS71" s="60"/>
      <c r="BT71" s="60"/>
      <c r="CQ71" s="30" t="s">
        <v>689</v>
      </c>
      <c r="CR71" s="30" t="s">
        <v>690</v>
      </c>
      <c r="CS71" s="38" t="s">
        <v>691</v>
      </c>
      <c r="CT71" s="30" t="s">
        <v>62</v>
      </c>
      <c r="CU71" s="29">
        <v>900</v>
      </c>
      <c r="CV71" s="30" t="s">
        <v>74</v>
      </c>
      <c r="CX71" s="30" t="s">
        <v>559</v>
      </c>
      <c r="CY71" s="30" t="s">
        <v>694</v>
      </c>
      <c r="CZ71" s="60" t="s">
        <v>670</v>
      </c>
      <c r="DA71" s="60" t="s">
        <v>450</v>
      </c>
      <c r="DB71" s="59" t="s">
        <v>439</v>
      </c>
      <c r="DC71" s="59" t="s">
        <v>476</v>
      </c>
      <c r="DD71" s="59" t="s">
        <v>447</v>
      </c>
      <c r="DE71" s="59" t="s">
        <v>477</v>
      </c>
      <c r="DF71" s="59" t="s">
        <v>469</v>
      </c>
      <c r="DG71" s="59">
        <v>5</v>
      </c>
      <c r="DH71" s="59">
        <v>1987</v>
      </c>
      <c r="DI71" s="60" t="s">
        <v>672</v>
      </c>
      <c r="DJ71" s="60" t="s">
        <v>672</v>
      </c>
      <c r="DK71" s="60" t="s">
        <v>532</v>
      </c>
      <c r="DL71" s="60" t="s">
        <v>78</v>
      </c>
      <c r="DM71" s="60" t="s">
        <v>443</v>
      </c>
      <c r="DN71" s="60" t="s">
        <v>673</v>
      </c>
      <c r="DO71" s="60" t="s">
        <v>673</v>
      </c>
      <c r="DP71" s="59" t="s">
        <v>469</v>
      </c>
      <c r="DQ71" s="59">
        <v>5</v>
      </c>
      <c r="DR71" s="59">
        <v>2024</v>
      </c>
      <c r="DS71" s="29" t="s">
        <v>674</v>
      </c>
      <c r="DT71" s="59" t="s">
        <v>449</v>
      </c>
      <c r="DU71" s="60">
        <v>456</v>
      </c>
      <c r="DV71" s="60" t="s">
        <v>675</v>
      </c>
      <c r="DW71" s="60"/>
      <c r="DX71" s="60" t="s">
        <v>676</v>
      </c>
      <c r="DY71" s="29" t="s">
        <v>519</v>
      </c>
      <c r="DZ71" s="60" t="s">
        <v>453</v>
      </c>
      <c r="EA71" s="60" t="s">
        <v>195</v>
      </c>
      <c r="EB71" s="59" t="s">
        <v>476</v>
      </c>
      <c r="EC71" s="59"/>
      <c r="ED71" s="59">
        <v>108</v>
      </c>
      <c r="EE71" s="59">
        <v>10</v>
      </c>
      <c r="EF71" s="59">
        <v>2022</v>
      </c>
      <c r="EG71" s="29" t="b">
        <v>1</v>
      </c>
      <c r="IT71" s="30" t="s">
        <v>688</v>
      </c>
      <c r="IW71" s="36">
        <v>41698.541365740741</v>
      </c>
      <c r="IX71" s="36">
        <v>41698.54760416667</v>
      </c>
      <c r="IY71" s="29" t="s">
        <v>716</v>
      </c>
      <c r="IZ71" s="29" t="s">
        <v>443</v>
      </c>
      <c r="JA71" s="30" t="s">
        <v>555</v>
      </c>
      <c r="JB71" s="30" t="s">
        <v>351</v>
      </c>
      <c r="JC71" s="30" t="s">
        <v>62</v>
      </c>
      <c r="JD71" s="29">
        <v>900</v>
      </c>
      <c r="JE71" s="30" t="s">
        <v>74</v>
      </c>
      <c r="JF71" s="30" t="s">
        <v>87</v>
      </c>
      <c r="JG71" s="29">
        <v>900</v>
      </c>
      <c r="JO71" s="30" t="s">
        <v>22</v>
      </c>
      <c r="JR71" s="30"/>
      <c r="JS71" s="29">
        <v>900</v>
      </c>
      <c r="LX71" s="56" t="s">
        <v>555</v>
      </c>
      <c r="LY71" s="56" t="s">
        <v>351</v>
      </c>
      <c r="LZ71" s="56" t="s">
        <v>22</v>
      </c>
    </row>
    <row r="72" spans="1:338" ht="45" hidden="1" x14ac:dyDescent="0.25">
      <c r="B72" s="44">
        <v>1</v>
      </c>
      <c r="C72" s="50" t="s">
        <v>549</v>
      </c>
      <c r="E72" s="30"/>
      <c r="F72" s="31"/>
      <c r="G72" s="31"/>
      <c r="BH72" s="59" t="s">
        <v>449</v>
      </c>
      <c r="BI72" s="60">
        <v>456</v>
      </c>
      <c r="BJ72" s="60" t="s">
        <v>675</v>
      </c>
      <c r="BK72" s="60"/>
      <c r="BL72" s="60" t="s">
        <v>676</v>
      </c>
      <c r="BM72" s="59"/>
      <c r="BN72" s="59"/>
      <c r="BO72" s="59"/>
      <c r="BP72" s="59"/>
      <c r="BQ72" s="59"/>
      <c r="BR72" s="60"/>
      <c r="BS72" s="60"/>
      <c r="BT72" s="60"/>
      <c r="CQ72" s="29" t="s">
        <v>689</v>
      </c>
      <c r="CR72" s="59" t="s">
        <v>690</v>
      </c>
      <c r="CS72" s="60" t="s">
        <v>691</v>
      </c>
      <c r="CT72" s="30" t="s">
        <v>71</v>
      </c>
      <c r="CU72" s="29">
        <v>900</v>
      </c>
      <c r="CV72" s="30" t="s">
        <v>74</v>
      </c>
      <c r="CW72" s="60"/>
      <c r="CX72" s="30" t="s">
        <v>559</v>
      </c>
      <c r="CY72" s="29" t="s">
        <v>694</v>
      </c>
      <c r="CZ72" s="29" t="s">
        <v>670</v>
      </c>
      <c r="DA72" s="29" t="s">
        <v>450</v>
      </c>
      <c r="DB72" s="59" t="s">
        <v>439</v>
      </c>
      <c r="DC72" s="59" t="s">
        <v>476</v>
      </c>
      <c r="DD72" s="59" t="s">
        <v>447</v>
      </c>
      <c r="DE72" s="59" t="s">
        <v>477</v>
      </c>
      <c r="DF72" s="59" t="s">
        <v>469</v>
      </c>
      <c r="DG72" s="59">
        <v>5</v>
      </c>
      <c r="DH72" s="59">
        <v>1987</v>
      </c>
      <c r="DI72" s="60" t="s">
        <v>672</v>
      </c>
      <c r="DJ72" s="60" t="s">
        <v>672</v>
      </c>
      <c r="DK72" s="60" t="s">
        <v>706</v>
      </c>
      <c r="DL72" s="60" t="s">
        <v>78</v>
      </c>
      <c r="DM72" s="60" t="s">
        <v>443</v>
      </c>
      <c r="DN72" s="60">
        <v>12345</v>
      </c>
      <c r="DO72" s="60">
        <v>12345</v>
      </c>
      <c r="DP72" s="59" t="s">
        <v>469</v>
      </c>
      <c r="DQ72" s="59">
        <v>5</v>
      </c>
      <c r="DR72" s="59">
        <v>2024</v>
      </c>
      <c r="DS72" s="59" t="s">
        <v>674</v>
      </c>
      <c r="DT72" s="59" t="s">
        <v>449</v>
      </c>
      <c r="DU72" s="60">
        <v>456</v>
      </c>
      <c r="DV72" s="60" t="s">
        <v>675</v>
      </c>
      <c r="DW72" s="60"/>
      <c r="DX72" s="60" t="s">
        <v>518</v>
      </c>
      <c r="DY72" s="60" t="s">
        <v>519</v>
      </c>
      <c r="DZ72" s="29" t="s">
        <v>453</v>
      </c>
      <c r="EA72" s="60" t="s">
        <v>195</v>
      </c>
      <c r="EB72" s="60" t="s">
        <v>476</v>
      </c>
      <c r="EC72" s="59"/>
      <c r="ED72" s="59">
        <v>108</v>
      </c>
      <c r="EE72" s="59">
        <v>10</v>
      </c>
      <c r="EF72" s="59">
        <v>2022</v>
      </c>
      <c r="EG72" s="29" t="b">
        <v>1</v>
      </c>
      <c r="EH72" s="60"/>
      <c r="IT72" s="29" t="s">
        <v>688</v>
      </c>
      <c r="IW72" s="36">
        <v>41698.583541666667</v>
      </c>
      <c r="IX72" s="36">
        <v>41698.591111111113</v>
      </c>
      <c r="IY72" s="29" t="s">
        <v>717</v>
      </c>
      <c r="IZ72" s="60" t="s">
        <v>443</v>
      </c>
      <c r="JA72" s="30" t="s">
        <v>555</v>
      </c>
      <c r="JB72" s="30" t="s">
        <v>351</v>
      </c>
      <c r="JC72" s="30" t="s">
        <v>71</v>
      </c>
      <c r="JD72" s="29">
        <v>900</v>
      </c>
      <c r="JE72" s="30" t="s">
        <v>74</v>
      </c>
      <c r="JF72" s="30" t="s">
        <v>87</v>
      </c>
      <c r="JG72" s="29">
        <v>900</v>
      </c>
      <c r="JO72" s="30" t="s">
        <v>22</v>
      </c>
      <c r="JR72" s="30"/>
      <c r="JS72" s="29">
        <v>900</v>
      </c>
      <c r="LX72" s="30" t="s">
        <v>555</v>
      </c>
      <c r="LY72" s="30" t="s">
        <v>351</v>
      </c>
      <c r="LZ72" s="30" t="s">
        <v>22</v>
      </c>
    </row>
    <row r="73" spans="1:338" hidden="1" x14ac:dyDescent="0.25">
      <c r="B73" s="61">
        <v>1</v>
      </c>
      <c r="C73" s="50" t="s">
        <v>551</v>
      </c>
      <c r="F73" s="31"/>
      <c r="G73" s="31"/>
      <c r="BD73" s="62" t="s">
        <v>310</v>
      </c>
      <c r="BE73" s="29">
        <v>9</v>
      </c>
      <c r="BF73" s="29" t="s">
        <v>159</v>
      </c>
      <c r="BG73" s="29" t="s">
        <v>199</v>
      </c>
      <c r="IK73" s="36">
        <v>41625.659791666665</v>
      </c>
      <c r="IU73" s="29" t="s">
        <v>466</v>
      </c>
      <c r="IV73" s="29" t="s">
        <v>466</v>
      </c>
      <c r="JJ73" s="29" t="s">
        <v>548</v>
      </c>
      <c r="JK73" s="29">
        <v>1</v>
      </c>
      <c r="JM73" s="29" t="s">
        <v>199</v>
      </c>
    </row>
    <row r="74" spans="1:338" hidden="1" x14ac:dyDescent="0.25">
      <c r="B74" s="61">
        <v>1</v>
      </c>
      <c r="C74" s="50" t="s">
        <v>552</v>
      </c>
      <c r="F74" s="31"/>
      <c r="G74" s="31"/>
      <c r="BD74" s="62" t="s">
        <v>310</v>
      </c>
      <c r="BE74" s="29">
        <v>11</v>
      </c>
      <c r="BF74" s="30" t="s">
        <v>159</v>
      </c>
      <c r="BG74" s="30" t="s">
        <v>199</v>
      </c>
      <c r="IK74" s="36">
        <v>41625.664699074077</v>
      </c>
      <c r="IU74" s="29" t="s">
        <v>466</v>
      </c>
      <c r="IV74" s="29" t="s">
        <v>466</v>
      </c>
      <c r="JJ74" s="29" t="s">
        <v>548</v>
      </c>
      <c r="JK74" s="29">
        <v>1</v>
      </c>
      <c r="JM74" s="29" t="s">
        <v>199</v>
      </c>
    </row>
    <row r="75" spans="1:338" ht="30" hidden="1" x14ac:dyDescent="0.25">
      <c r="B75" s="61">
        <v>1</v>
      </c>
      <c r="C75" s="50" t="s">
        <v>553</v>
      </c>
      <c r="F75" s="31"/>
      <c r="G75" s="31"/>
      <c r="BD75" s="62"/>
      <c r="BF75" s="30"/>
      <c r="BG75" s="30" t="s">
        <v>310</v>
      </c>
      <c r="HY75" s="29">
        <v>41625.664652777778</v>
      </c>
      <c r="HZ75" s="29" t="s">
        <v>492</v>
      </c>
      <c r="IK75" s="36"/>
      <c r="IU75" s="30" t="s">
        <v>195</v>
      </c>
      <c r="IV75" s="29" t="s">
        <v>466</v>
      </c>
      <c r="JJ75" s="29" t="s">
        <v>549</v>
      </c>
      <c r="JK75" s="29">
        <v>1</v>
      </c>
      <c r="JM75" s="29" t="s">
        <v>199</v>
      </c>
      <c r="LV75" s="29" t="s">
        <v>159</v>
      </c>
      <c r="LW75" s="29" t="s">
        <v>199</v>
      </c>
    </row>
    <row r="76" spans="1:338" hidden="1" x14ac:dyDescent="0.25">
      <c r="B76" s="61">
        <v>1</v>
      </c>
      <c r="C76" s="50" t="s">
        <v>554</v>
      </c>
      <c r="F76" s="31"/>
      <c r="G76" s="31"/>
      <c r="BD76" s="62" t="s">
        <v>310</v>
      </c>
      <c r="BE76" s="29">
        <v>12</v>
      </c>
      <c r="BF76" s="30" t="s">
        <v>159</v>
      </c>
      <c r="BG76" s="30" t="s">
        <v>199</v>
      </c>
      <c r="IK76" s="36">
        <v>41625.667384259257</v>
      </c>
      <c r="IU76" s="30" t="s">
        <v>195</v>
      </c>
      <c r="IV76" s="29" t="s">
        <v>466</v>
      </c>
      <c r="JJ76" s="29" t="s">
        <v>549</v>
      </c>
      <c r="JK76" s="29">
        <v>1</v>
      </c>
      <c r="JM76" s="29" t="s">
        <v>199</v>
      </c>
    </row>
    <row r="77" spans="1:338" hidden="1" x14ac:dyDescent="0.25">
      <c r="B77" s="44">
        <v>1</v>
      </c>
      <c r="C77" s="50" t="s">
        <v>695</v>
      </c>
      <c r="F77" s="57"/>
      <c r="G77" s="31"/>
      <c r="CZ77" s="29" t="s">
        <v>670</v>
      </c>
      <c r="DA77" s="29" t="s">
        <v>671</v>
      </c>
      <c r="IW77" s="36">
        <v>41697.798182870371</v>
      </c>
      <c r="IX77" s="36">
        <v>41697.798981481479</v>
      </c>
      <c r="IY77" s="29" t="s">
        <v>707</v>
      </c>
      <c r="LX77" s="29" t="s">
        <v>555</v>
      </c>
      <c r="LY77" s="29" t="s">
        <v>351</v>
      </c>
      <c r="LZ77" s="29" t="s">
        <v>22</v>
      </c>
    </row>
    <row r="78" spans="1:338" hidden="1" x14ac:dyDescent="0.25">
      <c r="B78" s="44">
        <v>1</v>
      </c>
      <c r="C78" s="50" t="s">
        <v>696</v>
      </c>
      <c r="F78" s="31"/>
      <c r="G78" s="31"/>
      <c r="BH78" s="59" t="s">
        <v>449</v>
      </c>
      <c r="BI78" s="60">
        <v>456</v>
      </c>
      <c r="BJ78" s="60" t="s">
        <v>675</v>
      </c>
      <c r="BK78" s="60"/>
      <c r="BL78" s="60" t="s">
        <v>676</v>
      </c>
      <c r="DC78" s="59" t="s">
        <v>476</v>
      </c>
      <c r="DD78" s="59" t="s">
        <v>447</v>
      </c>
      <c r="DE78" s="59" t="s">
        <v>477</v>
      </c>
      <c r="DF78" s="59" t="s">
        <v>469</v>
      </c>
      <c r="DG78" s="59">
        <v>5</v>
      </c>
      <c r="DH78" s="59">
        <v>1987</v>
      </c>
      <c r="DI78" s="60" t="s">
        <v>672</v>
      </c>
      <c r="DJ78" s="60" t="s">
        <v>672</v>
      </c>
      <c r="DK78" s="60" t="s">
        <v>532</v>
      </c>
      <c r="DL78" s="60" t="s">
        <v>78</v>
      </c>
      <c r="DM78" s="60" t="s">
        <v>443</v>
      </c>
      <c r="DN78" s="60" t="s">
        <v>673</v>
      </c>
      <c r="DO78" s="60" t="s">
        <v>673</v>
      </c>
      <c r="DP78" s="59" t="s">
        <v>469</v>
      </c>
      <c r="DQ78" s="59">
        <v>5</v>
      </c>
      <c r="DR78" s="59">
        <v>2024</v>
      </c>
      <c r="DS78" s="29" t="s">
        <v>674</v>
      </c>
      <c r="DT78" s="59" t="s">
        <v>449</v>
      </c>
      <c r="DU78" s="60">
        <v>456</v>
      </c>
      <c r="DV78" s="60" t="s">
        <v>675</v>
      </c>
      <c r="DW78" s="60"/>
      <c r="DX78" s="60" t="s">
        <v>676</v>
      </c>
      <c r="DY78" s="29" t="s">
        <v>519</v>
      </c>
      <c r="DZ78" s="60" t="s">
        <v>453</v>
      </c>
      <c r="EA78" s="60" t="s">
        <v>195</v>
      </c>
      <c r="EB78" s="59" t="s">
        <v>476</v>
      </c>
      <c r="EC78" s="59"/>
      <c r="ED78" s="59">
        <v>108</v>
      </c>
      <c r="EE78" s="59">
        <v>10</v>
      </c>
      <c r="EF78" s="59">
        <v>2022</v>
      </c>
      <c r="EG78" s="29" t="b">
        <v>1</v>
      </c>
      <c r="IW78" s="36">
        <v>41697.799004629633</v>
      </c>
      <c r="IX78" s="36">
        <v>41697.79991898148</v>
      </c>
      <c r="IY78" s="29" t="s">
        <v>708</v>
      </c>
    </row>
    <row r="79" spans="1:338" hidden="1" x14ac:dyDescent="0.25">
      <c r="B79" s="44">
        <v>1</v>
      </c>
      <c r="C79" s="50" t="s">
        <v>697</v>
      </c>
      <c r="F79" s="31"/>
      <c r="G79" s="31"/>
      <c r="IW79" s="36">
        <v>41697.799930555557</v>
      </c>
      <c r="IX79" s="36">
        <v>41697.800555555557</v>
      </c>
      <c r="IY79" s="29" t="s">
        <v>709</v>
      </c>
    </row>
    <row r="80" spans="1:338" hidden="1" x14ac:dyDescent="0.25">
      <c r="B80" s="44">
        <v>1</v>
      </c>
      <c r="C80" s="47" t="s">
        <v>682</v>
      </c>
      <c r="F80" s="31"/>
      <c r="G80" s="31"/>
      <c r="CQ80" s="30" t="s">
        <v>520</v>
      </c>
      <c r="CR80" s="30" t="s">
        <v>690</v>
      </c>
      <c r="CS80" s="38" t="s">
        <v>691</v>
      </c>
      <c r="IT80" s="30" t="s">
        <v>530</v>
      </c>
      <c r="IW80" s="36">
        <v>41698.541168981479</v>
      </c>
      <c r="IX80" s="36">
        <v>41698.541331018518</v>
      </c>
      <c r="IY80" s="29" t="s">
        <v>715</v>
      </c>
      <c r="IZ80" s="29" t="s">
        <v>443</v>
      </c>
    </row>
    <row r="81" spans="1:338" hidden="1" x14ac:dyDescent="0.25">
      <c r="A81" s="63"/>
      <c r="B81" s="44">
        <v>1</v>
      </c>
      <c r="C81" s="47" t="s">
        <v>550</v>
      </c>
      <c r="CQ81" s="29" t="s">
        <v>689</v>
      </c>
      <c r="CR81" s="29" t="s">
        <v>690</v>
      </c>
      <c r="CS81" s="29" t="s">
        <v>691</v>
      </c>
      <c r="CT81" s="30" t="s">
        <v>73</v>
      </c>
      <c r="CU81" s="29">
        <v>900</v>
      </c>
      <c r="CV81" s="29" t="s">
        <v>74</v>
      </c>
      <c r="CW81" s="30" t="s">
        <v>714</v>
      </c>
      <c r="DB81" s="29" t="s">
        <v>439</v>
      </c>
      <c r="DC81" s="29" t="s">
        <v>476</v>
      </c>
      <c r="DD81" s="29" t="s">
        <v>447</v>
      </c>
      <c r="DE81" s="29" t="s">
        <v>477</v>
      </c>
      <c r="DF81" s="29" t="s">
        <v>469</v>
      </c>
      <c r="DG81" s="29">
        <v>5</v>
      </c>
      <c r="DH81" s="29">
        <v>1987</v>
      </c>
      <c r="DI81" s="29" t="s">
        <v>672</v>
      </c>
      <c r="DJ81" s="29" t="s">
        <v>672</v>
      </c>
      <c r="DK81" s="30" t="s">
        <v>706</v>
      </c>
      <c r="DL81" s="29" t="s">
        <v>78</v>
      </c>
      <c r="DM81" s="29" t="s">
        <v>443</v>
      </c>
      <c r="DN81" s="29">
        <v>12345</v>
      </c>
      <c r="DO81" s="29">
        <v>12345</v>
      </c>
      <c r="DP81" s="29" t="s">
        <v>469</v>
      </c>
      <c r="DQ81" s="29">
        <v>5</v>
      </c>
      <c r="DR81" s="29">
        <v>2024</v>
      </c>
      <c r="DS81" s="29" t="s">
        <v>674</v>
      </c>
      <c r="DT81" s="29" t="s">
        <v>449</v>
      </c>
      <c r="DU81" s="29">
        <v>456</v>
      </c>
      <c r="DV81" s="29" t="s">
        <v>675</v>
      </c>
      <c r="DW81" s="30" t="s">
        <v>522</v>
      </c>
      <c r="DX81" s="29">
        <v>4812</v>
      </c>
      <c r="DY81" s="29" t="s">
        <v>519</v>
      </c>
      <c r="DZ81" s="29" t="s">
        <v>453</v>
      </c>
      <c r="EA81" s="30" t="s">
        <v>195</v>
      </c>
      <c r="EB81" s="29" t="s">
        <v>476</v>
      </c>
      <c r="ED81" s="29">
        <v>108</v>
      </c>
      <c r="EE81" s="29">
        <v>10</v>
      </c>
      <c r="EF81" s="29">
        <v>2022</v>
      </c>
      <c r="EG81" s="29" t="b">
        <v>1</v>
      </c>
      <c r="IT81" s="29" t="s">
        <v>688</v>
      </c>
      <c r="IZ81" s="29" t="s">
        <v>443</v>
      </c>
      <c r="JR81" s="29" t="s">
        <v>83</v>
      </c>
      <c r="JS81" s="29">
        <v>900</v>
      </c>
      <c r="JT81" s="29" t="s">
        <v>85</v>
      </c>
      <c r="JU81" s="29">
        <v>900</v>
      </c>
      <c r="LX81" s="29" t="s">
        <v>555</v>
      </c>
      <c r="LY81" s="29" t="s">
        <v>351</v>
      </c>
      <c r="LZ81" s="29" t="s">
        <v>22</v>
      </c>
    </row>
    <row r="82" spans="1:338" ht="21" hidden="1" x14ac:dyDescent="0.25">
      <c r="A82" s="63"/>
      <c r="B82" s="64">
        <v>1</v>
      </c>
      <c r="C82" s="65" t="s">
        <v>718</v>
      </c>
      <c r="F82" s="57"/>
      <c r="G82" s="31"/>
      <c r="IW82" s="36">
        <v>41758.602268518516</v>
      </c>
      <c r="IX82" s="36">
        <v>41758.602476851855</v>
      </c>
      <c r="IY82" s="29" t="s">
        <v>885</v>
      </c>
    </row>
    <row r="83" spans="1:338" hidden="1" x14ac:dyDescent="0.25">
      <c r="A83" s="63"/>
      <c r="B83" s="44">
        <v>1</v>
      </c>
      <c r="C83" s="66" t="s">
        <v>741</v>
      </c>
      <c r="F83" s="31"/>
      <c r="G83" s="31"/>
      <c r="BU83" s="29" t="s">
        <v>83</v>
      </c>
      <c r="BV83" s="42" t="s">
        <v>776</v>
      </c>
      <c r="IW83" s="36">
        <v>41739.753240740742</v>
      </c>
      <c r="IX83" s="36">
        <v>41739.75440972222</v>
      </c>
      <c r="IY83" s="29" t="s">
        <v>786</v>
      </c>
      <c r="JI83" s="29" t="s">
        <v>443</v>
      </c>
      <c r="LX83" s="29" t="s">
        <v>58</v>
      </c>
      <c r="LY83" s="29" t="s">
        <v>96</v>
      </c>
      <c r="LZ83" s="29" t="s">
        <v>22</v>
      </c>
    </row>
    <row r="84" spans="1:338" ht="30" hidden="1" x14ac:dyDescent="0.25">
      <c r="A84" s="63"/>
      <c r="B84" s="44">
        <v>1</v>
      </c>
      <c r="C84" s="66" t="s">
        <v>743</v>
      </c>
      <c r="F84" s="31"/>
      <c r="G84" s="31"/>
      <c r="BU84" s="29" t="s">
        <v>83</v>
      </c>
      <c r="IW84" s="36">
        <v>41739.75445601852</v>
      </c>
      <c r="IX84" s="36">
        <v>41739.754745370374</v>
      </c>
      <c r="IY84" s="29" t="s">
        <v>796</v>
      </c>
      <c r="JI84" s="29" t="s">
        <v>443</v>
      </c>
    </row>
    <row r="85" spans="1:338" hidden="1" x14ac:dyDescent="0.25">
      <c r="A85" s="63"/>
      <c r="B85" s="44">
        <v>1</v>
      </c>
      <c r="C85" s="66" t="s">
        <v>745</v>
      </c>
      <c r="F85" s="31"/>
      <c r="G85" s="31"/>
      <c r="BU85" s="29" t="s">
        <v>83</v>
      </c>
      <c r="BV85" s="42" t="s">
        <v>776</v>
      </c>
      <c r="BX85" s="29" t="s">
        <v>74</v>
      </c>
      <c r="BY85" s="29">
        <v>500</v>
      </c>
      <c r="IW85" s="36">
        <v>41739.75476851852</v>
      </c>
      <c r="IX85" s="36">
        <v>41739.755381944444</v>
      </c>
      <c r="IY85" s="29" t="s">
        <v>797</v>
      </c>
      <c r="JI85" s="29" t="s">
        <v>443</v>
      </c>
      <c r="LX85" s="29" t="s">
        <v>58</v>
      </c>
      <c r="LY85" s="29" t="s">
        <v>96</v>
      </c>
      <c r="LZ85" s="29" t="s">
        <v>22</v>
      </c>
    </row>
    <row r="86" spans="1:338" hidden="1" x14ac:dyDescent="0.25">
      <c r="A86" s="63"/>
      <c r="B86" s="44">
        <v>1</v>
      </c>
      <c r="C86" s="47" t="s">
        <v>746</v>
      </c>
      <c r="E86" s="30"/>
      <c r="F86" s="31"/>
      <c r="G86" s="31"/>
      <c r="BU86" s="29" t="s">
        <v>83</v>
      </c>
      <c r="BV86" s="42" t="s">
        <v>776</v>
      </c>
      <c r="CA86" s="29" t="s">
        <v>825</v>
      </c>
      <c r="CB86" s="30" t="s">
        <v>450</v>
      </c>
      <c r="IW86" s="36">
        <v>41739.75540509259</v>
      </c>
      <c r="IX86" s="36">
        <v>41739.757800925923</v>
      </c>
      <c r="IY86" s="29" t="s">
        <v>798</v>
      </c>
      <c r="JI86" s="29" t="s">
        <v>443</v>
      </c>
    </row>
    <row r="87" spans="1:338" hidden="1" x14ac:dyDescent="0.25">
      <c r="A87" s="63"/>
      <c r="B87" s="44">
        <v>1</v>
      </c>
      <c r="C87" s="47" t="s">
        <v>748</v>
      </c>
      <c r="F87" s="31"/>
      <c r="G87" s="31"/>
      <c r="BU87" s="29" t="s">
        <v>83</v>
      </c>
      <c r="BV87" s="42" t="s">
        <v>776</v>
      </c>
      <c r="CA87" s="29" t="s">
        <v>792</v>
      </c>
      <c r="CB87" s="29" t="s">
        <v>793</v>
      </c>
      <c r="IW87" s="36">
        <v>41739.7578125</v>
      </c>
      <c r="IX87" s="36">
        <v>41739.759872685187</v>
      </c>
      <c r="IY87" s="29" t="s">
        <v>799</v>
      </c>
      <c r="JI87" s="29" t="s">
        <v>443</v>
      </c>
    </row>
    <row r="88" spans="1:338" hidden="1" x14ac:dyDescent="0.25">
      <c r="A88" s="63"/>
      <c r="B88" s="44">
        <v>1</v>
      </c>
      <c r="C88" s="47" t="s">
        <v>749</v>
      </c>
      <c r="F88" s="31"/>
      <c r="G88" s="31"/>
      <c r="BU88" s="29" t="s">
        <v>83</v>
      </c>
      <c r="BV88" s="42" t="s">
        <v>776</v>
      </c>
      <c r="CA88" s="29" t="s">
        <v>827</v>
      </c>
      <c r="CB88" s="29" t="s">
        <v>826</v>
      </c>
      <c r="IW88" s="36">
        <v>41739.75990740741</v>
      </c>
      <c r="IX88" s="36">
        <v>41739.76295138889</v>
      </c>
      <c r="IY88" s="29" t="s">
        <v>784</v>
      </c>
      <c r="JI88" s="29" t="s">
        <v>443</v>
      </c>
    </row>
    <row r="89" spans="1:338" ht="75" hidden="1" x14ac:dyDescent="0.25">
      <c r="B89" s="44">
        <v>1</v>
      </c>
      <c r="C89" s="45" t="s">
        <v>891</v>
      </c>
      <c r="E89" s="30"/>
      <c r="F89" s="31"/>
      <c r="G89" s="31"/>
      <c r="X89" s="30" t="s">
        <v>730</v>
      </c>
      <c r="HI89" s="30" t="s">
        <v>58</v>
      </c>
      <c r="HJ89" s="30" t="s">
        <v>351</v>
      </c>
      <c r="HK89" s="29">
        <v>800</v>
      </c>
      <c r="HL89" s="29">
        <v>899.99</v>
      </c>
      <c r="HM89" s="30" t="s">
        <v>897</v>
      </c>
      <c r="HN89" s="47" t="s">
        <v>720</v>
      </c>
      <c r="HP89" s="29" t="s">
        <v>456</v>
      </c>
      <c r="HQ89" s="29" t="s">
        <v>531</v>
      </c>
      <c r="HR89" s="29" t="s">
        <v>69</v>
      </c>
      <c r="HS89" s="29">
        <v>400</v>
      </c>
      <c r="HT89" s="29" t="s">
        <v>901</v>
      </c>
      <c r="HU89" s="29" t="s">
        <v>902</v>
      </c>
      <c r="HV89" s="29" t="s">
        <v>903</v>
      </c>
      <c r="HW89" s="29" t="s">
        <v>904</v>
      </c>
      <c r="IW89" s="36">
        <v>41758.415763888886</v>
      </c>
      <c r="IX89" s="36">
        <v>41758.431840277779</v>
      </c>
      <c r="IY89" s="29" t="s">
        <v>896</v>
      </c>
      <c r="JP89" s="30" t="s">
        <v>531</v>
      </c>
      <c r="JQ89" s="128" t="s">
        <v>74</v>
      </c>
      <c r="JR89" s="29" t="s">
        <v>898</v>
      </c>
      <c r="JS89" s="127">
        <v>1250</v>
      </c>
      <c r="JT89" s="29" t="s">
        <v>899</v>
      </c>
      <c r="JU89" s="29" t="s">
        <v>900</v>
      </c>
      <c r="JV89" s="30" t="s">
        <v>539</v>
      </c>
      <c r="JW89" s="30" t="s">
        <v>457</v>
      </c>
      <c r="JX89" s="30" t="s">
        <v>438</v>
      </c>
      <c r="JY89" s="30" t="s">
        <v>858</v>
      </c>
      <c r="KB89" s="48">
        <v>41767</v>
      </c>
      <c r="KC89" s="29" t="s">
        <v>788</v>
      </c>
      <c r="KE89" s="29" t="s">
        <v>905</v>
      </c>
      <c r="KF89" s="29" t="s">
        <v>439</v>
      </c>
      <c r="KG89" s="127" t="s">
        <v>984</v>
      </c>
      <c r="KH89" s="29" t="s">
        <v>447</v>
      </c>
      <c r="KI89" s="29" t="s">
        <v>501</v>
      </c>
      <c r="KJ89" s="30">
        <v>25</v>
      </c>
      <c r="KK89" s="29" t="s">
        <v>442</v>
      </c>
      <c r="KL89" s="130">
        <v>1985</v>
      </c>
      <c r="KM89" s="29" t="s">
        <v>78</v>
      </c>
      <c r="KN89" s="30" t="s">
        <v>493</v>
      </c>
      <c r="KO89" s="30" t="s">
        <v>452</v>
      </c>
      <c r="KP89" s="29">
        <v>123456</v>
      </c>
      <c r="KQ89" s="29">
        <v>123456</v>
      </c>
      <c r="KR89" s="29">
        <v>11</v>
      </c>
      <c r="KS89" s="29" t="s">
        <v>461</v>
      </c>
      <c r="KT89" s="29">
        <v>2041</v>
      </c>
      <c r="KU89" s="29" t="s">
        <v>448</v>
      </c>
      <c r="KV89" s="30" t="s">
        <v>540</v>
      </c>
      <c r="KW89" s="30" t="s">
        <v>540</v>
      </c>
      <c r="KX89" s="49" t="s">
        <v>859</v>
      </c>
      <c r="KY89" s="49" t="s">
        <v>859</v>
      </c>
      <c r="KZ89" s="29" t="s">
        <v>449</v>
      </c>
      <c r="LA89" s="29" t="s">
        <v>533</v>
      </c>
      <c r="LB89" s="29" t="s">
        <v>533</v>
      </c>
      <c r="LC89" s="30" t="s">
        <v>518</v>
      </c>
      <c r="LD89" s="30" t="s">
        <v>699</v>
      </c>
      <c r="LE89" s="30" t="s">
        <v>453</v>
      </c>
      <c r="LF89" s="30" t="s">
        <v>195</v>
      </c>
      <c r="LG89" s="29" t="s">
        <v>440</v>
      </c>
      <c r="LH89" s="29" t="s">
        <v>441</v>
      </c>
      <c r="LI89" s="29">
        <v>108</v>
      </c>
      <c r="LJ89" s="30" t="s">
        <v>464</v>
      </c>
      <c r="LK89" s="30" t="s">
        <v>465</v>
      </c>
      <c r="LL89" s="30" t="s">
        <v>452</v>
      </c>
      <c r="LN89" s="30"/>
      <c r="LO89" s="30"/>
      <c r="LP89" s="30"/>
      <c r="LR89" s="30" t="s">
        <v>451</v>
      </c>
      <c r="LS89" s="30" t="s">
        <v>452</v>
      </c>
      <c r="LT89" s="54">
        <v>899.99</v>
      </c>
      <c r="LU89" s="29" t="s">
        <v>443</v>
      </c>
      <c r="LV89" s="30" t="s">
        <v>906</v>
      </c>
      <c r="LW89" s="30">
        <v>456</v>
      </c>
      <c r="LX89" s="30" t="s">
        <v>58</v>
      </c>
      <c r="LY89" s="30" t="s">
        <v>351</v>
      </c>
      <c r="LZ89" s="29" t="s">
        <v>22</v>
      </c>
    </row>
    <row r="90" spans="1:338" ht="75" hidden="1" x14ac:dyDescent="0.25">
      <c r="B90" s="44">
        <v>2</v>
      </c>
      <c r="C90" s="45" t="s">
        <v>891</v>
      </c>
      <c r="F90" s="31"/>
      <c r="G90" s="31"/>
      <c r="X90" s="30" t="s">
        <v>730</v>
      </c>
      <c r="HI90" s="30" t="s">
        <v>58</v>
      </c>
      <c r="HJ90" s="30" t="s">
        <v>351</v>
      </c>
      <c r="HK90" s="29">
        <v>800</v>
      </c>
      <c r="HL90" s="29">
        <v>899.99</v>
      </c>
      <c r="HM90" s="30" t="s">
        <v>897</v>
      </c>
      <c r="HN90" s="47" t="s">
        <v>720</v>
      </c>
      <c r="IW90" s="36">
        <v>41758.432210648149</v>
      </c>
      <c r="IX90" s="36">
        <v>41758.449340277781</v>
      </c>
      <c r="IY90" s="29" t="s">
        <v>907</v>
      </c>
      <c r="JP90" s="30" t="s">
        <v>531</v>
      </c>
      <c r="JQ90" s="128" t="s">
        <v>64</v>
      </c>
      <c r="JR90" s="29" t="s">
        <v>83</v>
      </c>
      <c r="JS90" s="29">
        <v>800</v>
      </c>
      <c r="JT90" s="29" t="s">
        <v>84</v>
      </c>
      <c r="JU90" s="29">
        <v>899.99</v>
      </c>
      <c r="JV90" s="30" t="s">
        <v>539</v>
      </c>
      <c r="JW90" s="30" t="s">
        <v>457</v>
      </c>
      <c r="JX90" s="30" t="s">
        <v>438</v>
      </c>
      <c r="JY90" s="30" t="s">
        <v>858</v>
      </c>
      <c r="KB90" s="48">
        <v>41767</v>
      </c>
      <c r="KC90" s="29" t="s">
        <v>788</v>
      </c>
      <c r="KE90" s="29" t="s">
        <v>905</v>
      </c>
      <c r="KF90" s="29" t="s">
        <v>439</v>
      </c>
      <c r="KG90" s="29" t="s">
        <v>440</v>
      </c>
      <c r="KH90" s="29" t="s">
        <v>447</v>
      </c>
      <c r="KI90" s="29" t="s">
        <v>501</v>
      </c>
      <c r="KJ90" s="30">
        <v>25</v>
      </c>
      <c r="KK90" s="29" t="s">
        <v>442</v>
      </c>
      <c r="KL90" s="130">
        <v>1985</v>
      </c>
      <c r="KM90" s="29" t="s">
        <v>78</v>
      </c>
      <c r="KN90" s="30" t="s">
        <v>493</v>
      </c>
      <c r="KO90" s="30" t="s">
        <v>452</v>
      </c>
      <c r="KP90" s="29">
        <v>123456</v>
      </c>
      <c r="KQ90" s="29">
        <v>123456</v>
      </c>
      <c r="KR90" s="29">
        <v>11</v>
      </c>
      <c r="KS90" s="29" t="s">
        <v>461</v>
      </c>
      <c r="KT90" s="29">
        <v>2041</v>
      </c>
      <c r="KU90" s="29" t="s">
        <v>448</v>
      </c>
      <c r="KV90" s="30" t="s">
        <v>540</v>
      </c>
      <c r="KW90" s="30" t="s">
        <v>540</v>
      </c>
      <c r="KX90" s="49" t="s">
        <v>859</v>
      </c>
      <c r="KY90" s="49" t="s">
        <v>859</v>
      </c>
      <c r="KZ90" s="29" t="s">
        <v>449</v>
      </c>
      <c r="LA90" s="29" t="s">
        <v>533</v>
      </c>
      <c r="LB90" s="29" t="s">
        <v>533</v>
      </c>
      <c r="LC90" s="30" t="s">
        <v>518</v>
      </c>
      <c r="LD90" s="30" t="s">
        <v>535</v>
      </c>
      <c r="LE90" s="30" t="s">
        <v>453</v>
      </c>
      <c r="LF90" s="30" t="s">
        <v>195</v>
      </c>
      <c r="LG90" s="29" t="s">
        <v>440</v>
      </c>
      <c r="LH90" s="29" t="s">
        <v>441</v>
      </c>
      <c r="LI90" s="29">
        <v>108</v>
      </c>
      <c r="LJ90" s="30" t="s">
        <v>464</v>
      </c>
      <c r="LK90" s="30" t="s">
        <v>465</v>
      </c>
      <c r="LL90" s="30" t="s">
        <v>452</v>
      </c>
      <c r="LN90" s="30"/>
      <c r="LO90" s="30"/>
      <c r="LP90" s="30"/>
      <c r="LR90" s="30" t="s">
        <v>451</v>
      </c>
      <c r="LS90" s="30" t="s">
        <v>452</v>
      </c>
      <c r="LT90" s="29">
        <v>899.99</v>
      </c>
      <c r="LV90" s="30"/>
      <c r="LW90" s="30">
        <v>456</v>
      </c>
      <c r="LX90" s="30" t="s">
        <v>58</v>
      </c>
      <c r="LY90" s="30" t="s">
        <v>351</v>
      </c>
      <c r="LZ90" s="29" t="s">
        <v>22</v>
      </c>
    </row>
    <row r="91" spans="1:338" ht="30" hidden="1" x14ac:dyDescent="0.25">
      <c r="B91" s="44">
        <v>1</v>
      </c>
      <c r="C91" s="45" t="s">
        <v>892</v>
      </c>
      <c r="F91" s="31"/>
      <c r="G91" s="31"/>
      <c r="HI91" s="94" t="s">
        <v>58</v>
      </c>
      <c r="HJ91" s="25" t="s">
        <v>351</v>
      </c>
      <c r="IW91" s="36">
        <v>41758.449571759258</v>
      </c>
      <c r="IX91" s="36">
        <v>41758.450995370367</v>
      </c>
      <c r="IY91" s="29" t="s">
        <v>908</v>
      </c>
      <c r="JP91" s="95" t="s">
        <v>531</v>
      </c>
      <c r="JQ91" s="128" t="s">
        <v>473</v>
      </c>
      <c r="JR91" s="94" t="s">
        <v>845</v>
      </c>
      <c r="JS91" s="94">
        <v>600</v>
      </c>
      <c r="JT91" s="94" t="s">
        <v>846</v>
      </c>
      <c r="JU91" s="94" t="s">
        <v>909</v>
      </c>
      <c r="JV91" s="94" t="s">
        <v>450</v>
      </c>
      <c r="JW91" s="94" t="s">
        <v>437</v>
      </c>
      <c r="JX91" s="95" t="s">
        <v>438</v>
      </c>
      <c r="JY91" s="95" t="s">
        <v>858</v>
      </c>
      <c r="JZ91" s="94"/>
      <c r="KA91" s="94"/>
      <c r="KB91" s="96">
        <v>41767</v>
      </c>
      <c r="KC91" s="94"/>
      <c r="KD91" s="94"/>
      <c r="KE91" s="94"/>
      <c r="KL91" s="130"/>
      <c r="LX91" s="94" t="s">
        <v>58</v>
      </c>
      <c r="LY91" s="25" t="s">
        <v>351</v>
      </c>
      <c r="LZ91" s="94" t="s">
        <v>22</v>
      </c>
    </row>
    <row r="92" spans="1:338" ht="30" hidden="1" x14ac:dyDescent="0.25">
      <c r="B92" s="44">
        <v>1</v>
      </c>
      <c r="C92" s="45" t="s">
        <v>893</v>
      </c>
      <c r="F92" s="31"/>
      <c r="G92" s="31"/>
      <c r="HI92" s="94" t="s">
        <v>58</v>
      </c>
      <c r="HJ92" s="25" t="s">
        <v>351</v>
      </c>
      <c r="IW92" s="36">
        <v>41758.451006944444</v>
      </c>
      <c r="IX92" s="36">
        <v>41758.452696759261</v>
      </c>
      <c r="IY92" s="29" t="s">
        <v>910</v>
      </c>
      <c r="JP92" s="95" t="s">
        <v>531</v>
      </c>
      <c r="JQ92" s="128" t="s">
        <v>69</v>
      </c>
      <c r="JR92" s="94" t="s">
        <v>831</v>
      </c>
      <c r="JS92" s="94">
        <v>600</v>
      </c>
      <c r="JT92" s="94" t="s">
        <v>832</v>
      </c>
      <c r="JU92" s="94" t="s">
        <v>911</v>
      </c>
      <c r="JV92" s="94" t="s">
        <v>450</v>
      </c>
      <c r="JW92" s="94" t="s">
        <v>437</v>
      </c>
      <c r="JX92" s="95" t="s">
        <v>438</v>
      </c>
      <c r="JY92" s="95" t="s">
        <v>858</v>
      </c>
      <c r="JZ92" s="94"/>
      <c r="KA92" s="94"/>
      <c r="KB92" s="96">
        <v>41767</v>
      </c>
      <c r="KC92" s="94"/>
      <c r="KD92" s="94"/>
      <c r="KE92" s="94"/>
      <c r="KL92" s="130"/>
      <c r="LX92" s="94" t="s">
        <v>58</v>
      </c>
      <c r="LY92" s="25" t="s">
        <v>351</v>
      </c>
      <c r="LZ92" s="94" t="s">
        <v>22</v>
      </c>
    </row>
    <row r="93" spans="1:338" ht="30" hidden="1" x14ac:dyDescent="0.25">
      <c r="B93" s="44">
        <v>1</v>
      </c>
      <c r="C93" s="45" t="s">
        <v>894</v>
      </c>
      <c r="F93" s="31"/>
      <c r="G93" s="31"/>
      <c r="HI93" s="94" t="s">
        <v>58</v>
      </c>
      <c r="HJ93" s="25" t="s">
        <v>351</v>
      </c>
      <c r="IW93" s="36">
        <v>41758.452708333331</v>
      </c>
      <c r="IX93" s="36">
        <v>41758.454143518517</v>
      </c>
      <c r="IY93" s="29" t="s">
        <v>912</v>
      </c>
      <c r="JP93" s="95" t="s">
        <v>531</v>
      </c>
      <c r="JQ93" s="95" t="s">
        <v>473</v>
      </c>
      <c r="JR93" s="94" t="s">
        <v>831</v>
      </c>
      <c r="JS93" s="94">
        <v>600</v>
      </c>
      <c r="JT93" s="94" t="s">
        <v>832</v>
      </c>
      <c r="JU93" s="94" t="s">
        <v>911</v>
      </c>
      <c r="JV93" s="94" t="s">
        <v>450</v>
      </c>
      <c r="JW93" s="94" t="s">
        <v>437</v>
      </c>
      <c r="JX93" s="95" t="s">
        <v>438</v>
      </c>
      <c r="JY93" s="95" t="s">
        <v>858</v>
      </c>
      <c r="JZ93" s="94"/>
      <c r="KA93" s="94"/>
      <c r="KB93" s="96">
        <v>41767</v>
      </c>
      <c r="KC93" s="94"/>
      <c r="KD93" s="94"/>
      <c r="KE93" s="94"/>
      <c r="KL93" s="130"/>
      <c r="LX93" s="94" t="s">
        <v>58</v>
      </c>
      <c r="LY93" s="25" t="s">
        <v>351</v>
      </c>
      <c r="LZ93" s="94" t="s">
        <v>22</v>
      </c>
    </row>
    <row r="94" spans="1:338" ht="30" hidden="1" x14ac:dyDescent="0.25">
      <c r="B94" s="44">
        <v>1</v>
      </c>
      <c r="C94" s="45" t="s">
        <v>895</v>
      </c>
      <c r="HI94" s="29" t="s">
        <v>58</v>
      </c>
      <c r="HJ94" s="29" t="s">
        <v>351</v>
      </c>
      <c r="HM94" s="29" t="s">
        <v>913</v>
      </c>
      <c r="HP94" s="29" t="s">
        <v>456</v>
      </c>
      <c r="HQ94" s="29" t="s">
        <v>531</v>
      </c>
      <c r="HR94" s="29" t="s">
        <v>473</v>
      </c>
      <c r="HS94" s="29">
        <v>400</v>
      </c>
      <c r="IZ94" s="29" t="s">
        <v>443</v>
      </c>
      <c r="JP94" s="29" t="s">
        <v>531</v>
      </c>
      <c r="JQ94" s="29" t="s">
        <v>69</v>
      </c>
      <c r="JS94" s="29">
        <v>500</v>
      </c>
      <c r="KL94" s="130"/>
      <c r="LU94" s="29" t="s">
        <v>443</v>
      </c>
      <c r="LX94" s="29" t="s">
        <v>58</v>
      </c>
      <c r="LY94" s="29" t="s">
        <v>351</v>
      </c>
      <c r="LZ94" s="29" t="s">
        <v>22</v>
      </c>
    </row>
    <row r="95" spans="1:338" hidden="1" x14ac:dyDescent="0.25">
      <c r="B95" s="44">
        <v>1</v>
      </c>
      <c r="C95" s="104" t="s">
        <v>937</v>
      </c>
      <c r="D95" s="29" t="s">
        <v>1120</v>
      </c>
      <c r="E95" s="30" t="s">
        <v>1116</v>
      </c>
      <c r="F95" s="31" t="str">
        <f>HYPERLINK("C:\RaviK\SVN_Admin_NewTask\Projects\SALT\Snapshots\ConfigurationBuyBackCountryLevel_IN-MU-LT-J27116\2015513\155354\Iterator_1\ConfigurationBuyBackCountryLevel1.xlsx","Snapshot")</f>
        <v>Snapshot</v>
      </c>
      <c r="G95" s="31" t="str">
        <f>HYPERLINK("C:\RaviK\SVN_Admin_NewTask\Projects\SALT\Snapshots\ConfigurationBuyBackCountryLevel_IN-MU-LT-J27116\2015513\155354\Iterator_1\Merge.html","Result")</f>
        <v>Result</v>
      </c>
      <c r="IW95" s="36">
        <v>42137.662430555552</v>
      </c>
      <c r="IX95" s="36">
        <v>42137.664861111109</v>
      </c>
      <c r="IY95" s="29" t="s">
        <v>1449</v>
      </c>
      <c r="JI95" s="29" t="s">
        <v>443</v>
      </c>
      <c r="KL95" s="130"/>
      <c r="LX95" s="94" t="s">
        <v>58</v>
      </c>
      <c r="LY95" s="25" t="s">
        <v>96</v>
      </c>
      <c r="LZ95" s="94" t="s">
        <v>22</v>
      </c>
    </row>
    <row r="96" spans="1:338" hidden="1" x14ac:dyDescent="0.25">
      <c r="B96" s="44">
        <v>1</v>
      </c>
      <c r="C96" s="104" t="s">
        <v>938</v>
      </c>
      <c r="D96" s="29" t="s">
        <v>1120</v>
      </c>
      <c r="E96" s="126" t="s">
        <v>1116</v>
      </c>
      <c r="F96" s="31" t="str">
        <f>HYPERLINK("C:\RaviK\SVN_Admin_NewTask\Projects\SALT\Snapshots\ConfigurationBuyBackRetailPartnerLevel_IN-MU-LT-J27116\2015513\155727\Iterator_1\ConfigurationBuyBackRetailPartnerLevel1.xlsx","Snapshot")</f>
        <v>Snapshot</v>
      </c>
      <c r="G96" s="31" t="str">
        <f>HYPERLINK("C:\RaviK\SVN_Admin_NewTask\Projects\SALT\Snapshots\ConfigurationBuyBackRetailPartnerLevel_IN-MU-LT-J27116\2015513\155727\Iterator_1\Merge.html","Result")</f>
        <v>Result</v>
      </c>
      <c r="IW96" s="36">
        <v>42137.664895833332</v>
      </c>
      <c r="IX96" s="36">
        <v>42137.667743055557</v>
      </c>
      <c r="IY96" s="29" t="s">
        <v>1450</v>
      </c>
      <c r="JI96" s="29" t="s">
        <v>443</v>
      </c>
      <c r="KL96" s="130"/>
      <c r="LX96" s="29" t="s">
        <v>58</v>
      </c>
      <c r="LY96" s="29" t="s">
        <v>96</v>
      </c>
      <c r="LZ96" s="29" t="s">
        <v>22</v>
      </c>
    </row>
    <row r="97" spans="1:338" ht="30" hidden="1" x14ac:dyDescent="0.25">
      <c r="B97" s="44">
        <v>1</v>
      </c>
      <c r="C97" s="30" t="s">
        <v>939</v>
      </c>
      <c r="KL97" s="130"/>
    </row>
    <row r="98" spans="1:338" hidden="1" x14ac:dyDescent="0.25">
      <c r="B98" s="44">
        <v>1</v>
      </c>
      <c r="C98" s="29" t="s">
        <v>940</v>
      </c>
      <c r="D98" s="29" t="s">
        <v>1120</v>
      </c>
      <c r="E98" s="126" t="s">
        <v>1116</v>
      </c>
      <c r="F98" s="31" t="str">
        <f>HYPERLINK("\\gdc-data\Team\Test Team\!Testing Details\Automation\Vikram\Vikram\SALT Automation Phase 2 - BACKUP\Projects\SALT\Snapshots\GetBuyBackNumber_IN-MU-LT-J27180\2014711\13722\Iterator_1\GetBuyBackNumber1.xlsx","Snapshot")</f>
        <v>Snapshot</v>
      </c>
      <c r="G98" s="31" t="str">
        <f>HYPERLINK("\\gdc-data\Team\Test Team\!Testing Details\Automation\Vikram\Vikram\SALT Automation Phase 2 - BACKUP\Projects\SALT\Snapshots\GetBuyBackNumber_IN-MU-LT-J27180\2014711\13722\Iterator_1\Merge.html","Result")</f>
        <v>Result</v>
      </c>
      <c r="CN98" s="29" t="s">
        <v>1170</v>
      </c>
      <c r="CO98" s="126"/>
      <c r="EV98" s="29" t="s">
        <v>961</v>
      </c>
      <c r="IS98" s="142"/>
      <c r="IW98" s="36">
        <v>41831.546782407408</v>
      </c>
      <c r="IX98" s="36">
        <v>41831.547627314816</v>
      </c>
      <c r="IY98" s="29" t="s">
        <v>1171</v>
      </c>
      <c r="JI98" s="29" t="s">
        <v>443</v>
      </c>
      <c r="JJ98" s="143" t="s">
        <v>1011</v>
      </c>
      <c r="JK98" s="142">
        <v>1</v>
      </c>
      <c r="JL98" s="143" t="s">
        <v>159</v>
      </c>
      <c r="JM98" s="143" t="s">
        <v>159</v>
      </c>
      <c r="JO98" s="30" t="s">
        <v>962</v>
      </c>
      <c r="KL98" s="130"/>
      <c r="LV98" s="29" t="s">
        <v>1160</v>
      </c>
      <c r="LX98" s="29" t="s">
        <v>58</v>
      </c>
      <c r="LY98" s="29" t="s">
        <v>96</v>
      </c>
      <c r="LZ98" s="29" t="s">
        <v>22</v>
      </c>
    </row>
    <row r="99" spans="1:338" ht="30" hidden="1" x14ac:dyDescent="0.25">
      <c r="B99" s="44">
        <v>1</v>
      </c>
      <c r="C99" s="45" t="s">
        <v>965</v>
      </c>
      <c r="D99" s="30"/>
      <c r="F99" s="57"/>
      <c r="G99" s="31"/>
      <c r="CD99" s="113" t="s">
        <v>58</v>
      </c>
      <c r="CE99" s="114" t="s">
        <v>96</v>
      </c>
      <c r="CF99" s="113" t="s">
        <v>22</v>
      </c>
      <c r="CG99" s="49" t="s">
        <v>719</v>
      </c>
      <c r="CH99" s="30" t="s">
        <v>59</v>
      </c>
      <c r="CI99" s="29" t="s">
        <v>678</v>
      </c>
      <c r="CJ99" s="30" t="s">
        <v>966</v>
      </c>
      <c r="CK99" s="30" t="s">
        <v>967</v>
      </c>
      <c r="CN99" s="29" t="s">
        <v>977</v>
      </c>
      <c r="IW99" s="36">
        <v>41759.598506944443</v>
      </c>
      <c r="IX99" s="36">
        <v>41759.603946759256</v>
      </c>
      <c r="IY99" s="29" t="s">
        <v>978</v>
      </c>
      <c r="JI99" s="29" t="s">
        <v>443</v>
      </c>
      <c r="JP99" s="30" t="s">
        <v>531</v>
      </c>
      <c r="JQ99" s="30" t="s">
        <v>473</v>
      </c>
      <c r="JR99" s="29" t="s">
        <v>973</v>
      </c>
      <c r="JS99" s="29">
        <v>600</v>
      </c>
      <c r="JT99" s="29" t="s">
        <v>974</v>
      </c>
      <c r="JU99" s="29" t="s">
        <v>975</v>
      </c>
      <c r="JV99" s="29" t="s">
        <v>450</v>
      </c>
      <c r="JW99" s="29" t="s">
        <v>437</v>
      </c>
      <c r="JX99" s="30" t="s">
        <v>438</v>
      </c>
      <c r="JY99" s="30" t="s">
        <v>812</v>
      </c>
      <c r="KF99" s="29" t="s">
        <v>439</v>
      </c>
      <c r="KG99" s="29" t="s">
        <v>838</v>
      </c>
      <c r="KH99" s="29" t="s">
        <v>447</v>
      </c>
      <c r="KI99" s="29" t="s">
        <v>838</v>
      </c>
      <c r="KJ99" s="30" t="s">
        <v>444</v>
      </c>
      <c r="KK99" s="29" t="s">
        <v>445</v>
      </c>
      <c r="KL99" s="130" t="s">
        <v>491</v>
      </c>
      <c r="KM99" s="29" t="s">
        <v>78</v>
      </c>
      <c r="KN99" s="30" t="s">
        <v>443</v>
      </c>
      <c r="KP99" s="29">
        <v>123456</v>
      </c>
      <c r="KQ99" s="29">
        <v>123456</v>
      </c>
      <c r="KR99" s="29">
        <v>11</v>
      </c>
      <c r="KS99" s="29" t="s">
        <v>446</v>
      </c>
      <c r="KT99" s="29">
        <v>2037</v>
      </c>
      <c r="KU99" s="29" t="s">
        <v>448</v>
      </c>
      <c r="KV99" s="30" t="s">
        <v>532</v>
      </c>
      <c r="KW99" s="30" t="s">
        <v>532</v>
      </c>
      <c r="KX99" s="30" t="s">
        <v>809</v>
      </c>
      <c r="KY99" s="30" t="s">
        <v>809</v>
      </c>
      <c r="KZ99" s="29" t="s">
        <v>449</v>
      </c>
      <c r="LA99" s="29" t="s">
        <v>533</v>
      </c>
      <c r="LB99" s="29" t="s">
        <v>533</v>
      </c>
      <c r="LC99" s="30" t="s">
        <v>518</v>
      </c>
      <c r="LD99" s="30" t="s">
        <v>699</v>
      </c>
      <c r="LE99" s="30" t="s">
        <v>453</v>
      </c>
      <c r="LF99" s="30" t="s">
        <v>195</v>
      </c>
      <c r="LH99" s="29" t="s">
        <v>441</v>
      </c>
      <c r="LI99" s="29">
        <v>108</v>
      </c>
      <c r="LJ99" s="29">
        <v>10</v>
      </c>
      <c r="LK99" s="29">
        <v>2021</v>
      </c>
      <c r="LL99" s="30" t="b">
        <v>0</v>
      </c>
      <c r="LM99" s="30" t="s">
        <v>522</v>
      </c>
      <c r="LN99" s="30" t="s">
        <v>838</v>
      </c>
      <c r="LO99" s="30" t="s">
        <v>838</v>
      </c>
      <c r="LP99" s="30" t="s">
        <v>838</v>
      </c>
      <c r="LQ99" s="29">
        <v>1234</v>
      </c>
      <c r="LR99" s="30" t="s">
        <v>451</v>
      </c>
      <c r="LS99" s="30" t="s">
        <v>452</v>
      </c>
      <c r="LT99" s="29">
        <v>697.09</v>
      </c>
      <c r="LV99" s="29" t="s">
        <v>976</v>
      </c>
      <c r="LX99" s="90" t="s">
        <v>58</v>
      </c>
      <c r="LY99" s="90" t="s">
        <v>351</v>
      </c>
      <c r="LZ99" s="29" t="s">
        <v>22</v>
      </c>
    </row>
    <row r="100" spans="1:338" hidden="1" x14ac:dyDescent="0.25">
      <c r="B100" s="44">
        <v>1</v>
      </c>
      <c r="C100" s="45" t="s">
        <v>838</v>
      </c>
      <c r="F100" s="31"/>
      <c r="G100" s="31"/>
      <c r="CD100" s="18" t="s">
        <v>58</v>
      </c>
      <c r="CE100" s="18" t="s">
        <v>96</v>
      </c>
      <c r="CF100" s="29" t="s">
        <v>22</v>
      </c>
      <c r="CG100" s="30" t="s">
        <v>719</v>
      </c>
      <c r="CH100" s="30" t="s">
        <v>59</v>
      </c>
      <c r="CI100" s="29" t="s">
        <v>678</v>
      </c>
      <c r="IW100" s="36">
        <v>41759.575659722221</v>
      </c>
      <c r="IX100" s="36">
        <v>41759.576597222222</v>
      </c>
      <c r="IY100" s="29" t="s">
        <v>970</v>
      </c>
      <c r="JI100" s="29" t="s">
        <v>443</v>
      </c>
      <c r="KL100" s="130"/>
      <c r="LX100" s="29" t="s">
        <v>58</v>
      </c>
      <c r="LY100" s="29" t="s">
        <v>351</v>
      </c>
      <c r="LZ100" s="29" t="s">
        <v>22</v>
      </c>
    </row>
    <row r="101" spans="1:338" ht="180" hidden="1" x14ac:dyDescent="0.25">
      <c r="B101" s="44">
        <v>1</v>
      </c>
      <c r="C101" s="47" t="s">
        <v>979</v>
      </c>
      <c r="D101" s="29" t="s">
        <v>1158</v>
      </c>
      <c r="E101" s="126" t="s">
        <v>1116</v>
      </c>
      <c r="F101" s="31" t="s">
        <v>1452</v>
      </c>
      <c r="G101" s="31"/>
      <c r="CC101" s="125"/>
      <c r="CJ101" s="126" t="s">
        <v>1083</v>
      </c>
      <c r="CK101" s="29" t="s">
        <v>967</v>
      </c>
      <c r="CL101" s="126" t="s">
        <v>1082</v>
      </c>
      <c r="CM101" s="126" t="s">
        <v>1081</v>
      </c>
      <c r="EV101" s="126" t="s">
        <v>981</v>
      </c>
      <c r="HP101" s="119" t="s">
        <v>456</v>
      </c>
      <c r="HQ101" s="121" t="s">
        <v>531</v>
      </c>
      <c r="HR101" s="126" t="s">
        <v>74</v>
      </c>
      <c r="HS101" s="120">
        <v>400</v>
      </c>
      <c r="HT101" s="29" t="s">
        <v>1166</v>
      </c>
      <c r="HU101" s="29" t="s">
        <v>1167</v>
      </c>
      <c r="HV101" s="29" t="s">
        <v>1162</v>
      </c>
      <c r="HW101" s="29" t="s">
        <v>1165</v>
      </c>
      <c r="IW101" s="36">
        <v>41831.540185185186</v>
      </c>
      <c r="IX101" s="36">
        <v>41831.546689814815</v>
      </c>
      <c r="IY101" s="29" t="s">
        <v>1169</v>
      </c>
      <c r="JI101" s="29" t="s">
        <v>443</v>
      </c>
      <c r="JN101" s="117"/>
      <c r="JP101" s="119" t="s">
        <v>531</v>
      </c>
      <c r="JQ101" s="126" t="s">
        <v>69</v>
      </c>
      <c r="JR101" s="118" t="s">
        <v>1162</v>
      </c>
      <c r="JS101" s="118">
        <v>400</v>
      </c>
      <c r="JT101" s="118" t="s">
        <v>1163</v>
      </c>
      <c r="JU101" s="118" t="s">
        <v>1164</v>
      </c>
      <c r="JV101" s="122" t="s">
        <v>450</v>
      </c>
      <c r="JW101" s="122" t="s">
        <v>437</v>
      </c>
      <c r="JX101" s="123" t="s">
        <v>438</v>
      </c>
      <c r="JY101" s="123" t="s">
        <v>812</v>
      </c>
      <c r="KF101" s="125" t="s">
        <v>439</v>
      </c>
      <c r="KG101" s="125" t="s">
        <v>838</v>
      </c>
      <c r="KH101" s="125" t="s">
        <v>447</v>
      </c>
      <c r="KI101" s="125" t="s">
        <v>838</v>
      </c>
      <c r="KJ101" s="126" t="s">
        <v>444</v>
      </c>
      <c r="KK101" s="125" t="s">
        <v>445</v>
      </c>
      <c r="KL101" s="130" t="s">
        <v>491</v>
      </c>
      <c r="KM101" s="125" t="s">
        <v>78</v>
      </c>
      <c r="KN101" s="126" t="s">
        <v>443</v>
      </c>
      <c r="KO101" s="124"/>
      <c r="KP101" s="125">
        <v>123456</v>
      </c>
      <c r="KQ101" s="125">
        <v>123456</v>
      </c>
      <c r="KR101" s="125">
        <v>11</v>
      </c>
      <c r="KS101" s="125" t="s">
        <v>446</v>
      </c>
      <c r="KT101" s="125">
        <v>2037</v>
      </c>
      <c r="KU101" s="125" t="s">
        <v>448</v>
      </c>
      <c r="KV101" s="126" t="s">
        <v>532</v>
      </c>
      <c r="KW101" s="126" t="s">
        <v>532</v>
      </c>
      <c r="KX101" s="126" t="s">
        <v>809</v>
      </c>
      <c r="KY101" s="126" t="s">
        <v>809</v>
      </c>
      <c r="KZ101" s="125" t="s">
        <v>449</v>
      </c>
      <c r="LA101" s="125" t="s">
        <v>533</v>
      </c>
      <c r="LB101" s="125" t="s">
        <v>533</v>
      </c>
      <c r="LC101" s="126" t="s">
        <v>518</v>
      </c>
      <c r="LD101" s="126" t="s">
        <v>699</v>
      </c>
      <c r="LE101" s="126" t="s">
        <v>453</v>
      </c>
      <c r="LF101" s="126" t="s">
        <v>195</v>
      </c>
      <c r="LG101" s="124"/>
      <c r="LH101" s="125" t="s">
        <v>441</v>
      </c>
      <c r="LI101" s="125">
        <v>108</v>
      </c>
      <c r="LJ101" s="125">
        <v>10</v>
      </c>
      <c r="LK101" s="125">
        <v>2021</v>
      </c>
      <c r="LL101" s="126" t="b">
        <v>1</v>
      </c>
      <c r="LM101" s="126" t="s">
        <v>522</v>
      </c>
      <c r="LN101" s="126" t="s">
        <v>838</v>
      </c>
      <c r="LO101" s="126" t="s">
        <v>838</v>
      </c>
      <c r="LP101" s="126" t="s">
        <v>838</v>
      </c>
      <c r="LQ101" s="125">
        <v>1234</v>
      </c>
      <c r="LR101" s="126" t="s">
        <v>451</v>
      </c>
      <c r="LS101" s="126" t="s">
        <v>452</v>
      </c>
      <c r="LT101" s="54">
        <v>1105.48</v>
      </c>
      <c r="LV101" s="29" t="s">
        <v>1168</v>
      </c>
      <c r="LX101" s="116" t="s">
        <v>58</v>
      </c>
      <c r="LY101" s="116" t="s">
        <v>351</v>
      </c>
      <c r="LZ101" s="115" t="s">
        <v>22</v>
      </c>
    </row>
    <row r="102" spans="1:338" ht="30" hidden="1" x14ac:dyDescent="0.25">
      <c r="B102" s="44">
        <v>1</v>
      </c>
      <c r="C102" s="37" t="s">
        <v>980</v>
      </c>
      <c r="D102" s="29" t="s">
        <v>1120</v>
      </c>
      <c r="E102" s="29" t="s">
        <v>1116</v>
      </c>
      <c r="F102" s="31" t="str">
        <f>HYPERLINK("C:\RaviK\SVN_Admin_NewTask\Projects\SALT\Snapshots\MakeBuyBackActiveForCountryAndPartner_IN-MU-LT-J27116\2015513\162857\Iterator_1\MakeBuyBackActiveForCountryAndPartner1.xlsx","Snapshot")</f>
        <v>Snapshot</v>
      </c>
      <c r="G102" s="31" t="str">
        <f>HYPERLINK("C:\RaviK\SVN_Admin_NewTask\Projects\SALT\Snapshots\MakeBuyBackActiveForCountryAndPartner_IN-MU-LT-J27116\2015513\162857\Iterator_1\Merge.html","Result")</f>
        <v>Result</v>
      </c>
      <c r="CC102" s="29">
        <v>2</v>
      </c>
      <c r="EV102" s="126" t="s">
        <v>981</v>
      </c>
      <c r="IW102" s="36">
        <v>42137.68677083333</v>
      </c>
      <c r="IX102" s="36">
        <v>42137.688449074078</v>
      </c>
      <c r="IY102" s="29" t="s">
        <v>1451</v>
      </c>
      <c r="JI102" s="29" t="s">
        <v>443</v>
      </c>
      <c r="KL102" s="130"/>
      <c r="LX102" s="25" t="s">
        <v>58</v>
      </c>
      <c r="LY102" s="18" t="s">
        <v>96</v>
      </c>
      <c r="LZ102" s="29" t="s">
        <v>22</v>
      </c>
    </row>
    <row r="103" spans="1:338" hidden="1" x14ac:dyDescent="0.25">
      <c r="B103" s="44">
        <v>1</v>
      </c>
      <c r="C103" s="62" t="s">
        <v>995</v>
      </c>
      <c r="D103" s="126"/>
      <c r="F103" s="31"/>
      <c r="G103" s="31"/>
      <c r="IW103" s="36">
        <v>42135.821180555555</v>
      </c>
      <c r="IX103" s="36">
        <v>42135.821585648147</v>
      </c>
      <c r="IY103" s="29" t="s">
        <v>1422</v>
      </c>
      <c r="JI103" s="29" t="s">
        <v>443</v>
      </c>
      <c r="JJ103" s="29" t="s">
        <v>310</v>
      </c>
      <c r="JK103" s="29">
        <v>10</v>
      </c>
      <c r="JL103" s="29" t="s">
        <v>159</v>
      </c>
      <c r="JM103" s="29" t="s">
        <v>199</v>
      </c>
      <c r="JO103" s="29" t="s">
        <v>1135</v>
      </c>
      <c r="KL103" s="130"/>
      <c r="LX103" s="116" t="s">
        <v>58</v>
      </c>
      <c r="LY103" s="116" t="s">
        <v>96</v>
      </c>
      <c r="LZ103" s="29" t="s">
        <v>22</v>
      </c>
    </row>
    <row r="104" spans="1:338" s="125" customFormat="1" ht="30" hidden="1" x14ac:dyDescent="0.25">
      <c r="A104" s="43"/>
      <c r="B104" s="44">
        <v>1</v>
      </c>
      <c r="C104" s="47" t="s">
        <v>1011</v>
      </c>
      <c r="E104" s="126"/>
      <c r="F104" s="31"/>
      <c r="G104" s="31"/>
      <c r="CJ104" s="126" t="s">
        <v>1083</v>
      </c>
      <c r="CK104" s="125" t="s">
        <v>967</v>
      </c>
      <c r="CL104" s="126" t="s">
        <v>1081</v>
      </c>
      <c r="EV104" s="126" t="s">
        <v>981</v>
      </c>
      <c r="HP104" s="126" t="s">
        <v>456</v>
      </c>
      <c r="HQ104" s="126" t="s">
        <v>531</v>
      </c>
      <c r="HR104" s="126" t="s">
        <v>1003</v>
      </c>
      <c r="HS104" s="125">
        <v>600</v>
      </c>
      <c r="HT104" s="125" t="s">
        <v>1007</v>
      </c>
      <c r="HU104" s="125" t="s">
        <v>1008</v>
      </c>
      <c r="HV104" s="125" t="s">
        <v>973</v>
      </c>
      <c r="HW104" s="125" t="s">
        <v>1006</v>
      </c>
      <c r="IW104" s="36">
        <v>41831.533958333333</v>
      </c>
      <c r="IX104" s="36">
        <v>41831.54010416667</v>
      </c>
      <c r="IY104" s="125" t="s">
        <v>1161</v>
      </c>
      <c r="JI104" s="125" t="s">
        <v>443</v>
      </c>
      <c r="JN104" s="124"/>
      <c r="JP104" s="126" t="s">
        <v>531</v>
      </c>
      <c r="JQ104" s="126" t="s">
        <v>74</v>
      </c>
      <c r="JR104" s="125" t="s">
        <v>1063</v>
      </c>
      <c r="JS104" s="125">
        <v>600</v>
      </c>
      <c r="JT104" s="125" t="s">
        <v>1084</v>
      </c>
      <c r="JU104" s="125" t="s">
        <v>1159</v>
      </c>
      <c r="JV104" s="125" t="s">
        <v>450</v>
      </c>
      <c r="JW104" s="125" t="s">
        <v>437</v>
      </c>
      <c r="JX104" s="126" t="s">
        <v>438</v>
      </c>
      <c r="JY104" s="126" t="s">
        <v>812</v>
      </c>
      <c r="KF104" s="125" t="s">
        <v>439</v>
      </c>
      <c r="KG104" s="125" t="s">
        <v>838</v>
      </c>
      <c r="KH104" s="125" t="s">
        <v>447</v>
      </c>
      <c r="KI104" s="125" t="s">
        <v>838</v>
      </c>
      <c r="KJ104" s="126" t="s">
        <v>444</v>
      </c>
      <c r="KK104" s="125" t="s">
        <v>445</v>
      </c>
      <c r="KL104" s="130" t="s">
        <v>491</v>
      </c>
      <c r="KM104" s="125" t="s">
        <v>78</v>
      </c>
      <c r="KN104" s="126" t="s">
        <v>443</v>
      </c>
      <c r="KO104" s="124"/>
      <c r="KP104" s="125">
        <v>123456</v>
      </c>
      <c r="KQ104" s="125">
        <v>123456</v>
      </c>
      <c r="KR104" s="125">
        <v>11</v>
      </c>
      <c r="KS104" s="125" t="s">
        <v>446</v>
      </c>
      <c r="KT104" s="125">
        <v>2037</v>
      </c>
      <c r="KU104" s="125" t="s">
        <v>448</v>
      </c>
      <c r="KV104" s="126" t="s">
        <v>532</v>
      </c>
      <c r="KW104" s="126" t="s">
        <v>532</v>
      </c>
      <c r="KX104" s="126" t="s">
        <v>809</v>
      </c>
      <c r="KY104" s="126" t="s">
        <v>809</v>
      </c>
      <c r="KZ104" s="125" t="s">
        <v>449</v>
      </c>
      <c r="LA104" s="125" t="s">
        <v>533</v>
      </c>
      <c r="LB104" s="125" t="s">
        <v>533</v>
      </c>
      <c r="LC104" s="126" t="s">
        <v>518</v>
      </c>
      <c r="LD104" s="126" t="s">
        <v>699</v>
      </c>
      <c r="LE104" s="126" t="s">
        <v>453</v>
      </c>
      <c r="LF104" s="126" t="s">
        <v>195</v>
      </c>
      <c r="LG104" s="124"/>
      <c r="LH104" s="125" t="s">
        <v>441</v>
      </c>
      <c r="LI104" s="125">
        <v>108</v>
      </c>
      <c r="LJ104" s="125">
        <v>10</v>
      </c>
      <c r="LK104" s="125">
        <v>2021</v>
      </c>
      <c r="LL104" s="126" t="b">
        <v>1</v>
      </c>
      <c r="LM104" s="126" t="s">
        <v>522</v>
      </c>
      <c r="LN104" s="126" t="s">
        <v>838</v>
      </c>
      <c r="LO104" s="126" t="s">
        <v>838</v>
      </c>
      <c r="LP104" s="126" t="s">
        <v>838</v>
      </c>
      <c r="LQ104" s="125">
        <v>1234</v>
      </c>
      <c r="LR104" s="126" t="s">
        <v>451</v>
      </c>
      <c r="LS104" s="126" t="s">
        <v>452</v>
      </c>
      <c r="LT104" s="54">
        <v>975.23</v>
      </c>
      <c r="LV104" s="125" t="s">
        <v>1160</v>
      </c>
      <c r="LX104" s="116" t="s">
        <v>58</v>
      </c>
      <c r="LY104" s="116" t="s">
        <v>351</v>
      </c>
      <c r="LZ104" s="125" t="s">
        <v>22</v>
      </c>
    </row>
    <row r="105" spans="1:338" s="125" customFormat="1" ht="45" hidden="1" x14ac:dyDescent="0.25">
      <c r="A105" s="43"/>
      <c r="B105" s="44">
        <v>1</v>
      </c>
      <c r="C105" s="125" t="s">
        <v>1016</v>
      </c>
      <c r="D105" s="125" t="s">
        <v>1120</v>
      </c>
      <c r="E105" s="126" t="s">
        <v>1116</v>
      </c>
      <c r="F105" s="31" t="str">
        <f>HYPERLINK("C:\RaviK\SVN_Admin_NewTask\Projects\SALT\Snapshots\GetBuyBackNumberForMultiple_IN-MU-LT-J27116\2015513\17440\Iterator_1\GetBuyBackNumberForMultiple1.xlsx","Snapshot")</f>
        <v>Snapshot</v>
      </c>
      <c r="G105" s="31" t="str">
        <f>HYPERLINK("C:\RaviK\SVN_Admin_NewTask\Projects\SALT\Snapshots\GetBuyBackNumberForMultiple_IN-MU-LT-J27116\2015513\17440\Iterator_1\Merge.html","Result")</f>
        <v>Result</v>
      </c>
      <c r="CN105" s="125" t="s">
        <v>1172</v>
      </c>
      <c r="CO105" s="126" t="s">
        <v>1017</v>
      </c>
      <c r="EV105" s="125" t="s">
        <v>961</v>
      </c>
      <c r="IS105" s="142"/>
      <c r="IW105" s="36">
        <v>42137.711574074077</v>
      </c>
      <c r="IX105" s="36">
        <v>42137.712372685186</v>
      </c>
      <c r="IY105" s="125" t="s">
        <v>707</v>
      </c>
      <c r="JI105" s="125" t="s">
        <v>443</v>
      </c>
      <c r="JJ105" s="143" t="s">
        <v>979</v>
      </c>
      <c r="JK105" s="142">
        <v>1</v>
      </c>
      <c r="JL105" s="143" t="s">
        <v>159</v>
      </c>
      <c r="JM105" s="143" t="s">
        <v>159</v>
      </c>
      <c r="JO105" s="126" t="s">
        <v>962</v>
      </c>
      <c r="KL105" s="130"/>
      <c r="LV105" s="125" t="s">
        <v>1168</v>
      </c>
      <c r="LX105" s="125" t="s">
        <v>58</v>
      </c>
      <c r="LY105" s="125" t="s">
        <v>96</v>
      </c>
      <c r="LZ105" s="125" t="s">
        <v>22</v>
      </c>
    </row>
    <row r="106" spans="1:338" hidden="1" x14ac:dyDescent="0.25">
      <c r="B106" s="44">
        <v>1</v>
      </c>
      <c r="C106" s="103" t="s">
        <v>1031</v>
      </c>
      <c r="D106" s="29" t="s">
        <v>1120</v>
      </c>
      <c r="E106" s="29" t="s">
        <v>1116</v>
      </c>
      <c r="F106" s="31" t="str">
        <f>HYPERLINK("C:\RaviK\SVN_Admin_NewTask\Projects\SALT\Snapshots\CancellBPayBankTransferPending_IN-MU-LT-J27116\2015513\173832\Iterator_1\CancellBPayBankTransferPending1.xlsx","Snapshot")</f>
        <v>Snapshot</v>
      </c>
      <c r="G106" s="31" t="str">
        <f>HYPERLINK("C:\RaviK\SVN_Admin_NewTask\Projects\SALT\Snapshots\CancellBPayBankTransferPending_IN-MU-LT-J27116\2015513\173832\Iterator_1\Merge.html","Result")</f>
        <v>Result</v>
      </c>
      <c r="IW106" s="36">
        <v>42137.735092592593</v>
      </c>
      <c r="IX106" s="36">
        <v>42137.736319444448</v>
      </c>
      <c r="IY106" s="29" t="s">
        <v>1173</v>
      </c>
      <c r="JI106" s="29" t="s">
        <v>443</v>
      </c>
      <c r="JJ106" s="29" t="s">
        <v>310</v>
      </c>
      <c r="JK106" s="29">
        <v>19</v>
      </c>
      <c r="JL106" s="29" t="s">
        <v>159</v>
      </c>
      <c r="JM106" s="29" t="s">
        <v>199</v>
      </c>
      <c r="JO106" s="29" t="s">
        <v>1453</v>
      </c>
      <c r="KL106" s="130"/>
      <c r="LX106" s="29" t="s">
        <v>58</v>
      </c>
      <c r="LY106" s="29" t="s">
        <v>96</v>
      </c>
      <c r="LZ106" s="29" t="s">
        <v>22</v>
      </c>
    </row>
    <row r="107" spans="1:338" ht="30" hidden="1" x14ac:dyDescent="0.25">
      <c r="B107" s="44">
        <v>2</v>
      </c>
      <c r="C107" s="50" t="s">
        <v>513</v>
      </c>
      <c r="D107" s="29" t="s">
        <v>1120</v>
      </c>
      <c r="E107" s="29" t="s">
        <v>1116</v>
      </c>
      <c r="F107" s="31" t="str">
        <f>HYPERLINK("\\gdc-data\Team\Test Team\!Testing Details\Automation\Vikram\Vikram\SALT Automation Phase 2 - BACKUP\Projects\SALT\Snapshots\BPAYbillpayBankTransferPaymentFull_IN-MU-LT-J27180\2014711\105432\Iterator_2\BPAYbillpayBankTransferPaymentFull2.xlsx","Snapshot")</f>
        <v>Snapshot</v>
      </c>
      <c r="G107" s="31" t="str">
        <f>HYPERLINK("\\gdc-data\Team\Test Team\!Testing Details\Automation\Vikram\Vikram\SALT Automation Phase 2 - BACKUP\Projects\SALT\Snapshots\BPAYbillpayBankTransferPaymentFull_IN-MU-LT-J27180\2014711\105432\Iterator_2\Merge.html","Result")</f>
        <v>Result</v>
      </c>
      <c r="IW107" s="36">
        <v>41831.45453703704</v>
      </c>
      <c r="IX107" s="36">
        <v>41831.454594907409</v>
      </c>
      <c r="IY107" s="29" t="s">
        <v>1028</v>
      </c>
      <c r="JA107" s="42" t="s">
        <v>443</v>
      </c>
      <c r="JB107" s="125" t="s">
        <v>505</v>
      </c>
      <c r="JC107" s="125" t="s">
        <v>517</v>
      </c>
      <c r="JD107" s="125" t="s">
        <v>1095</v>
      </c>
      <c r="JE107" s="58" t="s">
        <v>1098</v>
      </c>
      <c r="JF107" s="29">
        <v>1609.72</v>
      </c>
      <c r="JG107" s="126" t="s">
        <v>527</v>
      </c>
      <c r="JJ107" s="125" t="s">
        <v>310</v>
      </c>
      <c r="JK107" s="29">
        <v>15</v>
      </c>
      <c r="JL107" s="125" t="s">
        <v>523</v>
      </c>
      <c r="JM107" s="125" t="s">
        <v>524</v>
      </c>
      <c r="JO107" s="29" t="s">
        <v>1420</v>
      </c>
      <c r="KL107" s="130"/>
    </row>
    <row r="108" spans="1:338" ht="30" hidden="1" x14ac:dyDescent="0.25">
      <c r="B108" s="243">
        <v>2</v>
      </c>
      <c r="C108" s="206" t="s">
        <v>514</v>
      </c>
      <c r="D108" s="29" t="s">
        <v>1120</v>
      </c>
      <c r="E108" s="29" t="s">
        <v>1116</v>
      </c>
      <c r="F108" s="31" t="str">
        <f>HYPERLINK("\\gdc-data\Team\Test Team\!Testing Details\Automation\Vikram\Vikram\SALT Automation Phase 2 - BACKUP\Projects\SALT\Snapshots\BPAYbillpayBankTransferPaymentPartial_IN-MU-LT-J27180\2014711\105516\Iterator_2\BPAYbillpayBankTransferPaymentPartial2.xlsx","Snapshot")</f>
        <v>Snapshot</v>
      </c>
      <c r="G108" s="31" t="str">
        <f>HYPERLINK("\\gdc-data\Team\Test Team\!Testing Details\Automation\Vikram\Vikram\SALT Automation Phase 2 - BACKUP\Projects\SALT\Snapshots\BPAYbillpayBankTransferPaymentPartial_IN-MU-LT-J27180\2014711\105516\Iterator_2\Merge.html","Result")</f>
        <v>Result</v>
      </c>
      <c r="IW108" s="36">
        <v>41831.455046296294</v>
      </c>
      <c r="IX108" s="36">
        <v>41831.455104166664</v>
      </c>
      <c r="IY108" s="29" t="s">
        <v>1028</v>
      </c>
      <c r="JA108" s="125" t="s">
        <v>443</v>
      </c>
      <c r="JB108" s="125" t="s">
        <v>505</v>
      </c>
      <c r="JC108" s="125" t="s">
        <v>517</v>
      </c>
      <c r="JD108" s="125" t="s">
        <v>1095</v>
      </c>
      <c r="JE108" s="58" t="s">
        <v>1098</v>
      </c>
      <c r="JF108" s="125">
        <v>792.4</v>
      </c>
      <c r="JG108" s="125" t="s">
        <v>528</v>
      </c>
      <c r="JJ108" s="125" t="s">
        <v>310</v>
      </c>
      <c r="JK108" s="125">
        <v>16</v>
      </c>
      <c r="JL108" s="125" t="s">
        <v>523</v>
      </c>
      <c r="JM108" s="125" t="s">
        <v>524</v>
      </c>
      <c r="JO108" s="125" t="s">
        <v>1141</v>
      </c>
      <c r="KL108" s="130"/>
    </row>
    <row r="109" spans="1:338" hidden="1" x14ac:dyDescent="0.25">
      <c r="B109" s="44">
        <v>1</v>
      </c>
      <c r="C109" s="45" t="s">
        <v>1032</v>
      </c>
      <c r="D109" s="29" t="s">
        <v>1120</v>
      </c>
      <c r="E109" s="126" t="s">
        <v>1116</v>
      </c>
      <c r="F109" s="31" t="str">
        <f>HYPERLINK("C:\RaviK\SVN_Admin_NewTask\Projects\SALT\Snapshots\PrintUnpackOrder_IN-MU-LT-J27116\2015513\175433\Iterator_1\PrintUnpackOrder1.xlsx","Snapshot")</f>
        <v>Snapshot</v>
      </c>
      <c r="G109" s="31" t="str">
        <f>HYPERLINK("C:\RaviK\SVN_Admin_NewTask\Projects\SALT\Snapshots\PrintUnpackOrder_IN-MU-LT-J27116\2015513\175433\Iterator_1\Merge.html","Result")</f>
        <v>Result</v>
      </c>
      <c r="IT109" s="29" t="s">
        <v>1034</v>
      </c>
      <c r="IW109" s="36">
        <v>42137.746215277781</v>
      </c>
      <c r="IX109" s="36">
        <v>42137.747175925928</v>
      </c>
      <c r="IY109" s="29" t="s">
        <v>1302</v>
      </c>
      <c r="JI109" s="29" t="s">
        <v>443</v>
      </c>
      <c r="KL109" s="130"/>
      <c r="LX109" s="29" t="s">
        <v>58</v>
      </c>
      <c r="LY109" s="29" t="s">
        <v>96</v>
      </c>
      <c r="LZ109" s="29" t="s">
        <v>22</v>
      </c>
    </row>
    <row r="110" spans="1:338" s="125" customFormat="1" ht="30" hidden="1" x14ac:dyDescent="0.25">
      <c r="A110" s="43"/>
      <c r="B110" s="44">
        <v>1</v>
      </c>
      <c r="C110" s="47" t="s">
        <v>1035</v>
      </c>
      <c r="D110" s="125" t="s">
        <v>1120</v>
      </c>
      <c r="E110" s="125" t="s">
        <v>1116</v>
      </c>
      <c r="F110" s="31" t="str">
        <f>HYPERLINK("\\gdc-data\Team\Test Team\!Testing Details\Automation\Vikram\Vikram\SALT Automation Phase 2 - BACKUP\Projects\SALT\Snapshots\ChangeOrderIDCompletedCallCentre_IN-MU-LT-J27180\2014711\135451\Iterator_1\ChangeOrderIDCompletedCallCentre1.xlsx","Snapshot")</f>
        <v>Snapshot</v>
      </c>
      <c r="G110" s="31" t="str">
        <f>HYPERLINK("\\gdc-data\Team\Test Team\!Testing Details\Automation\Vikram\Vikram\SALT Automation Phase 2 - BACKUP\Projects\SALT\Snapshots\ChangeOrderIDCompletedCallCentre_IN-MU-LT-J27180\2014711\135451\Iterator_1\Merge.html","Result")</f>
        <v>Result</v>
      </c>
      <c r="CN110" s="126" t="s">
        <v>1044</v>
      </c>
      <c r="CO110" s="125" t="s">
        <v>78</v>
      </c>
      <c r="IA110" s="125" t="s">
        <v>1044</v>
      </c>
      <c r="IB110" s="125" t="s">
        <v>78</v>
      </c>
      <c r="IC110" s="125" t="s">
        <v>1045</v>
      </c>
      <c r="IE110" s="125">
        <v>111111</v>
      </c>
      <c r="IF110" s="125" t="s">
        <v>1046</v>
      </c>
      <c r="IG110" s="125">
        <v>11</v>
      </c>
      <c r="IH110" s="125">
        <v>2016</v>
      </c>
      <c r="II110" s="125" t="s">
        <v>1046</v>
      </c>
      <c r="IJ110" s="125">
        <v>11</v>
      </c>
      <c r="IK110" s="125">
        <v>1977</v>
      </c>
      <c r="IL110" s="125" t="s">
        <v>1047</v>
      </c>
      <c r="IR110" s="125">
        <v>1977</v>
      </c>
      <c r="IS110" s="125" t="s">
        <v>1047</v>
      </c>
      <c r="IT110" s="125" t="s">
        <v>443</v>
      </c>
      <c r="IU110" s="125" t="s">
        <v>310</v>
      </c>
      <c r="IV110" s="125">
        <v>6</v>
      </c>
      <c r="IW110" s="36">
        <v>41831.579756944448</v>
      </c>
      <c r="IX110" s="36">
        <v>41831.581782407404</v>
      </c>
      <c r="IY110" s="125" t="s">
        <v>1174</v>
      </c>
      <c r="JA110" s="125" t="s">
        <v>1045</v>
      </c>
      <c r="JC110" s="125">
        <v>111111</v>
      </c>
      <c r="JD110" s="125" t="s">
        <v>1046</v>
      </c>
      <c r="JE110" s="125">
        <v>11</v>
      </c>
      <c r="JF110" s="125">
        <v>2016</v>
      </c>
      <c r="JG110" s="125" t="s">
        <v>1046</v>
      </c>
      <c r="JH110" s="125">
        <v>11</v>
      </c>
      <c r="JI110" s="125" t="s">
        <v>443</v>
      </c>
      <c r="JJ110" s="125" t="s">
        <v>310</v>
      </c>
      <c r="JK110" s="125">
        <v>6</v>
      </c>
      <c r="JL110" s="125" t="s">
        <v>159</v>
      </c>
      <c r="JM110" s="125" t="s">
        <v>199</v>
      </c>
      <c r="JO110" s="125" t="s">
        <v>1129</v>
      </c>
      <c r="JP110" s="125" t="s">
        <v>159</v>
      </c>
      <c r="JQ110" s="125" t="s">
        <v>199</v>
      </c>
      <c r="JR110" s="125" t="s">
        <v>1048</v>
      </c>
      <c r="JV110" s="125" t="s">
        <v>58</v>
      </c>
      <c r="JW110" s="125" t="s">
        <v>96</v>
      </c>
      <c r="JX110" s="125" t="s">
        <v>22</v>
      </c>
      <c r="KL110" s="130"/>
      <c r="LX110" s="125" t="s">
        <v>58</v>
      </c>
      <c r="LY110" s="125" t="s">
        <v>96</v>
      </c>
      <c r="LZ110" s="125" t="s">
        <v>22</v>
      </c>
    </row>
    <row r="111" spans="1:338" s="125" customFormat="1" ht="30" hidden="1" x14ac:dyDescent="0.25">
      <c r="A111" s="43"/>
      <c r="B111" s="44">
        <v>1</v>
      </c>
      <c r="C111" s="47" t="s">
        <v>1043</v>
      </c>
      <c r="D111" s="125" t="s">
        <v>1120</v>
      </c>
      <c r="E111" s="125" t="s">
        <v>1116</v>
      </c>
      <c r="F111" s="31" t="str">
        <f>HYPERLINK("C:\Users\kapalev\Desktop\SALT Automation Phase 2 - BACKUP\Projects\SALT\Snapshots\ChangePickUpLocationPackedOrder_IN-MU-LT-J27180\2014724\155230\Iterator_1\ChangePickUpLocationPackedOrder1.xlsx","Snapshot")</f>
        <v>Snapshot</v>
      </c>
      <c r="G111" s="31" t="str">
        <f>HYPERLINK("C:\Users\kapalev\Desktop\SALT Automation Phase 2 - BACKUP\Projects\SALT\Snapshots\ChangePickUpLocationPackedOrder_IN-MU-LT-J27180\2014724\155230\Iterator_1\Merge.html","Result")</f>
        <v>Result</v>
      </c>
      <c r="EM111" s="125" t="s">
        <v>1047</v>
      </c>
      <c r="EN111" s="125" t="s">
        <v>858</v>
      </c>
      <c r="IT111" s="125" t="s">
        <v>1034</v>
      </c>
      <c r="IU111" s="125" t="s">
        <v>310</v>
      </c>
      <c r="IV111" s="125">
        <v>4</v>
      </c>
      <c r="IW111" s="36">
        <v>41844.661458333336</v>
      </c>
      <c r="IX111" s="36">
        <v>41844.665000000001</v>
      </c>
      <c r="IY111" s="125" t="s">
        <v>1208</v>
      </c>
      <c r="JI111" s="125" t="s">
        <v>443</v>
      </c>
      <c r="JJ111" s="125" t="s">
        <v>310</v>
      </c>
      <c r="JK111" s="125">
        <v>4</v>
      </c>
      <c r="JL111" s="125" t="s">
        <v>159</v>
      </c>
      <c r="JM111" s="125" t="s">
        <v>199</v>
      </c>
      <c r="JO111" s="125" t="s">
        <v>1207</v>
      </c>
      <c r="JP111" s="125" t="s">
        <v>159</v>
      </c>
      <c r="JQ111" s="125" t="s">
        <v>199</v>
      </c>
      <c r="JR111" s="125" t="s">
        <v>1049</v>
      </c>
      <c r="JS111" s="125" t="s">
        <v>1034</v>
      </c>
      <c r="JT111" s="125" t="s">
        <v>1047</v>
      </c>
      <c r="JU111" s="126" t="s">
        <v>1050</v>
      </c>
      <c r="JV111" s="125" t="s">
        <v>58</v>
      </c>
      <c r="JW111" s="125" t="s">
        <v>96</v>
      </c>
      <c r="JX111" s="125" t="s">
        <v>22</v>
      </c>
      <c r="KL111" s="130"/>
      <c r="LX111" s="125" t="s">
        <v>58</v>
      </c>
      <c r="LY111" s="125" t="s">
        <v>96</v>
      </c>
      <c r="LZ111" s="125" t="s">
        <v>22</v>
      </c>
    </row>
    <row r="112" spans="1:338" ht="30.75" hidden="1" thickBot="1" x14ac:dyDescent="0.3">
      <c r="B112" s="44">
        <v>1</v>
      </c>
      <c r="C112" s="156" t="s">
        <v>1058</v>
      </c>
      <c r="D112" s="29" t="s">
        <v>1120</v>
      </c>
      <c r="E112" s="29" t="s">
        <v>1116</v>
      </c>
      <c r="F112" s="31" t="str">
        <f>HYPERLINK("\\gdc-data\Team\Test Team\!Testing Details\Automation\Vikram\Vikram\SALT Automation Phase 2 - BACKUP\Projects\SALT\Snapshots\SearchOrderThroughCallCentre_IN-MU-LT-J27180\2014711\14148\Iterator_1\SearchOrderThroughCallCentre1.xlsx","Snapshot")</f>
        <v>Snapshot</v>
      </c>
      <c r="G112" s="31" t="str">
        <f>HYPERLINK("\\gdc-data\Team\Test Team\!Testing Details\Automation\Vikram\Vikram\SALT Automation Phase 2 - BACKUP\Projects\SALT\Snapshots\SearchOrderThroughCallCentre_IN-MU-LT-J27180\2014711\14148\Iterator_1\Merge.html","Result")</f>
        <v>Result</v>
      </c>
      <c r="CP112" s="126" t="s">
        <v>1088</v>
      </c>
      <c r="EL112" s="126" t="s">
        <v>1088</v>
      </c>
      <c r="EO112" s="125" t="s">
        <v>78</v>
      </c>
      <c r="GA112" s="125" t="s">
        <v>1089</v>
      </c>
      <c r="GB112" s="125" t="s">
        <v>1044</v>
      </c>
      <c r="GC112" s="125" t="s">
        <v>1090</v>
      </c>
      <c r="GD112" s="125"/>
      <c r="GE112" s="125">
        <v>111111</v>
      </c>
      <c r="GF112" s="125" t="s">
        <v>1091</v>
      </c>
      <c r="GG112" s="125">
        <v>26</v>
      </c>
      <c r="GH112" s="125">
        <v>2015</v>
      </c>
      <c r="GI112" s="125" t="s">
        <v>1091</v>
      </c>
      <c r="GJ112" s="125">
        <v>26</v>
      </c>
      <c r="GK112" s="125">
        <v>1980</v>
      </c>
      <c r="GL112" s="125" t="s">
        <v>1047</v>
      </c>
      <c r="GM112" s="125"/>
      <c r="IA112" s="125" t="s">
        <v>1044</v>
      </c>
      <c r="IB112" s="125" t="s">
        <v>78</v>
      </c>
      <c r="IC112" s="125" t="s">
        <v>1090</v>
      </c>
      <c r="ID112" s="125"/>
      <c r="IE112" s="125">
        <v>111111</v>
      </c>
      <c r="IF112" s="125" t="s">
        <v>1091</v>
      </c>
      <c r="IG112" s="125">
        <v>26</v>
      </c>
      <c r="IH112" s="125">
        <v>2015</v>
      </c>
      <c r="II112" s="125" t="s">
        <v>1091</v>
      </c>
      <c r="IJ112" s="125">
        <v>26</v>
      </c>
      <c r="IK112" s="125">
        <v>1980</v>
      </c>
      <c r="IL112" s="125" t="s">
        <v>1047</v>
      </c>
      <c r="IW112" s="36">
        <v>41831.584594907406</v>
      </c>
      <c r="IX112" s="36">
        <v>41831.586319444446</v>
      </c>
      <c r="IY112" s="29" t="s">
        <v>1175</v>
      </c>
      <c r="JI112" s="126" t="s">
        <v>443</v>
      </c>
      <c r="JJ112" s="125" t="s">
        <v>310</v>
      </c>
      <c r="JK112" s="125">
        <v>17</v>
      </c>
      <c r="JL112" s="125" t="s">
        <v>159</v>
      </c>
      <c r="JM112" s="125" t="s">
        <v>199</v>
      </c>
      <c r="JO112" s="125" t="s">
        <v>1143</v>
      </c>
      <c r="KL112" s="130"/>
      <c r="LX112" s="125" t="s">
        <v>58</v>
      </c>
      <c r="LY112" s="125" t="s">
        <v>96</v>
      </c>
      <c r="LZ112" s="125" t="s">
        <v>22</v>
      </c>
    </row>
    <row r="113" spans="2:338" ht="30" hidden="1" x14ac:dyDescent="0.25">
      <c r="B113" s="243">
        <v>2</v>
      </c>
      <c r="C113" s="206" t="s">
        <v>515</v>
      </c>
      <c r="D113" s="29" t="s">
        <v>1120</v>
      </c>
      <c r="E113" s="29" t="s">
        <v>1116</v>
      </c>
      <c r="F113" s="31" t="str">
        <f>HYPERLINK("\\gdc-data\Team\Test Team\!Testing Details\Automation\Vikram\Vikram\SALT Automation Phase 2 - BACKUP\Projects\SALT\Snapshots\BPAYbillpayBankTransferPaymentHigher_IN-MU-LT-J27180\2014711\105541\Iterator_2\BPAYbillpayBankTransferPaymentHigher2.xlsx","Snapshot")</f>
        <v>Snapshot</v>
      </c>
      <c r="G113" s="31" t="str">
        <f>HYPERLINK("\\gdc-data\Team\Test Team\!Testing Details\Automation\Vikram\Vikram\SALT Automation Phase 2 - BACKUP\Projects\SALT\Snapshots\BPAYbillpayBankTransferPaymentHigher_IN-MU-LT-J27180\2014711\105541\Iterator_2\Merge.html","Result")</f>
        <v>Result</v>
      </c>
      <c r="IW113" s="36">
        <v>41831.455335648148</v>
      </c>
      <c r="IX113" s="36">
        <v>41831.455405092594</v>
      </c>
      <c r="IY113" s="29" t="s">
        <v>1027</v>
      </c>
      <c r="JA113" s="29" t="s">
        <v>443</v>
      </c>
      <c r="JB113" s="29" t="s">
        <v>505</v>
      </c>
      <c r="JC113" s="29" t="s">
        <v>517</v>
      </c>
      <c r="JD113" s="29" t="s">
        <v>1095</v>
      </c>
      <c r="JE113" s="58" t="s">
        <v>1098</v>
      </c>
      <c r="JF113" s="29">
        <v>1047.6300000000001</v>
      </c>
      <c r="JG113" s="29" t="s">
        <v>529</v>
      </c>
      <c r="JJ113" s="29" t="s">
        <v>310</v>
      </c>
      <c r="JK113" s="29">
        <v>17</v>
      </c>
      <c r="JL113" s="29" t="s">
        <v>523</v>
      </c>
      <c r="JM113" s="29" t="s">
        <v>524</v>
      </c>
      <c r="JO113" s="29" t="s">
        <v>1143</v>
      </c>
      <c r="KL113" s="130"/>
    </row>
    <row r="114" spans="2:338" ht="30" hidden="1" x14ac:dyDescent="0.25">
      <c r="B114" s="243">
        <v>2</v>
      </c>
      <c r="C114" s="206" t="s">
        <v>1018</v>
      </c>
      <c r="D114" s="29" t="s">
        <v>1120</v>
      </c>
      <c r="E114" s="29" t="s">
        <v>1116</v>
      </c>
      <c r="F114" s="31" t="str">
        <f>HYPERLINK("\\gdc-data\Team\Test Team\!Testing Details\Automation\Vikram\Vikram\SALT Automation Phase 2 - BACKUP\Projects\SALT\Snapshots\BPAYbillpayBankTransferPaymentIgnore_IN-MU-LT-J27180\2014711\105558\Iterator_2\BPAYbillpayBankTransferPaymentIgnore2.xlsx","Snapshot")</f>
        <v>Snapshot</v>
      </c>
      <c r="G114" s="31" t="str">
        <f>HYPERLINK("\\gdc-data\Team\Test Team\!Testing Details\Automation\Vikram\Vikram\SALT Automation Phase 2 - BACKUP\Projects\SALT\Snapshots\BPAYbillpayBankTransferPaymentIgnore_IN-MU-LT-J27180\2014711\105558\Iterator_2\Merge.html","Result")</f>
        <v>Result</v>
      </c>
      <c r="IW114" s="36">
        <v>41831.455543981479</v>
      </c>
      <c r="IX114" s="36">
        <v>41831.455601851849</v>
      </c>
      <c r="IY114" s="29" t="s">
        <v>1028</v>
      </c>
      <c r="JA114" s="29" t="s">
        <v>443</v>
      </c>
      <c r="JB114" s="29" t="s">
        <v>505</v>
      </c>
      <c r="JC114" s="29" t="s">
        <v>517</v>
      </c>
      <c r="JD114" s="29" t="s">
        <v>1095</v>
      </c>
      <c r="JE114" s="58" t="s">
        <v>1098</v>
      </c>
      <c r="JF114" s="29">
        <v>1360.98</v>
      </c>
      <c r="JG114" s="29" t="s">
        <v>528</v>
      </c>
      <c r="JJ114" s="29" t="s">
        <v>310</v>
      </c>
      <c r="JK114" s="29">
        <v>18</v>
      </c>
      <c r="JL114" s="29" t="s">
        <v>523</v>
      </c>
      <c r="JM114" s="29" t="s">
        <v>524</v>
      </c>
      <c r="JO114" s="29" t="s">
        <v>1145</v>
      </c>
      <c r="KL114" s="130"/>
    </row>
    <row r="115" spans="2:338" hidden="1" x14ac:dyDescent="0.25">
      <c r="B115" s="44">
        <v>1</v>
      </c>
      <c r="C115" s="45" t="s">
        <v>1099</v>
      </c>
      <c r="D115" s="29" t="s">
        <v>1120</v>
      </c>
      <c r="E115" s="29" t="s">
        <v>1116</v>
      </c>
      <c r="F115" s="31" t="str">
        <f>HYPERLINK("C:\RaviK\SVN_Admin_NewTask\Projects\SALT\Snapshots\FullPaymentBankTransfer_IN-MU-LT-J27116\2015512\185126\Iterator_1\FullPaymentBankTransfer1.xlsx","Snapshot")</f>
        <v>Snapshot</v>
      </c>
      <c r="G115" s="31" t="str">
        <f>HYPERLINK("C:\RaviK\SVN_Admin_NewTask\Projects\SALT\Snapshots\FullPaymentBankTransfer_IN-MU-LT-J27116\2015512\185126\Iterator_1\Merge.html","Result")</f>
        <v>Result</v>
      </c>
      <c r="HY115" s="125" t="s">
        <v>527</v>
      </c>
      <c r="HZ115" s="29" t="s">
        <v>527</v>
      </c>
      <c r="IW115" s="36">
        <v>42136.785717592589</v>
      </c>
      <c r="IX115" s="36">
        <v>42136.786666666667</v>
      </c>
      <c r="IY115" s="29" t="s">
        <v>1441</v>
      </c>
      <c r="JI115" s="29" t="s">
        <v>443</v>
      </c>
      <c r="JJ115" s="29" t="s">
        <v>310</v>
      </c>
      <c r="JK115" s="29">
        <v>15</v>
      </c>
      <c r="JL115" s="29" t="s">
        <v>159</v>
      </c>
      <c r="JM115" s="126" t="s">
        <v>199</v>
      </c>
      <c r="JO115" s="29" t="s">
        <v>1437</v>
      </c>
      <c r="KL115" s="130"/>
      <c r="LX115" s="29" t="s">
        <v>58</v>
      </c>
      <c r="LY115" s="29" t="s">
        <v>96</v>
      </c>
      <c r="LZ115" s="29" t="s">
        <v>22</v>
      </c>
    </row>
    <row r="116" spans="2:338" ht="30" hidden="1" x14ac:dyDescent="0.25">
      <c r="B116" s="44">
        <v>1</v>
      </c>
      <c r="C116" s="45" t="s">
        <v>1100</v>
      </c>
      <c r="D116" s="29" t="s">
        <v>1120</v>
      </c>
      <c r="E116" s="29" t="s">
        <v>1116</v>
      </c>
      <c r="F116" s="31" t="str">
        <f>HYPERLINK("C:\RaviK\SVN_Admin_NewTask\Projects\SALT\Snapshots\PartialPaymentBankTransfer_IN-MU-LT-J27116\2015512\185250\Iterator_1\PartialPaymentBankTransfer1.xlsx","Snapshot")</f>
        <v>Snapshot</v>
      </c>
      <c r="G116" s="31" t="str">
        <f>HYPERLINK("C:\RaviK\SVN_Admin_NewTask\Projects\SALT\Snapshots\PartialPaymentBankTransfer_IN-MU-LT-J27116\2015512\185250\Iterator_1\Merge.html","Result")</f>
        <v>Result</v>
      </c>
      <c r="HY116" s="125" t="s">
        <v>528</v>
      </c>
      <c r="HZ116" s="29" t="s">
        <v>528</v>
      </c>
      <c r="IW116" s="36">
        <v>42136.786689814813</v>
      </c>
      <c r="IX116" s="36">
        <v>42136.787407407406</v>
      </c>
      <c r="IY116" s="29" t="s">
        <v>1434</v>
      </c>
      <c r="JI116" s="29" t="s">
        <v>443</v>
      </c>
      <c r="JJ116" s="29" t="s">
        <v>310</v>
      </c>
      <c r="JK116" s="29">
        <v>16</v>
      </c>
      <c r="JL116" s="29" t="s">
        <v>159</v>
      </c>
      <c r="JM116" s="29" t="s">
        <v>199</v>
      </c>
      <c r="JO116" s="29" t="s">
        <v>1438</v>
      </c>
      <c r="KL116" s="130"/>
      <c r="LX116" s="29" t="s">
        <v>58</v>
      </c>
      <c r="LY116" s="29" t="s">
        <v>96</v>
      </c>
      <c r="LZ116" s="29" t="s">
        <v>22</v>
      </c>
    </row>
    <row r="117" spans="2:338" ht="30" hidden="1" x14ac:dyDescent="0.25">
      <c r="B117" s="44">
        <v>1</v>
      </c>
      <c r="C117" s="45" t="s">
        <v>1101</v>
      </c>
      <c r="D117" s="29" t="s">
        <v>1120</v>
      </c>
      <c r="E117" s="29" t="s">
        <v>1116</v>
      </c>
      <c r="F117" s="31" t="str">
        <f>HYPERLINK("C:\RaviK\SVN_Admin_NewTask\Projects\SALT\Snapshots\HigherPaymentBankTransfer_IN-MU-LT-J27116\2015512\185353\Iterator_1\HigherPaymentBankTransfer1.xlsx","Snapshot")</f>
        <v>Snapshot</v>
      </c>
      <c r="G117" s="31" t="str">
        <f>HYPERLINK("C:\RaviK\SVN_Admin_NewTask\Projects\SALT\Snapshots\HigherPaymentBankTransfer_IN-MU-LT-J27116\2015512\185353\Iterator_1\Merge.html","Result")</f>
        <v>Result</v>
      </c>
      <c r="HY117" s="125" t="s">
        <v>529</v>
      </c>
      <c r="HZ117" s="29" t="s">
        <v>529</v>
      </c>
      <c r="IW117" s="36">
        <v>42136.787418981483</v>
      </c>
      <c r="IX117" s="36">
        <v>42136.78802083333</v>
      </c>
      <c r="IY117" s="29" t="s">
        <v>1442</v>
      </c>
      <c r="JI117" s="29" t="s">
        <v>443</v>
      </c>
      <c r="JJ117" s="29" t="s">
        <v>310</v>
      </c>
      <c r="JK117" s="29">
        <v>17</v>
      </c>
      <c r="JL117" s="29" t="s">
        <v>159</v>
      </c>
      <c r="JM117" s="29" t="s">
        <v>199</v>
      </c>
      <c r="JO117" s="29" t="s">
        <v>1439</v>
      </c>
      <c r="KL117" s="130"/>
      <c r="LX117" s="29" t="s">
        <v>58</v>
      </c>
      <c r="LY117" s="29" t="s">
        <v>96</v>
      </c>
      <c r="LZ117" s="29" t="s">
        <v>22</v>
      </c>
    </row>
    <row r="118" spans="2:338" ht="30" hidden="1" x14ac:dyDescent="0.25">
      <c r="B118" s="44">
        <v>1</v>
      </c>
      <c r="C118" s="45" t="s">
        <v>1102</v>
      </c>
      <c r="D118" s="29" t="s">
        <v>1158</v>
      </c>
      <c r="E118" s="29" t="s">
        <v>1116</v>
      </c>
      <c r="F118" s="31" t="str">
        <f>HYPERLINK("C:\RaviK\SVN_Admin_NewTask\Projects\SALT\Snapshots\IgnorePaymentBankTransfer_IN-MU-LT-J27116\2015512\20330\Iterator_1\IgnorePaymentBankTransfer1.xlsx","Snapshot")</f>
        <v>Snapshot</v>
      </c>
      <c r="G118" s="31" t="str">
        <f>HYPERLINK("C:\RaviK\SVN_Admin_NewTask\Projects\SALT\Snapshots\IgnorePaymentBankTransfer_IN-MU-LT-J27116\2015512\20330\Iterator_1\Merge.html","Result")</f>
        <v>Result</v>
      </c>
      <c r="HY118" s="29" t="s">
        <v>740</v>
      </c>
      <c r="HZ118" s="29" t="s">
        <v>740</v>
      </c>
      <c r="IW118" s="36">
        <v>42136.856249999997</v>
      </c>
      <c r="IX118" s="36">
        <v>42136.86204861111</v>
      </c>
      <c r="IY118" s="29" t="s">
        <v>1443</v>
      </c>
      <c r="JI118" s="29" t="s">
        <v>443</v>
      </c>
      <c r="JJ118" s="29" t="s">
        <v>310</v>
      </c>
      <c r="JK118" s="126" t="s">
        <v>1103</v>
      </c>
      <c r="JL118" s="29" t="s">
        <v>159</v>
      </c>
      <c r="JM118" s="29" t="s">
        <v>199</v>
      </c>
      <c r="JO118" s="29" t="s">
        <v>1440</v>
      </c>
      <c r="KL118" s="130"/>
      <c r="LX118" s="29" t="s">
        <v>58</v>
      </c>
      <c r="LY118" s="29" t="s">
        <v>96</v>
      </c>
      <c r="LZ118" s="29" t="s">
        <v>22</v>
      </c>
    </row>
    <row r="119" spans="2:338" ht="30" hidden="1" x14ac:dyDescent="0.25">
      <c r="B119" s="243">
        <v>3</v>
      </c>
      <c r="C119" s="206" t="s">
        <v>514</v>
      </c>
      <c r="D119" s="29" t="s">
        <v>1120</v>
      </c>
      <c r="E119" s="29" t="s">
        <v>1116</v>
      </c>
      <c r="F119" s="31" t="str">
        <f>HYPERLINK("\\gdc-data\Team\Test Team\!Testing Details\Automation\Vikram\Vikram\SALT Automation Phase 2 - BACKUP\Projects\SALT\Snapshots\BPAYbillpayBankTransferPaymentPartial_IN-MU-LT-J27180\2014711\105524\Iterator_3\BPAYbillpayBankTransferPaymentPartial3.xlsx","Snapshot")</f>
        <v>Snapshot</v>
      </c>
      <c r="G119" s="31" t="str">
        <f>HYPERLINK("\\gdc-data\Team\Test Team\!Testing Details\Automation\Vikram\Vikram\SALT Automation Phase 2 - BACKUP\Projects\SALT\Snapshots\BPAYbillpayBankTransferPaymentPartial_IN-MU-LT-J27180\2014711\105524\Iterator_3\Merge.html","Result")</f>
        <v>Result</v>
      </c>
      <c r="IW119" s="36">
        <v>41831.455138888887</v>
      </c>
      <c r="IX119" s="36">
        <v>41831.455196759256</v>
      </c>
      <c r="IY119" s="29" t="s">
        <v>1028</v>
      </c>
      <c r="JA119" s="125" t="s">
        <v>443</v>
      </c>
      <c r="JB119" s="125" t="s">
        <v>508</v>
      </c>
      <c r="JC119" s="125" t="s">
        <v>517</v>
      </c>
      <c r="JD119" s="125" t="s">
        <v>1095</v>
      </c>
      <c r="JE119" s="58" t="s">
        <v>963</v>
      </c>
      <c r="JF119" s="125">
        <v>918.99</v>
      </c>
      <c r="JG119" s="125" t="s">
        <v>528</v>
      </c>
      <c r="JJ119" s="125" t="s">
        <v>310</v>
      </c>
      <c r="JK119" s="125">
        <v>21</v>
      </c>
      <c r="JL119" s="125" t="s">
        <v>523</v>
      </c>
      <c r="JM119" s="125" t="s">
        <v>524</v>
      </c>
      <c r="JO119" s="125" t="s">
        <v>1150</v>
      </c>
      <c r="KL119" s="130"/>
    </row>
    <row r="120" spans="2:338" hidden="1" x14ac:dyDescent="0.25">
      <c r="B120" s="44">
        <v>1</v>
      </c>
      <c r="C120" s="50" t="s">
        <v>1108</v>
      </c>
      <c r="D120" s="29" t="s">
        <v>1158</v>
      </c>
      <c r="E120" s="126" t="s">
        <v>1116</v>
      </c>
      <c r="F120" s="31" t="str">
        <f>HYPERLINK("C:\RaviK\SVN_Admin_NewTask\Projects\SALT\Snapshots\CancelBPayPaidFull_IN-MU-LT-J27116\2015513\174019\Iterator_1\CancelBPayPaidFull1.xlsx","Snapshot")</f>
        <v>Snapshot</v>
      </c>
      <c r="G120" s="31" t="str">
        <f>HYPERLINK("C:\RaviK\SVN_Admin_NewTask\Projects\SALT\Snapshots\CancelBPayPaidFull_IN-MU-LT-J27116\2015513\174019\Iterator_1\Merge.html","Result")</f>
        <v>Result</v>
      </c>
      <c r="IT120" s="29" t="s">
        <v>1034</v>
      </c>
      <c r="IW120" s="36">
        <v>42137.736331018517</v>
      </c>
      <c r="IX120" s="36">
        <v>42137.738576388889</v>
      </c>
      <c r="IY120" s="29" t="s">
        <v>1456</v>
      </c>
      <c r="JI120" s="29" t="s">
        <v>443</v>
      </c>
      <c r="JJ120" s="29" t="s">
        <v>310</v>
      </c>
      <c r="JK120" s="29">
        <v>20</v>
      </c>
      <c r="JL120" s="29" t="s">
        <v>159</v>
      </c>
      <c r="JM120" s="29" t="s">
        <v>199</v>
      </c>
      <c r="JO120" s="29" t="s">
        <v>1454</v>
      </c>
      <c r="KL120" s="130"/>
      <c r="LX120" s="29" t="s">
        <v>58</v>
      </c>
      <c r="LY120" s="29" t="s">
        <v>96</v>
      </c>
      <c r="LZ120" s="29" t="s">
        <v>22</v>
      </c>
    </row>
    <row r="121" spans="2:338" hidden="1" x14ac:dyDescent="0.25">
      <c r="B121" s="44">
        <v>1</v>
      </c>
      <c r="C121" s="50" t="s">
        <v>1107</v>
      </c>
      <c r="D121" s="29" t="s">
        <v>1120</v>
      </c>
      <c r="E121" s="29" t="s">
        <v>1116</v>
      </c>
      <c r="F121" s="31" t="str">
        <f>HYPERLINK("C:\RaviK\SVN_Admin_NewTask\Projects\SALT\Snapshots\CancelBPayPaidPart_IN-MU-LT-J27116\2015513\174335\Iterator_1\CancelBPayPaidPart1.xlsx","Snapshot")</f>
        <v>Snapshot</v>
      </c>
      <c r="G121" s="31" t="str">
        <f>HYPERLINK("C:\RaviK\SVN_Admin_NewTask\Projects\SALT\Snapshots\CancelBPayPaidPart_IN-MU-LT-J27116\2015513\174335\Iterator_1\Merge.html","Result")</f>
        <v>Result</v>
      </c>
      <c r="IW121" s="36">
        <v>42137.738599537035</v>
      </c>
      <c r="IX121" s="36">
        <v>42137.739583333336</v>
      </c>
      <c r="IY121" s="29" t="s">
        <v>1457</v>
      </c>
      <c r="JI121" s="29" t="s">
        <v>443</v>
      </c>
      <c r="JJ121" s="29" t="s">
        <v>310</v>
      </c>
      <c r="JK121" s="29">
        <v>21</v>
      </c>
      <c r="JL121" s="29" t="s">
        <v>159</v>
      </c>
      <c r="JM121" s="29" t="s">
        <v>199</v>
      </c>
      <c r="JO121" s="29" t="s">
        <v>1455</v>
      </c>
      <c r="KL121" s="130"/>
      <c r="LX121" s="29" t="s">
        <v>58</v>
      </c>
      <c r="LY121" s="29" t="s">
        <v>96</v>
      </c>
      <c r="LZ121" s="29" t="s">
        <v>22</v>
      </c>
    </row>
    <row r="122" spans="2:338" hidden="1" x14ac:dyDescent="0.25">
      <c r="B122" s="44">
        <v>1</v>
      </c>
      <c r="C122" s="45" t="s">
        <v>1109</v>
      </c>
      <c r="D122" s="29" t="s">
        <v>1120</v>
      </c>
      <c r="E122" s="126"/>
      <c r="F122" s="31" t="str">
        <f>HYPERLINK("C:\RaviK\SVN_Admin_NewTask\Projects\SALT\Snapshots\CancelAndRefundBapyFullPay_IN-MU-LT-J27116\2015513\21556\Iterator_1\CancelAndRefundBapyFullPay1.xlsx","Snapshot")</f>
        <v>Snapshot</v>
      </c>
      <c r="G122" s="31" t="str">
        <f>HYPERLINK("C:\RaviK\SVN_Admin_NewTask\Projects\SALT\Snapshots\CancelAndRefundBapyFullPay_IN-MU-LT-J27116\2015513\21556\Iterator_1\Merge.html","Result")</f>
        <v>Result</v>
      </c>
      <c r="BG122" s="269" t="s">
        <v>1459</v>
      </c>
      <c r="IN122" s="126" t="s">
        <v>1085</v>
      </c>
      <c r="IO122" s="29">
        <v>0.62549999999999994</v>
      </c>
      <c r="IP122" s="29">
        <v>0.62549999999999994</v>
      </c>
      <c r="IQ122" s="29">
        <v>-30</v>
      </c>
      <c r="IW122" s="36">
        <v>42137.879120370373</v>
      </c>
      <c r="IX122" s="36">
        <v>42137.88753472222</v>
      </c>
      <c r="IY122" s="29" t="s">
        <v>1460</v>
      </c>
      <c r="JI122" s="29" t="s">
        <v>443</v>
      </c>
      <c r="JJ122" s="29" t="s">
        <v>310</v>
      </c>
      <c r="JK122" s="29">
        <v>22</v>
      </c>
      <c r="JL122" s="29" t="s">
        <v>159</v>
      </c>
      <c r="JM122" s="29" t="s">
        <v>199</v>
      </c>
      <c r="JO122" s="125" t="s">
        <v>1459</v>
      </c>
      <c r="LU122" s="125" t="s">
        <v>443</v>
      </c>
      <c r="LX122" s="29" t="s">
        <v>58</v>
      </c>
      <c r="LY122" s="29" t="s">
        <v>96</v>
      </c>
      <c r="LZ122" s="29" t="s">
        <v>22</v>
      </c>
    </row>
    <row r="123" spans="2:338" ht="38.25" hidden="1" customHeight="1" x14ac:dyDescent="0.25">
      <c r="B123" s="44">
        <v>3</v>
      </c>
      <c r="C123" s="50" t="s">
        <v>513</v>
      </c>
      <c r="D123" s="125" t="s">
        <v>1120</v>
      </c>
      <c r="E123" s="125" t="s">
        <v>1116</v>
      </c>
      <c r="F123" s="31" t="str">
        <f>HYPERLINK("\\gdc-data\Team\Test Team\!Testing Details\Automation\Vikram\Vikram\SALT Automation Phase 2 - BACKUP\Projects\SALT\Snapshots\BPAYbillpayBankTransferPaymentFull_IN-MU-LT-J27180\2014711\105440\Iterator_3\BPAYbillpayBankTransferPaymentFull3.xlsx","Snapshot")</f>
        <v>Snapshot</v>
      </c>
      <c r="G123" s="31" t="str">
        <f>HYPERLINK("\\gdc-data\Team\Test Team\!Testing Details\Automation\Vikram\Vikram\SALT Automation Phase 2 - BACKUP\Projects\SALT\Snapshots\BPAYbillpayBankTransferPaymentFull_IN-MU-LT-J27180\2014711\105440\Iterator_3\Merge.html","Result")</f>
        <v>Result</v>
      </c>
      <c r="H123" s="125" t="s">
        <v>310</v>
      </c>
      <c r="I123" s="125">
        <v>19</v>
      </c>
      <c r="J123" s="125" t="s">
        <v>523</v>
      </c>
      <c r="K123" s="125" t="s">
        <v>524</v>
      </c>
      <c r="L123" s="42" t="s">
        <v>443</v>
      </c>
      <c r="M123" s="125">
        <v>940.45</v>
      </c>
      <c r="N123" s="126" t="s">
        <v>527</v>
      </c>
      <c r="BG123" s="269"/>
      <c r="HK123" s="125" t="s">
        <v>508</v>
      </c>
      <c r="HL123" s="125" t="s">
        <v>1104</v>
      </c>
      <c r="HM123" s="125" t="s">
        <v>517</v>
      </c>
      <c r="HN123" s="125" t="s">
        <v>1095</v>
      </c>
      <c r="HO123" s="58" t="s">
        <v>963</v>
      </c>
      <c r="IW123" s="36">
        <v>41831.454629629632</v>
      </c>
      <c r="IX123" s="36">
        <v>41831.454814814817</v>
      </c>
      <c r="IY123" s="29" t="s">
        <v>1152</v>
      </c>
      <c r="JA123" s="42" t="s">
        <v>443</v>
      </c>
      <c r="JB123" s="125" t="s">
        <v>508</v>
      </c>
      <c r="JC123" s="125" t="s">
        <v>517</v>
      </c>
      <c r="JD123" s="125" t="s">
        <v>1095</v>
      </c>
      <c r="JE123" s="58" t="s">
        <v>963</v>
      </c>
      <c r="JF123" s="125">
        <v>918.99</v>
      </c>
      <c r="JG123" s="126" t="s">
        <v>527</v>
      </c>
      <c r="JJ123" s="125" t="s">
        <v>310</v>
      </c>
      <c r="JK123" s="125">
        <v>20</v>
      </c>
      <c r="JL123" s="125" t="s">
        <v>523</v>
      </c>
      <c r="JM123" s="125" t="s">
        <v>524</v>
      </c>
      <c r="JO123" s="125" t="s">
        <v>1148</v>
      </c>
    </row>
    <row r="124" spans="2:338" ht="30" hidden="1" x14ac:dyDescent="0.25">
      <c r="B124" s="44">
        <v>4</v>
      </c>
      <c r="C124" s="50" t="s">
        <v>513</v>
      </c>
      <c r="D124" s="125" t="s">
        <v>1120</v>
      </c>
      <c r="E124" s="125" t="s">
        <v>1116</v>
      </c>
      <c r="F124" s="31" t="str">
        <f>HYPERLINK("C:\Users\kapalev\Desktop\SALT Automation Phase 2 - BACKUP\Projects\SALT\Snapshots\BPAYbillpayBankTransferPaymentFull_IN-MU-LT-J27180\2014715\154144\Iterator_4\BPAYbillpayBankTransferPaymentFull4.xlsx","Snapshot")</f>
        <v>Snapshot</v>
      </c>
      <c r="G124" s="31" t="str">
        <f>HYPERLINK("C:\Users\kapalev\Desktop\SALT Automation Phase 2 - BACKUP\Projects\SALT\Snapshots\BPAYbillpayBankTransferPaymentFull_IN-MU-LT-J27180\2014715\154144\Iterator_4\Merge.html","Result")</f>
        <v>Result</v>
      </c>
      <c r="H124" s="125" t="s">
        <v>310</v>
      </c>
      <c r="I124" s="125">
        <v>22</v>
      </c>
      <c r="J124" s="125" t="s">
        <v>523</v>
      </c>
      <c r="K124" s="125" t="s">
        <v>524</v>
      </c>
      <c r="L124" s="42" t="s">
        <v>443</v>
      </c>
      <c r="M124" s="125">
        <v>940.45</v>
      </c>
      <c r="N124" s="126" t="s">
        <v>527</v>
      </c>
      <c r="HK124" s="125" t="s">
        <v>508</v>
      </c>
      <c r="HL124" s="125" t="s">
        <v>1104</v>
      </c>
      <c r="HM124" s="125" t="s">
        <v>517</v>
      </c>
      <c r="HN124" s="125" t="s">
        <v>1095</v>
      </c>
      <c r="HO124" s="58" t="s">
        <v>963</v>
      </c>
      <c r="IW124" s="36">
        <v>41835.653981481482</v>
      </c>
      <c r="IX124" s="36">
        <v>41835.654039351852</v>
      </c>
      <c r="IY124" s="29" t="s">
        <v>1028</v>
      </c>
      <c r="JA124" s="42" t="s">
        <v>443</v>
      </c>
      <c r="JB124" s="125" t="s">
        <v>508</v>
      </c>
      <c r="JC124" s="125" t="s">
        <v>517</v>
      </c>
      <c r="JD124" s="125" t="s">
        <v>1095</v>
      </c>
      <c r="JE124" s="58" t="s">
        <v>963</v>
      </c>
      <c r="JF124" s="125">
        <v>1401.17</v>
      </c>
      <c r="JG124" s="126" t="s">
        <v>527</v>
      </c>
      <c r="JJ124" s="125" t="s">
        <v>310</v>
      </c>
      <c r="JK124" s="125">
        <v>22</v>
      </c>
      <c r="JL124" s="125" t="s">
        <v>523</v>
      </c>
      <c r="JM124" s="125" t="s">
        <v>524</v>
      </c>
      <c r="JO124" s="125" t="s">
        <v>1178</v>
      </c>
    </row>
    <row r="125" spans="2:338" ht="165" hidden="1" x14ac:dyDescent="0.25">
      <c r="B125" s="44">
        <v>2</v>
      </c>
      <c r="C125" s="50" t="s">
        <v>215</v>
      </c>
      <c r="D125" s="125" t="s">
        <v>1158</v>
      </c>
      <c r="E125" s="126" t="s">
        <v>1463</v>
      </c>
      <c r="F125" s="31" t="str">
        <f>HYPERLINK("C:\RaviK\SVN_Admin_NewTask\Projects\SALT\Snapshots\StorePackCashOrder_IN-MU-LT-J27116\2015514\125346\Iterator_2\StorePackCashOrder2.xlsx","Snapshot")</f>
        <v>Snapshot</v>
      </c>
      <c r="G125" s="31" t="str">
        <f>HYPERLINK("C:\RaviK\SVN_Admin_NewTask\Projects\SALT\Snapshots\StorePackCashOrder_IN-MU-LT-J27116\2015514\125346\Iterator_2\Merge.html","Result")</f>
        <v>Result</v>
      </c>
      <c r="H125" s="125" t="s">
        <v>58</v>
      </c>
      <c r="I125" s="125" t="s">
        <v>96</v>
      </c>
      <c r="J125" s="125" t="s">
        <v>22</v>
      </c>
      <c r="K125" s="81" t="s">
        <v>443</v>
      </c>
      <c r="L125" s="87" t="s">
        <v>310</v>
      </c>
      <c r="M125" s="125"/>
      <c r="N125" s="126" t="s">
        <v>1093</v>
      </c>
      <c r="O125" s="125" t="s">
        <v>466</v>
      </c>
      <c r="HK125" s="125">
        <v>4</v>
      </c>
      <c r="HL125" s="125" t="s">
        <v>159</v>
      </c>
      <c r="HM125" s="125" t="s">
        <v>199</v>
      </c>
      <c r="HN125" s="125" t="s">
        <v>1111</v>
      </c>
      <c r="HO125" s="126" t="s">
        <v>1039</v>
      </c>
      <c r="IT125" s="126" t="s">
        <v>1034</v>
      </c>
      <c r="IU125" s="126" t="s">
        <v>1093</v>
      </c>
      <c r="IV125" s="125" t="s">
        <v>466</v>
      </c>
      <c r="IW125" s="36">
        <v>42138.53733796296</v>
      </c>
      <c r="IX125" s="36">
        <v>42138.538761574076</v>
      </c>
      <c r="IY125" s="29" t="s">
        <v>908</v>
      </c>
      <c r="JI125" s="81" t="s">
        <v>443</v>
      </c>
      <c r="JJ125" s="87" t="s">
        <v>310</v>
      </c>
      <c r="JK125" s="125">
        <v>23</v>
      </c>
      <c r="JL125" s="125" t="s">
        <v>159</v>
      </c>
      <c r="JM125" s="125" t="s">
        <v>199</v>
      </c>
      <c r="JN125" s="125"/>
      <c r="JO125" s="125" t="s">
        <v>1415</v>
      </c>
      <c r="LX125" s="125" t="s">
        <v>58</v>
      </c>
      <c r="LY125" s="125" t="s">
        <v>96</v>
      </c>
      <c r="LZ125" s="125" t="s">
        <v>22</v>
      </c>
    </row>
    <row r="126" spans="2:338" hidden="1" x14ac:dyDescent="0.25">
      <c r="B126" s="44">
        <v>1</v>
      </c>
      <c r="C126" s="51" t="s">
        <v>1180</v>
      </c>
      <c r="D126" s="29" t="s">
        <v>1120</v>
      </c>
      <c r="E126" s="126" t="s">
        <v>1116</v>
      </c>
      <c r="F126" s="31" t="str">
        <f>HYPERLINK("C:\Users\kapalev\Desktop\SALT Automation Phase 2 - BACKUP\Projects\SALT\Snapshots\UnpackCashOrder_IN-MU-LT-J27180\2014723\18345\Iterator_1\UnpackCashOrder1.xlsx","Snapshot")</f>
        <v>Snapshot</v>
      </c>
      <c r="G126" s="31" t="str">
        <f>HYPERLINK("C:\Users\kapalev\Desktop\SALT Automation Phase 2 - BACKUP\Projects\SALT\Snapshots\UnpackCashOrder_IN-MU-LT-J27180\2014723\18345\Iterator_1\Merge.html","Result")</f>
        <v>Result</v>
      </c>
      <c r="IT126" s="29" t="s">
        <v>1034</v>
      </c>
      <c r="IW126" s="36">
        <v>41843.773668981485</v>
      </c>
      <c r="IX126" s="36">
        <v>41843.778923611113</v>
      </c>
      <c r="IY126" s="29" t="s">
        <v>1205</v>
      </c>
      <c r="JI126" s="29" t="s">
        <v>443</v>
      </c>
      <c r="JJ126" s="29" t="s">
        <v>310</v>
      </c>
      <c r="JK126" s="29">
        <v>25</v>
      </c>
      <c r="JL126" s="29" t="s">
        <v>159</v>
      </c>
      <c r="JM126" s="29" t="s">
        <v>199</v>
      </c>
      <c r="JO126" s="29" t="s">
        <v>1202</v>
      </c>
      <c r="LX126" s="29" t="s">
        <v>58</v>
      </c>
      <c r="LY126" s="29" t="s">
        <v>96</v>
      </c>
      <c r="LZ126" s="29" t="s">
        <v>22</v>
      </c>
    </row>
    <row r="127" spans="2:338" hidden="1" x14ac:dyDescent="0.25">
      <c r="B127" s="44">
        <v>1</v>
      </c>
      <c r="C127" s="51" t="s">
        <v>1181</v>
      </c>
    </row>
    <row r="128" spans="2:338" hidden="1" x14ac:dyDescent="0.25">
      <c r="B128" s="44">
        <v>1</v>
      </c>
      <c r="C128" s="51" t="s">
        <v>1182</v>
      </c>
    </row>
    <row r="129" spans="2:343" ht="150" hidden="1" x14ac:dyDescent="0.25">
      <c r="B129" s="44">
        <v>3</v>
      </c>
      <c r="C129" s="50" t="s">
        <v>215</v>
      </c>
      <c r="D129" s="29" t="s">
        <v>1158</v>
      </c>
      <c r="E129" s="29" t="s">
        <v>1464</v>
      </c>
      <c r="F129" s="31" t="str">
        <f>HYPERLINK("C:\RaviK\SVN_Admin_NewTask\Projects\SALT\Snapshots\StorePackCashOrder_IN-MU-LT-J27116\2015514\125551\Iterator_3\StorePackCashOrder3.xlsx","Snapshot")</f>
        <v>Snapshot</v>
      </c>
      <c r="G129" s="31" t="str">
        <f>HYPERLINK("C:\RaviK\SVN_Admin_NewTask\Projects\SALT\Snapshots\StorePackCashOrder_IN-MU-LT-J27116\2015514\125551\Iterator_3\Merge.html","Result")</f>
        <v>Result</v>
      </c>
      <c r="IT129" s="126" t="s">
        <v>1034</v>
      </c>
      <c r="IV129" s="125" t="s">
        <v>466</v>
      </c>
      <c r="IW129" s="36">
        <v>42138.538784722223</v>
      </c>
      <c r="IX129" s="36">
        <v>42138.540081018517</v>
      </c>
      <c r="IY129" s="29" t="s">
        <v>862</v>
      </c>
      <c r="JI129" s="81" t="s">
        <v>443</v>
      </c>
      <c r="JJ129" s="87" t="s">
        <v>310</v>
      </c>
      <c r="JK129" s="29">
        <v>25</v>
      </c>
      <c r="JL129" s="125" t="s">
        <v>159</v>
      </c>
      <c r="JM129" s="125" t="s">
        <v>199</v>
      </c>
      <c r="JO129" s="125" t="s">
        <v>1202</v>
      </c>
      <c r="LX129" s="125" t="s">
        <v>58</v>
      </c>
      <c r="LY129" s="125" t="s">
        <v>96</v>
      </c>
      <c r="LZ129" s="125" t="s">
        <v>22</v>
      </c>
    </row>
    <row r="130" spans="2:343" hidden="1" x14ac:dyDescent="0.25">
      <c r="B130" s="44">
        <v>2</v>
      </c>
      <c r="C130" s="50" t="s">
        <v>216</v>
      </c>
      <c r="D130" s="29" t="s">
        <v>1158</v>
      </c>
      <c r="E130" s="29" t="s">
        <v>1116</v>
      </c>
      <c r="F130" s="31" t="str">
        <f>HYPERLINK("C:\RaviK\SVN_Admin_NewTask\Projects\SALT\Snapshots\StorePackCashPassportOrder_IN-MU-LT-J27116\201559\16469\Iterator_2\StorePackCashPassportOrder2.xlsx","Snapshot")</f>
        <v>Snapshot</v>
      </c>
      <c r="G130" s="31" t="str">
        <f>HYPERLINK("C:\RaviK\SVN_Admin_NewTask\Projects\SALT\Snapshots\StorePackCashPassportOrder_IN-MU-LT-J27116\201559\16469\Iterator_2\Merge.html","Result")</f>
        <v>Result</v>
      </c>
      <c r="IT130" s="126" t="s">
        <v>1034</v>
      </c>
      <c r="IU130" s="126" t="s">
        <v>1094</v>
      </c>
      <c r="IV130" s="125" t="s">
        <v>466</v>
      </c>
      <c r="IW130" s="36">
        <v>42133.69871527778</v>
      </c>
      <c r="IX130" s="36">
        <v>42133.699803240743</v>
      </c>
      <c r="IY130" s="29" t="s">
        <v>1401</v>
      </c>
      <c r="JI130" s="81" t="s">
        <v>443</v>
      </c>
      <c r="JJ130" s="62" t="s">
        <v>310</v>
      </c>
      <c r="JK130" s="29">
        <v>26</v>
      </c>
      <c r="JL130" s="125" t="s">
        <v>159</v>
      </c>
      <c r="JM130" s="125" t="s">
        <v>199</v>
      </c>
      <c r="JO130" s="125" t="s">
        <v>1179</v>
      </c>
      <c r="LX130" s="125" t="s">
        <v>58</v>
      </c>
      <c r="LY130" s="125" t="s">
        <v>96</v>
      </c>
      <c r="LZ130" s="125" t="s">
        <v>22</v>
      </c>
    </row>
    <row r="131" spans="2:343" hidden="1" x14ac:dyDescent="0.25">
      <c r="B131" s="44">
        <v>3</v>
      </c>
      <c r="C131" s="50" t="s">
        <v>216</v>
      </c>
      <c r="IT131" s="126" t="s">
        <v>1039</v>
      </c>
      <c r="IU131" s="126" t="s">
        <v>1094</v>
      </c>
      <c r="IV131" s="125" t="s">
        <v>466</v>
      </c>
      <c r="JI131" s="81" t="s">
        <v>443</v>
      </c>
      <c r="JJ131" s="62" t="s">
        <v>310</v>
      </c>
      <c r="JK131" s="29">
        <v>27</v>
      </c>
      <c r="JL131" s="125" t="s">
        <v>159</v>
      </c>
      <c r="JM131" s="125" t="s">
        <v>199</v>
      </c>
      <c r="JO131" s="125" t="s">
        <v>1127</v>
      </c>
      <c r="LX131" s="125" t="s">
        <v>58</v>
      </c>
      <c r="LY131" s="125" t="s">
        <v>96</v>
      </c>
      <c r="LZ131" s="125" t="s">
        <v>22</v>
      </c>
    </row>
    <row r="132" spans="2:343" hidden="1" x14ac:dyDescent="0.25">
      <c r="B132" s="44">
        <v>1</v>
      </c>
      <c r="C132" s="109" t="s">
        <v>311</v>
      </c>
      <c r="D132" s="29" t="s">
        <v>1120</v>
      </c>
      <c r="E132" s="29" t="s">
        <v>1116</v>
      </c>
      <c r="F132" s="31" t="str">
        <f>HYPERLINK("C:\Users\kapalev\Desktop\SALT Automation Phase 2 - BACKUP\Projects\SALT\Snapshots\HappyPath_MultipleProduct_AUS_IN-MU-LT-J27180\2014723\134926\Iterator_1\HappyPath_MultipleProduct_AUS1.xlsx","Snapshot")</f>
        <v>Snapshot</v>
      </c>
      <c r="G132" s="31" t="str">
        <f>HYPERLINK("C:\Users\kapalev\Desktop\SALT Automation Phase 2 - BACKUP\Projects\SALT\Snapshots\HappyPath_MultipleProduct_AUS_IN-MU-LT-J27180\2014723\134926\Iterator_1\Merge.html","Result")</f>
        <v>Result</v>
      </c>
      <c r="EP132" s="29" t="s">
        <v>449</v>
      </c>
      <c r="EQ132" s="29" t="s">
        <v>1113</v>
      </c>
      <c r="ER132" s="29" t="s">
        <v>1113</v>
      </c>
      <c r="ES132" s="29" t="s">
        <v>533</v>
      </c>
      <c r="ET132" s="29" t="s">
        <v>533</v>
      </c>
      <c r="EU132" s="29">
        <v>4812</v>
      </c>
      <c r="EW132" s="29" t="s">
        <v>699</v>
      </c>
      <c r="EX132" s="29" t="s">
        <v>453</v>
      </c>
      <c r="EY132" s="29">
        <v>4111111111111110</v>
      </c>
      <c r="FA132" s="29" t="s">
        <v>441</v>
      </c>
      <c r="FB132" s="29">
        <v>10</v>
      </c>
      <c r="FE132" s="29" t="s">
        <v>1179</v>
      </c>
      <c r="FF132" s="29">
        <v>456</v>
      </c>
      <c r="FV132" s="29" t="b">
        <v>0</v>
      </c>
      <c r="FW132" s="29" t="b">
        <v>1</v>
      </c>
      <c r="FX132" s="54">
        <v>1393.17</v>
      </c>
      <c r="FZ132" s="29">
        <v>108</v>
      </c>
      <c r="GR132" s="29">
        <v>123456</v>
      </c>
      <c r="GS132" s="29">
        <v>123456</v>
      </c>
      <c r="GT132" s="29">
        <v>11</v>
      </c>
      <c r="GU132" s="29" t="s">
        <v>446</v>
      </c>
      <c r="GV132" s="29">
        <v>2037</v>
      </c>
      <c r="GW132" s="29" t="s">
        <v>448</v>
      </c>
      <c r="GX132" s="29">
        <v>989898989</v>
      </c>
      <c r="GY132" s="29">
        <v>989898989</v>
      </c>
      <c r="HP132" s="126" t="s">
        <v>456</v>
      </c>
      <c r="HQ132" s="126"/>
      <c r="HR132" s="29" t="s">
        <v>74</v>
      </c>
      <c r="HS132" s="29">
        <v>300</v>
      </c>
      <c r="HT132" s="29" t="s">
        <v>1084</v>
      </c>
      <c r="HU132" s="29" t="s">
        <v>1196</v>
      </c>
      <c r="HV132" s="29" t="s">
        <v>1063</v>
      </c>
      <c r="HW132" s="29" t="s">
        <v>1195</v>
      </c>
      <c r="IW132" s="36">
        <v>41843.575995370367</v>
      </c>
      <c r="IX132" s="36">
        <v>41843.583043981482</v>
      </c>
      <c r="IY132" s="29" t="s">
        <v>1197</v>
      </c>
      <c r="JP132" s="126" t="s">
        <v>727</v>
      </c>
      <c r="JQ132" s="125" t="s">
        <v>64</v>
      </c>
      <c r="JR132" s="29" t="s">
        <v>831</v>
      </c>
      <c r="JS132" s="29">
        <v>400</v>
      </c>
      <c r="JT132" s="29" t="s">
        <v>1193</v>
      </c>
      <c r="JU132" s="29" t="s">
        <v>1194</v>
      </c>
      <c r="JV132" s="29" t="s">
        <v>450</v>
      </c>
      <c r="JW132" s="29" t="s">
        <v>437</v>
      </c>
      <c r="JX132" s="29" t="s">
        <v>438</v>
      </c>
      <c r="JY132" s="29" t="s">
        <v>812</v>
      </c>
      <c r="KF132" s="29" t="s">
        <v>439</v>
      </c>
      <c r="KG132" s="29" t="s">
        <v>1189</v>
      </c>
      <c r="KH132" s="29" t="s">
        <v>447</v>
      </c>
      <c r="KI132" s="29" t="s">
        <v>1185</v>
      </c>
      <c r="KJ132" s="29">
        <v>26</v>
      </c>
      <c r="KK132" s="29" t="s">
        <v>445</v>
      </c>
      <c r="KL132" s="29">
        <v>1970</v>
      </c>
      <c r="KM132" s="29" t="s">
        <v>78</v>
      </c>
      <c r="KN132" s="29" t="s">
        <v>443</v>
      </c>
      <c r="KP132" s="29">
        <v>123456</v>
      </c>
      <c r="KQ132" s="29">
        <v>123456</v>
      </c>
      <c r="KR132" s="29">
        <v>11</v>
      </c>
      <c r="KS132" s="29" t="s">
        <v>446</v>
      </c>
      <c r="KT132" s="29">
        <v>2037</v>
      </c>
      <c r="KU132" s="29" t="s">
        <v>448</v>
      </c>
      <c r="KV132" s="126" t="s">
        <v>532</v>
      </c>
      <c r="KW132" s="126" t="s">
        <v>532</v>
      </c>
      <c r="KX132" s="29" t="s">
        <v>1113</v>
      </c>
      <c r="KY132" s="29" t="s">
        <v>1113</v>
      </c>
      <c r="KZ132" s="29" t="s">
        <v>449</v>
      </c>
      <c r="LA132" s="29" t="s">
        <v>533</v>
      </c>
      <c r="LB132" s="29" t="s">
        <v>533</v>
      </c>
      <c r="LC132" s="29">
        <v>4812</v>
      </c>
      <c r="LD132" s="29" t="s">
        <v>699</v>
      </c>
      <c r="LE132" s="29" t="s">
        <v>453</v>
      </c>
      <c r="LF132" s="126" t="s">
        <v>195</v>
      </c>
      <c r="LH132" s="29" t="s">
        <v>441</v>
      </c>
      <c r="LI132" s="29">
        <v>108</v>
      </c>
      <c r="LJ132" s="29">
        <v>10</v>
      </c>
      <c r="LK132" s="29">
        <v>2021</v>
      </c>
      <c r="LL132" s="29" t="b">
        <v>1</v>
      </c>
      <c r="LM132" s="29" t="s">
        <v>522</v>
      </c>
      <c r="LR132" s="29" t="b">
        <v>0</v>
      </c>
      <c r="LS132" s="29" t="b">
        <v>1</v>
      </c>
      <c r="LT132" s="54">
        <v>881.32</v>
      </c>
      <c r="LV132" s="126" t="s">
        <v>1199</v>
      </c>
      <c r="LW132" s="29">
        <v>456</v>
      </c>
      <c r="LX132" s="125" t="s">
        <v>58</v>
      </c>
      <c r="LY132" s="126" t="s">
        <v>351</v>
      </c>
      <c r="LZ132" s="125" t="s">
        <v>22</v>
      </c>
      <c r="MA132" s="29">
        <v>2021</v>
      </c>
      <c r="MB132" s="29" t="b">
        <v>1</v>
      </c>
      <c r="MC132" s="29" t="s">
        <v>522</v>
      </c>
    </row>
    <row r="133" spans="2:343" ht="30" hidden="1" x14ac:dyDescent="0.25">
      <c r="B133" s="44">
        <v>1</v>
      </c>
      <c r="C133" s="47" t="s">
        <v>1212</v>
      </c>
      <c r="D133" s="29" t="s">
        <v>1120</v>
      </c>
      <c r="E133" s="126" t="s">
        <v>1116</v>
      </c>
      <c r="F133" s="31" t="str">
        <f>HYPERLINK("C:\Users\kapalev\Desktop\SALT Automation Phase 2 - BACKUP\Projects\SALT\Snapshots\StoreLeadTimeValidation_IN-MU-LT-J27180\201499\195924\Iterator_1\StoreLeadTimeValidation1.xlsx","Snapshot")</f>
        <v>Snapshot</v>
      </c>
      <c r="G133" s="31" t="str">
        <f>HYPERLINK("C:\Users\kapalev\Desktop\SALT Automation Phase 2 - BACKUP\Projects\SALT\Snapshots\StoreLeadTimeValidation_IN-MU-LT-J27180\201499\195924\Iterator_1\Merge.html","Result")</f>
        <v>Result</v>
      </c>
      <c r="EO133" s="194" t="s">
        <v>1273</v>
      </c>
      <c r="FZ133" s="197" t="s">
        <v>1308</v>
      </c>
      <c r="GA133" s="125"/>
      <c r="GB133" s="125">
        <v>769</v>
      </c>
      <c r="GC133" s="194" t="s">
        <v>1263</v>
      </c>
      <c r="GD133" s="194" t="s">
        <v>1263</v>
      </c>
      <c r="GE133" s="125" t="s">
        <v>787</v>
      </c>
      <c r="GF133" s="195" t="s">
        <v>1264</v>
      </c>
      <c r="GG133" s="125" t="s">
        <v>1265</v>
      </c>
      <c r="GH133" s="125"/>
      <c r="GI133" s="125" t="s">
        <v>450</v>
      </c>
      <c r="GJ133" s="125" t="s">
        <v>454</v>
      </c>
      <c r="GK133" s="125">
        <v>2000</v>
      </c>
      <c r="GL133" s="126" t="s">
        <v>1266</v>
      </c>
      <c r="GM133" s="194" t="s">
        <v>1267</v>
      </c>
      <c r="GN133" s="196" t="s">
        <v>1268</v>
      </c>
      <c r="GO133" s="125" t="b">
        <v>0</v>
      </c>
      <c r="GP133" s="125" t="s">
        <v>1274</v>
      </c>
      <c r="GQ133" s="125" t="b">
        <v>0</v>
      </c>
      <c r="GR133" s="126" t="s">
        <v>1269</v>
      </c>
      <c r="GS133" s="194" t="s">
        <v>1270</v>
      </c>
      <c r="GT133" s="125"/>
      <c r="GU133" s="194" t="s">
        <v>1271</v>
      </c>
      <c r="GV133" s="125" t="b">
        <v>1</v>
      </c>
      <c r="GW133" s="125" t="b">
        <v>1</v>
      </c>
      <c r="GX133" s="194" t="s">
        <v>1272</v>
      </c>
      <c r="GY133" s="125" t="b">
        <v>1</v>
      </c>
      <c r="IT133" s="29" t="s">
        <v>1312</v>
      </c>
      <c r="IW133" s="36">
        <v>41891.832916666666</v>
      </c>
      <c r="IX133" s="36">
        <v>41891.834293981483</v>
      </c>
      <c r="IY133" s="29" t="s">
        <v>1316</v>
      </c>
      <c r="JI133" s="29" t="s">
        <v>443</v>
      </c>
      <c r="LX133" s="51" t="s">
        <v>58</v>
      </c>
      <c r="LY133" s="51" t="s">
        <v>96</v>
      </c>
      <c r="LZ133" s="29" t="s">
        <v>22</v>
      </c>
    </row>
    <row r="134" spans="2:343" hidden="1" x14ac:dyDescent="0.25">
      <c r="B134" s="44">
        <v>1</v>
      </c>
      <c r="C134" s="51" t="s">
        <v>1278</v>
      </c>
      <c r="D134" s="29" t="s">
        <v>1120</v>
      </c>
      <c r="E134" s="126" t="s">
        <v>1116</v>
      </c>
      <c r="F134" s="31" t="str">
        <f>HYPERLINK("C:\Users\kapalev\Desktop\SALT Automation Phase 2 - BACKUP\Projects\SALT\Snapshots\AddEditNewFulFilmentOption_IN-MU-LT-J27180\2014827\131959\Iterator_1\AddEditNewFulFilmentOption1.xlsx","Snapshot")</f>
        <v>Snapshot</v>
      </c>
      <c r="G134" s="31" t="str">
        <f>HYPERLINK("C:\Users\kapalev\Desktop\SALT Automation Phase 2 - BACKUP\Projects\SALT\Snapshots\AddEditNewFulFilmentOption_IN-MU-LT-J27180\2014827\131959\Iterator_1\Merge.html","Result")</f>
        <v>Result</v>
      </c>
      <c r="EQ134" s="29" t="b">
        <v>0</v>
      </c>
      <c r="ER134" s="29" t="s">
        <v>1295</v>
      </c>
      <c r="ES134" s="29">
        <v>3</v>
      </c>
      <c r="ET134" s="29">
        <v>60</v>
      </c>
      <c r="EU134" s="126" t="s">
        <v>559</v>
      </c>
      <c r="EV134" s="126">
        <v>0</v>
      </c>
      <c r="EW134" s="29" t="s">
        <v>1288</v>
      </c>
      <c r="EY134" s="29">
        <v>0</v>
      </c>
      <c r="EZ134" s="126" t="s">
        <v>1294</v>
      </c>
      <c r="IW134" s="36">
        <v>41878.555543981478</v>
      </c>
      <c r="IX134" s="36">
        <v>41878.556956018518</v>
      </c>
      <c r="IY134" s="29" t="s">
        <v>1176</v>
      </c>
    </row>
    <row r="135" spans="2:343" hidden="1" x14ac:dyDescent="0.25">
      <c r="B135" s="44">
        <v>1</v>
      </c>
      <c r="C135" s="51" t="s">
        <v>1296</v>
      </c>
      <c r="D135" s="29" t="s">
        <v>1120</v>
      </c>
      <c r="E135" s="29" t="s">
        <v>1116</v>
      </c>
      <c r="F135" s="31" t="str">
        <f>HYPERLINK("C:\Users\kapalev\Desktop\SALT Automation Phase 2 - BACKUP\Projects\SALT\Snapshots\NewFulfilmentOptionOnPartner_IN-MU-LT-J27180\2014827\144125\Iterator_1\NewFulfilmentOptionOnPartner1.xlsx","Snapshot")</f>
        <v>Snapshot</v>
      </c>
      <c r="G135" s="31" t="str">
        <f>HYPERLINK("C:\Users\kapalev\Desktop\SALT Automation Phase 2 - BACKUP\Projects\SALT\Snapshots\NewFulfilmentOptionOnPartner_IN-MU-LT-J27180\2014827\144125\Iterator_1\Merge.html","Result")</f>
        <v>Result</v>
      </c>
      <c r="FA135" s="29" t="s">
        <v>1301</v>
      </c>
      <c r="IW135" s="36">
        <v>41878.61209490741</v>
      </c>
      <c r="IX135" s="36">
        <v>41878.613055555557</v>
      </c>
      <c r="IY135" s="29" t="s">
        <v>1302</v>
      </c>
      <c r="JI135" s="29" t="s">
        <v>1062</v>
      </c>
    </row>
    <row r="136" spans="2:343" ht="30" hidden="1" x14ac:dyDescent="0.25">
      <c r="B136" s="44">
        <v>1</v>
      </c>
      <c r="C136" s="45" t="s">
        <v>1303</v>
      </c>
      <c r="D136" s="29" t="s">
        <v>1120</v>
      </c>
      <c r="E136" s="126" t="s">
        <v>1116</v>
      </c>
      <c r="F136" s="31" t="str">
        <f>HYPERLINK("C:\Users\kapalev\Desktop\SALT Automation Phase 2 - BACKUP\Projects\SALT\Snapshots\ValidateNewFulfilmentTableNames_IN-MU-LT-J27180\2014827\154116\Iterator_1\ValidateNewFulfilmentTableNames1.xlsx","Snapshot")</f>
        <v>Snapshot</v>
      </c>
      <c r="G136" s="31" t="str">
        <f>HYPERLINK("C:\Users\kapalev\Desktop\SALT Automation Phase 2 - BACKUP\Projects\SALT\Snapshots\ValidateNewFulfilmentTableNames_IN-MU-LT-J27180\2014827\154116\Iterator_1\Merge.html","Result")</f>
        <v>Result</v>
      </c>
      <c r="FA136" s="29" t="s">
        <v>1301</v>
      </c>
      <c r="IW136" s="36">
        <v>41878.653657407405</v>
      </c>
      <c r="IX136" s="36">
        <v>41878.653831018521</v>
      </c>
      <c r="IY136" s="29" t="s">
        <v>1304</v>
      </c>
      <c r="JI136" s="29" t="s">
        <v>1062</v>
      </c>
    </row>
    <row r="137" spans="2:343" ht="30" hidden="1" x14ac:dyDescent="0.25">
      <c r="B137" s="44">
        <v>1</v>
      </c>
      <c r="C137" s="45" t="s">
        <v>1303</v>
      </c>
      <c r="D137" s="29" t="s">
        <v>1158</v>
      </c>
    </row>
    <row r="138" spans="2:343" hidden="1" x14ac:dyDescent="0.25">
      <c r="B138" s="44">
        <v>2</v>
      </c>
      <c r="C138" s="47" t="s">
        <v>1212</v>
      </c>
      <c r="D138" s="125" t="s">
        <v>1120</v>
      </c>
      <c r="E138" s="126" t="s">
        <v>1116</v>
      </c>
      <c r="F138" s="31" t="str">
        <f>HYPERLINK("C:\Users\kapalev\Desktop\SALT Automation Phase 2 - BACKUP\Projects\SALT\Snapshots\StoreLeadTimeValidation_IN-MU-LT-J27180\201499\20126\Iterator_2\StoreLeadTimeValidation2.xlsx","Snapshot")</f>
        <v>Snapshot</v>
      </c>
      <c r="G138" s="31" t="str">
        <f>HYPERLINK("C:\Users\kapalev\Desktop\SALT Automation Phase 2 - BACKUP\Projects\SALT\Snapshots\StoreLeadTimeValidation_IN-MU-LT-J27180\201499\20126\Iterator_2\Merge.html","Result")</f>
        <v>Result</v>
      </c>
      <c r="H138" s="116" t="s">
        <v>58</v>
      </c>
      <c r="I138" s="116" t="s">
        <v>96</v>
      </c>
      <c r="J138" s="125" t="s">
        <v>22</v>
      </c>
      <c r="K138" s="125" t="s">
        <v>443</v>
      </c>
      <c r="L138" s="125" t="s">
        <v>1276</v>
      </c>
      <c r="M138" s="125"/>
      <c r="FZ138" s="197" t="s">
        <v>1309</v>
      </c>
      <c r="IT138" s="125" t="s">
        <v>1313</v>
      </c>
      <c r="IW138" s="36">
        <v>41891.834328703706</v>
      </c>
      <c r="IX138" s="36">
        <v>41891.835717592592</v>
      </c>
      <c r="IY138" s="29" t="s">
        <v>1177</v>
      </c>
      <c r="JI138" s="125" t="s">
        <v>443</v>
      </c>
      <c r="LX138" s="51" t="s">
        <v>58</v>
      </c>
      <c r="LY138" s="51" t="s">
        <v>96</v>
      </c>
      <c r="LZ138" s="125" t="s">
        <v>22</v>
      </c>
    </row>
    <row r="139" spans="2:343" hidden="1" x14ac:dyDescent="0.25">
      <c r="B139" s="44">
        <v>3</v>
      </c>
      <c r="C139" s="47" t="s">
        <v>1212</v>
      </c>
      <c r="D139" s="125" t="s">
        <v>1120</v>
      </c>
      <c r="E139" s="126" t="s">
        <v>1116</v>
      </c>
      <c r="F139" s="31" t="str">
        <f>HYPERLINK("C:\Users\kapalev\Desktop\SALT Automation Phase 2 - BACKUP\Projects\SALT\Snapshots\StoreLeadTimeValidation_IN-MU-LT-J27180\201499\20329\Iterator_3\StoreLeadTimeValidation3.xlsx","Snapshot")</f>
        <v>Snapshot</v>
      </c>
      <c r="G139" s="31" t="str">
        <f>HYPERLINK("C:\Users\kapalev\Desktop\SALT Automation Phase 2 - BACKUP\Projects\SALT\Snapshots\StoreLeadTimeValidation_IN-MU-LT-J27180\201499\20329\Iterator_3\Merge.html","Result")</f>
        <v>Result</v>
      </c>
      <c r="H139" s="116" t="s">
        <v>58</v>
      </c>
      <c r="I139" s="116" t="s">
        <v>96</v>
      </c>
      <c r="J139" s="125" t="s">
        <v>22</v>
      </c>
      <c r="K139" s="125" t="s">
        <v>443</v>
      </c>
      <c r="L139" s="125" t="s">
        <v>1276</v>
      </c>
      <c r="M139" s="125"/>
      <c r="FZ139" s="197" t="s">
        <v>1310</v>
      </c>
      <c r="IT139" s="125" t="s">
        <v>1314</v>
      </c>
      <c r="IW139" s="36">
        <v>41891.835752314815</v>
      </c>
      <c r="IX139" s="36">
        <v>41891.837129629632</v>
      </c>
      <c r="IY139" s="29" t="s">
        <v>1316</v>
      </c>
      <c r="JI139" s="125" t="s">
        <v>443</v>
      </c>
      <c r="LX139" s="51" t="s">
        <v>58</v>
      </c>
      <c r="LY139" s="51" t="s">
        <v>96</v>
      </c>
      <c r="LZ139" s="125" t="s">
        <v>22</v>
      </c>
    </row>
    <row r="140" spans="2:343" hidden="1" x14ac:dyDescent="0.25">
      <c r="B140" s="44">
        <v>4</v>
      </c>
      <c r="C140" s="47" t="s">
        <v>1212</v>
      </c>
      <c r="D140" s="125" t="s">
        <v>1120</v>
      </c>
      <c r="E140" s="126" t="s">
        <v>1116</v>
      </c>
      <c r="F140" s="31" t="str">
        <f>HYPERLINK("C:\Users\kapalev\Desktop\SALT Automation Phase 2 - BACKUP\Projects\SALT\Snapshots\StoreLeadTimeValidation_IN-MU-LT-J27180\201499\20531\Iterator_4\StoreLeadTimeValidation4.xlsx","Snapshot")</f>
        <v>Snapshot</v>
      </c>
      <c r="G140" s="31" t="str">
        <f>HYPERLINK("C:\Users\kapalev\Desktop\SALT Automation Phase 2 - BACKUP\Projects\SALT\Snapshots\StoreLeadTimeValidation_IN-MU-LT-J27180\201499\20531\Iterator_4\Merge.html","Result")</f>
        <v>Result</v>
      </c>
      <c r="H140" s="116" t="s">
        <v>58</v>
      </c>
      <c r="I140" s="116" t="s">
        <v>96</v>
      </c>
      <c r="J140" s="125" t="s">
        <v>22</v>
      </c>
      <c r="K140" s="125" t="s">
        <v>443</v>
      </c>
      <c r="L140" s="125" t="s">
        <v>1276</v>
      </c>
      <c r="M140" s="125"/>
      <c r="FZ140" s="197" t="s">
        <v>1311</v>
      </c>
      <c r="IT140" s="125" t="s">
        <v>1315</v>
      </c>
      <c r="IW140" s="36">
        <v>41891.837164351855</v>
      </c>
      <c r="IX140" s="36">
        <v>41891.838472222225</v>
      </c>
      <c r="IY140" s="29" t="s">
        <v>1317</v>
      </c>
      <c r="JI140" s="125" t="s">
        <v>443</v>
      </c>
      <c r="LX140" s="51" t="s">
        <v>58</v>
      </c>
      <c r="LY140" s="51" t="s">
        <v>96</v>
      </c>
      <c r="LZ140" s="125" t="s">
        <v>22</v>
      </c>
    </row>
    <row r="141" spans="2:343" hidden="1" x14ac:dyDescent="0.25">
      <c r="B141" s="44">
        <v>1</v>
      </c>
      <c r="C141" s="47" t="s">
        <v>1318</v>
      </c>
      <c r="D141" s="29" t="s">
        <v>1120</v>
      </c>
      <c r="E141" s="29" t="s">
        <v>1116</v>
      </c>
      <c r="F141" s="31" t="str">
        <f>HYPERLINK("C:\Users\kapalev\Desktop\SALT Automation Phase 2 - BACKUP\Projects\SALT\Snapshots\EditStoreLeadTime_IN-MU-LT-J27180\201499\213042\Iterator_1\EditStoreLeadTime1.xlsx","Snapshot")</f>
        <v>Snapshot</v>
      </c>
      <c r="G141" s="31" t="str">
        <f>HYPERLINK("C:\Users\kapalev\Desktop\SALT Automation Phase 2 - BACKUP\Projects\SALT\Snapshots\EditStoreLeadTime_IN-MU-LT-J27180\201499\213042\Iterator_1\Merge.html","Result")</f>
        <v>Result</v>
      </c>
      <c r="FB141" s="29" t="s">
        <v>1312</v>
      </c>
      <c r="FZ141" s="29" t="s">
        <v>1308</v>
      </c>
      <c r="IW141" s="36">
        <v>41891.896319444444</v>
      </c>
      <c r="IX141" s="36">
        <v>41891.898530092592</v>
      </c>
      <c r="IY141" s="29" t="s">
        <v>1321</v>
      </c>
      <c r="JI141" s="29" t="s">
        <v>443</v>
      </c>
      <c r="LX141" s="25" t="s">
        <v>58</v>
      </c>
      <c r="LY141" s="25" t="s">
        <v>96</v>
      </c>
      <c r="LZ141" s="25" t="s">
        <v>22</v>
      </c>
    </row>
    <row r="142" spans="2:343" hidden="1" x14ac:dyDescent="0.25">
      <c r="B142" s="44">
        <v>2</v>
      </c>
      <c r="C142" s="47" t="s">
        <v>1318</v>
      </c>
      <c r="D142" s="29" t="s">
        <v>1120</v>
      </c>
      <c r="E142" s="29" t="s">
        <v>1116</v>
      </c>
      <c r="F142" s="31" t="str">
        <f>HYPERLINK("C:\Users\kapalev\Desktop\SALT Automation Phase 2 - BACKUP\Projects\SALT\Snapshots\EditStoreLeadTime_IN-MU-LT-J27180\201499\213358\Iterator_2\EditStoreLeadTime2.xlsx","Snapshot")</f>
        <v>Snapshot</v>
      </c>
      <c r="G142" s="31" t="str">
        <f>HYPERLINK("C:\Users\kapalev\Desktop\SALT Automation Phase 2 - BACKUP\Projects\SALT\Snapshots\EditStoreLeadTime_IN-MU-LT-J27180\201499\213358\Iterator_2\Merge.html","Result")</f>
        <v>Result</v>
      </c>
      <c r="FB142" s="127" t="s">
        <v>1313</v>
      </c>
      <c r="FZ142" s="127" t="s">
        <v>1309</v>
      </c>
      <c r="IW142" s="36">
        <v>41891.898587962962</v>
      </c>
      <c r="IX142" s="36">
        <v>41891.900011574071</v>
      </c>
      <c r="IY142" s="29" t="s">
        <v>908</v>
      </c>
      <c r="JI142" s="127" t="s">
        <v>443</v>
      </c>
      <c r="LX142" s="200" t="s">
        <v>58</v>
      </c>
      <c r="LY142" s="200" t="s">
        <v>96</v>
      </c>
      <c r="LZ142" s="200" t="s">
        <v>22</v>
      </c>
      <c r="MA142" s="127"/>
      <c r="MB142" s="127"/>
      <c r="MC142" s="127"/>
      <c r="MD142" s="127"/>
      <c r="ME142" s="127"/>
    </row>
    <row r="143" spans="2:343" hidden="1" x14ac:dyDescent="0.25">
      <c r="B143" s="44">
        <v>3</v>
      </c>
      <c r="C143" s="47" t="s">
        <v>1318</v>
      </c>
      <c r="D143" s="29" t="s">
        <v>1120</v>
      </c>
      <c r="E143" s="29" t="s">
        <v>1116</v>
      </c>
      <c r="F143" s="31" t="str">
        <f>HYPERLINK("C:\Users\kapalev\Desktop\SALT Automation Phase 2 - BACKUP\Projects\SALT\Snapshots\EditStoreLeadTime_IN-MU-LT-J27180\201499\21363\Iterator_3\EditStoreLeadTime3.xlsx","Snapshot")</f>
        <v>Snapshot</v>
      </c>
      <c r="G143" s="31" t="str">
        <f>HYPERLINK("C:\Users\kapalev\Desktop\SALT Automation Phase 2 - BACKUP\Projects\SALT\Snapshots\EditStoreLeadTime_IN-MU-LT-J27180\201499\21363\Iterator_3\Merge.html","Result")</f>
        <v>Result</v>
      </c>
      <c r="FB143" s="29" t="s">
        <v>1314</v>
      </c>
      <c r="FZ143" s="29" t="s">
        <v>1310</v>
      </c>
      <c r="IW143" s="36">
        <v>41891.900034722225</v>
      </c>
      <c r="IX143" s="36">
        <v>41891.901423611111</v>
      </c>
      <c r="IY143" s="29" t="s">
        <v>1177</v>
      </c>
      <c r="JI143" s="125" t="s">
        <v>443</v>
      </c>
      <c r="LX143" s="25" t="s">
        <v>58</v>
      </c>
      <c r="LY143" s="25" t="s">
        <v>96</v>
      </c>
      <c r="LZ143" s="25" t="s">
        <v>22</v>
      </c>
    </row>
    <row r="144" spans="2:343" hidden="1" x14ac:dyDescent="0.25">
      <c r="B144" s="44">
        <v>4</v>
      </c>
      <c r="C144" s="47" t="s">
        <v>1318</v>
      </c>
      <c r="D144" s="29" t="s">
        <v>1120</v>
      </c>
      <c r="E144" s="29" t="s">
        <v>1116</v>
      </c>
      <c r="F144" s="31" t="str">
        <f>HYPERLINK("C:\Users\kapalev\Desktop\SALT Automation Phase 2 - BACKUP\Projects\SALT\Snapshots\EditStoreLeadTime_IN-MU-LT-J27180\201499\21386\Iterator_4\EditStoreLeadTime4.xlsx","Snapshot")</f>
        <v>Snapshot</v>
      </c>
      <c r="G144" s="31" t="str">
        <f>HYPERLINK("C:\Users\kapalev\Desktop\SALT Automation Phase 2 - BACKUP\Projects\SALT\Snapshots\EditStoreLeadTime_IN-MU-LT-J27180\201499\21386\Iterator_4\Merge.html","Result")</f>
        <v>Result</v>
      </c>
      <c r="FB144" s="29" t="s">
        <v>1315</v>
      </c>
      <c r="FZ144" s="29" t="s">
        <v>1311</v>
      </c>
      <c r="IW144" s="36">
        <v>41891.901458333334</v>
      </c>
      <c r="IX144" s="36">
        <v>41891.902800925927</v>
      </c>
      <c r="IY144" s="29" t="s">
        <v>1322</v>
      </c>
      <c r="JI144" s="125" t="s">
        <v>443</v>
      </c>
      <c r="LX144" s="25" t="s">
        <v>58</v>
      </c>
      <c r="LY144" s="25" t="s">
        <v>96</v>
      </c>
      <c r="LZ144" s="25" t="s">
        <v>22</v>
      </c>
    </row>
    <row r="145" spans="2:344" ht="30" hidden="1" x14ac:dyDescent="0.25">
      <c r="B145" s="44">
        <v>1</v>
      </c>
      <c r="C145" s="47" t="s">
        <v>1323</v>
      </c>
      <c r="D145" s="29" t="s">
        <v>1120</v>
      </c>
      <c r="E145" s="126" t="s">
        <v>1116</v>
      </c>
      <c r="F145" s="31" t="str">
        <f>HYPERLINK("C:\Users\kapalev\Desktop\SALT Automation Phase 2 - BACKUP\Projects\SALT\Snapshots\AddStoreValidateEditStoreLeadTime_IN-MU-LT-J27180\2014910\213052\Iterator_1\AddStoreValidateEditStoreLeadTime1.xlsx","Snapshot")</f>
        <v>Snapshot</v>
      </c>
      <c r="G145" s="31" t="str">
        <f>HYPERLINK("C:\Users\kapalev\Desktop\SALT Automation Phase 2 - BACKUP\Projects\SALT\Snapshots\AddStoreValidateEditStoreLeadTime_IN-MU-LT-J27180\2014910\213052\Iterator_1\Merge.html","Result")</f>
        <v>Result</v>
      </c>
      <c r="FZ145" s="29" t="s">
        <v>1308</v>
      </c>
      <c r="GB145" s="29">
        <v>27</v>
      </c>
      <c r="GC145" s="29">
        <v>251</v>
      </c>
      <c r="GD145" s="29">
        <v>251</v>
      </c>
      <c r="GE145" s="29" t="s">
        <v>787</v>
      </c>
      <c r="GF145" s="29" t="s">
        <v>1264</v>
      </c>
      <c r="GG145" s="29" t="s">
        <v>1265</v>
      </c>
      <c r="GI145" s="29" t="s">
        <v>450</v>
      </c>
      <c r="GJ145" s="29" t="s">
        <v>454</v>
      </c>
      <c r="GK145" s="29">
        <v>2000</v>
      </c>
      <c r="GL145" s="29">
        <v>-33.867100000000001</v>
      </c>
      <c r="GM145" s="29">
        <v>151.20699999999999</v>
      </c>
      <c r="GN145" s="29" t="s">
        <v>1268</v>
      </c>
      <c r="GO145" s="29" t="b">
        <v>0</v>
      </c>
      <c r="GP145" s="29" t="s">
        <v>1274</v>
      </c>
      <c r="GQ145" s="29" t="b">
        <v>0</v>
      </c>
      <c r="GR145" s="29" t="s">
        <v>1269</v>
      </c>
      <c r="GS145" s="126" t="s">
        <v>1384</v>
      </c>
      <c r="GU145" s="29" t="b">
        <v>1</v>
      </c>
      <c r="GV145" s="29" t="b">
        <v>1</v>
      </c>
      <c r="GW145" s="29" t="b">
        <v>1</v>
      </c>
      <c r="GX145" s="29" t="s">
        <v>1272</v>
      </c>
      <c r="GY145" s="29" t="b">
        <v>1</v>
      </c>
      <c r="IT145" s="29" t="s">
        <v>1326</v>
      </c>
      <c r="IW145" s="36">
        <v>41892.896435185183</v>
      </c>
      <c r="IX145" s="36">
        <v>41892.900138888886</v>
      </c>
      <c r="IY145" s="29" t="s">
        <v>1385</v>
      </c>
      <c r="JI145" s="29" t="s">
        <v>443</v>
      </c>
      <c r="LX145" s="126" t="s">
        <v>58</v>
      </c>
      <c r="LY145" s="126" t="s">
        <v>96</v>
      </c>
      <c r="LZ145" s="125" t="s">
        <v>22</v>
      </c>
    </row>
    <row r="146" spans="2:344" ht="30" hidden="1" x14ac:dyDescent="0.25">
      <c r="B146" s="44">
        <v>2</v>
      </c>
      <c r="C146" s="47" t="s">
        <v>1323</v>
      </c>
      <c r="D146" s="29" t="s">
        <v>1120</v>
      </c>
      <c r="E146" s="29" t="s">
        <v>1116</v>
      </c>
      <c r="F146" s="31" t="str">
        <f>HYPERLINK("C:\Users\kapalev\Desktop\SALT Automation Phase 2 - BACKUP\Projects\SALT\Snapshots\AddStoreValidateEditStoreLeadTime_IN-MU-LT-J27180\2014910\215119\Iterator_2\AddStoreValidateEditStoreLeadTime2.xlsx","Snapshot")</f>
        <v>Snapshot</v>
      </c>
      <c r="G146" s="31" t="str">
        <f>HYPERLINK("C:\Users\kapalev\Desktop\SALT Automation Phase 2 - BACKUP\Projects\SALT\Snapshots\AddStoreValidateEditStoreLeadTime_IN-MU-LT-J27180\2014910\215119\Iterator_2\Merge.html","Result")</f>
        <v>Result</v>
      </c>
      <c r="FZ146" s="29" t="s">
        <v>1309</v>
      </c>
      <c r="GB146" s="29">
        <v>1</v>
      </c>
      <c r="GC146" s="29">
        <v>251</v>
      </c>
      <c r="GD146" s="29">
        <v>251</v>
      </c>
      <c r="GE146" s="29" t="s">
        <v>787</v>
      </c>
      <c r="GF146" s="29" t="s">
        <v>1264</v>
      </c>
      <c r="GG146" s="29" t="s">
        <v>1265</v>
      </c>
      <c r="GI146" s="29" t="s">
        <v>450</v>
      </c>
      <c r="GJ146" s="29" t="s">
        <v>454</v>
      </c>
      <c r="GK146" s="29">
        <v>2000</v>
      </c>
      <c r="GL146" s="29">
        <v>-33.867100000000001</v>
      </c>
      <c r="GM146" s="29">
        <v>151.20699999999999</v>
      </c>
      <c r="GN146" s="29" t="s">
        <v>1268</v>
      </c>
      <c r="GO146" s="29" t="b">
        <v>0</v>
      </c>
      <c r="GP146" s="29" t="s">
        <v>1329</v>
      </c>
      <c r="GQ146" s="29" t="b">
        <v>0</v>
      </c>
      <c r="GR146" s="29" t="s">
        <v>1269</v>
      </c>
      <c r="GS146" s="126" t="s">
        <v>1384</v>
      </c>
      <c r="GU146" s="29" t="b">
        <v>1</v>
      </c>
      <c r="GV146" s="29" t="b">
        <v>1</v>
      </c>
      <c r="GW146" s="29" t="b">
        <v>1</v>
      </c>
      <c r="GX146" s="29" t="s">
        <v>1272</v>
      </c>
      <c r="GY146" s="29" t="b">
        <v>1</v>
      </c>
      <c r="GZ146" s="126" t="s">
        <v>1391</v>
      </c>
      <c r="HA146" s="29" t="s">
        <v>1392</v>
      </c>
      <c r="IT146" s="29" t="s">
        <v>1325</v>
      </c>
      <c r="IW146" s="36">
        <v>41892.910636574074</v>
      </c>
      <c r="IX146" s="36">
        <v>41892.914351851854</v>
      </c>
      <c r="IY146" s="29" t="s">
        <v>1393</v>
      </c>
      <c r="JI146" s="125" t="s">
        <v>443</v>
      </c>
      <c r="LX146" s="29" t="s">
        <v>58</v>
      </c>
      <c r="LY146" s="29" t="s">
        <v>96</v>
      </c>
      <c r="LZ146" s="29" t="s">
        <v>22</v>
      </c>
      <c r="MA146" s="29" t="s">
        <v>1116</v>
      </c>
    </row>
    <row r="147" spans="2:344" ht="30" hidden="1" x14ac:dyDescent="0.25">
      <c r="B147" s="44">
        <v>3</v>
      </c>
      <c r="C147" s="47" t="s">
        <v>1323</v>
      </c>
      <c r="D147" s="29" t="s">
        <v>1120</v>
      </c>
      <c r="E147" s="29" t="s">
        <v>1116</v>
      </c>
      <c r="F147" s="31" t="str">
        <f>HYPERLINK("C:\Users\kapalev\Desktop\SALT Automation Phase 2 - BACKUP\Projects\SALT\Snapshots\AddStoreValidateEditStoreLeadTime_IN-MU-LT-J27180\2014910\215644\Iterator_3\AddStoreValidateEditStoreLeadTime3.xlsx","Snapshot")</f>
        <v>Snapshot</v>
      </c>
      <c r="G147" s="31" t="str">
        <f>HYPERLINK("C:\Users\kapalev\Desktop\SALT Automation Phase 2 - BACKUP\Projects\SALT\Snapshots\AddStoreValidateEditStoreLeadTime_IN-MU-LT-J27180\2014910\215644\Iterator_3\Merge.html","Result")</f>
        <v>Result</v>
      </c>
      <c r="FZ147" s="29" t="s">
        <v>1310</v>
      </c>
      <c r="GB147" s="29">
        <v>21</v>
      </c>
      <c r="GC147" s="29">
        <v>251</v>
      </c>
      <c r="GD147" s="29">
        <v>251</v>
      </c>
      <c r="GE147" s="29" t="s">
        <v>787</v>
      </c>
      <c r="GF147" s="29" t="s">
        <v>1264</v>
      </c>
      <c r="GG147" s="29" t="s">
        <v>1265</v>
      </c>
      <c r="GI147" s="29" t="s">
        <v>450</v>
      </c>
      <c r="GJ147" s="29" t="s">
        <v>454</v>
      </c>
      <c r="GK147" s="29">
        <v>2000</v>
      </c>
      <c r="GL147" s="29">
        <v>-33.867100000000001</v>
      </c>
      <c r="GM147" s="29">
        <v>151.20699999999999</v>
      </c>
      <c r="GN147" s="29" t="s">
        <v>1268</v>
      </c>
      <c r="GO147" s="29" t="b">
        <v>0</v>
      </c>
      <c r="GP147" s="29" t="s">
        <v>1330</v>
      </c>
      <c r="GQ147" s="29" t="b">
        <v>0</v>
      </c>
      <c r="GR147" s="29" t="s">
        <v>1269</v>
      </c>
      <c r="GS147" s="126" t="s">
        <v>1384</v>
      </c>
      <c r="GU147" s="29" t="b">
        <v>1</v>
      </c>
      <c r="GV147" s="29" t="b">
        <v>1</v>
      </c>
      <c r="GW147" s="29" t="b">
        <v>1</v>
      </c>
      <c r="GX147" s="29" t="s">
        <v>1272</v>
      </c>
      <c r="GY147" s="29" t="b">
        <v>1</v>
      </c>
      <c r="IT147" s="29" t="s">
        <v>1327</v>
      </c>
      <c r="IW147" s="36">
        <v>41892.914398148147</v>
      </c>
      <c r="IX147" s="36">
        <v>41892.917974537035</v>
      </c>
      <c r="IY147" s="29" t="s">
        <v>1394</v>
      </c>
      <c r="JI147" s="125" t="s">
        <v>443</v>
      </c>
      <c r="LX147" s="125" t="s">
        <v>58</v>
      </c>
      <c r="LY147" s="125" t="s">
        <v>96</v>
      </c>
      <c r="LZ147" s="125" t="s">
        <v>22</v>
      </c>
    </row>
    <row r="148" spans="2:344" ht="30" hidden="1" x14ac:dyDescent="0.25">
      <c r="B148" s="44">
        <v>4</v>
      </c>
      <c r="C148" s="47" t="s">
        <v>1323</v>
      </c>
      <c r="D148" s="29" t="s">
        <v>1120</v>
      </c>
      <c r="E148" s="29" t="s">
        <v>1116</v>
      </c>
      <c r="F148" s="31" t="str">
        <f>HYPERLINK("C:\Users\kapalev\Desktop\SALT Automation Phase 2 - BACKUP\Projects\SALT\Snapshots\AddStoreValidateEditStoreLeadTime_IN-MU-LT-J27180\2014910\22158\Iterator_4\AddStoreValidateEditStoreLeadTime4.xlsx","Snapshot")</f>
        <v>Snapshot</v>
      </c>
      <c r="G148" s="31" t="str">
        <f>HYPERLINK("C:\Users\kapalev\Desktop\SALT Automation Phase 2 - BACKUP\Projects\SALT\Snapshots\AddStoreValidateEditStoreLeadTime_IN-MU-LT-J27180\2014910\22158\Iterator_4\Merge.html","Result")</f>
        <v>Result</v>
      </c>
      <c r="FZ148" s="29" t="s">
        <v>1311</v>
      </c>
      <c r="GB148" s="29">
        <v>22</v>
      </c>
      <c r="GC148" s="29">
        <v>251</v>
      </c>
      <c r="GD148" s="29">
        <v>251</v>
      </c>
      <c r="GE148" s="29" t="s">
        <v>787</v>
      </c>
      <c r="GF148" s="29" t="s">
        <v>1264</v>
      </c>
      <c r="GG148" s="29" t="s">
        <v>1265</v>
      </c>
      <c r="GI148" s="29" t="s">
        <v>450</v>
      </c>
      <c r="GJ148" s="29" t="s">
        <v>454</v>
      </c>
      <c r="GK148" s="29">
        <v>2000</v>
      </c>
      <c r="GL148" s="29">
        <v>-33.867100000000001</v>
      </c>
      <c r="GM148" s="29">
        <v>151.20699999999999</v>
      </c>
      <c r="GN148" s="29" t="s">
        <v>1268</v>
      </c>
      <c r="GO148" s="29" t="b">
        <v>0</v>
      </c>
      <c r="GP148" s="29" t="s">
        <v>1301</v>
      </c>
      <c r="GQ148" s="29" t="b">
        <v>0</v>
      </c>
      <c r="GR148" s="29" t="s">
        <v>1269</v>
      </c>
      <c r="GS148" s="126" t="s">
        <v>1384</v>
      </c>
      <c r="GU148" s="29" t="b">
        <v>1</v>
      </c>
      <c r="GV148" s="29" t="b">
        <v>1</v>
      </c>
      <c r="GW148" s="29" t="b">
        <v>1</v>
      </c>
      <c r="GX148" s="29" t="s">
        <v>1272</v>
      </c>
      <c r="GY148" s="29" t="b">
        <v>1</v>
      </c>
      <c r="IT148" s="29" t="s">
        <v>1328</v>
      </c>
      <c r="IW148" s="36">
        <v>41892.918032407404</v>
      </c>
      <c r="IX148" s="36">
        <v>41892.921539351853</v>
      </c>
      <c r="IY148" s="29" t="s">
        <v>1395</v>
      </c>
      <c r="JI148" s="125" t="s">
        <v>443</v>
      </c>
      <c r="LX148" s="125" t="s">
        <v>58</v>
      </c>
      <c r="LY148" s="125" t="s">
        <v>96</v>
      </c>
      <c r="LZ148" s="125" t="s">
        <v>22</v>
      </c>
    </row>
    <row r="149" spans="2:344" ht="30" hidden="1" x14ac:dyDescent="0.25">
      <c r="B149" s="44">
        <v>1</v>
      </c>
      <c r="C149" s="45" t="s">
        <v>1332</v>
      </c>
      <c r="D149" s="29" t="s">
        <v>1192</v>
      </c>
      <c r="E149" s="126"/>
      <c r="FC149" s="125" t="s">
        <v>1383</v>
      </c>
      <c r="FD149" s="125"/>
      <c r="FE149" s="125" t="s">
        <v>1378</v>
      </c>
      <c r="FF149" s="125" t="s">
        <v>481</v>
      </c>
      <c r="FG149" s="125" t="s">
        <v>481</v>
      </c>
      <c r="FH149" s="126" t="s">
        <v>1379</v>
      </c>
      <c r="FI149" s="58" t="s">
        <v>1380</v>
      </c>
      <c r="FJ149" s="58" t="s">
        <v>1380</v>
      </c>
      <c r="FK149" s="125">
        <v>23</v>
      </c>
      <c r="FL149" s="125" t="s">
        <v>1381</v>
      </c>
      <c r="FM149" s="125" t="s">
        <v>1382</v>
      </c>
      <c r="FN149" s="126" t="s">
        <v>195</v>
      </c>
      <c r="FO149" s="125">
        <v>10</v>
      </c>
      <c r="FP149" s="125">
        <v>2016</v>
      </c>
      <c r="FQ149" s="125">
        <v>123</v>
      </c>
      <c r="FR149" s="125">
        <v>17</v>
      </c>
      <c r="FS149" s="125" t="s">
        <v>495</v>
      </c>
      <c r="FT149" s="125">
        <v>1979</v>
      </c>
      <c r="FU149" s="125" t="s">
        <v>1375</v>
      </c>
      <c r="FV149" s="125"/>
      <c r="FW149" s="125" t="s">
        <v>1376</v>
      </c>
      <c r="FX149" s="125" t="s">
        <v>1377</v>
      </c>
      <c r="FY149" s="125"/>
      <c r="JN149" s="125"/>
      <c r="LX149" s="125" t="s">
        <v>58</v>
      </c>
      <c r="LY149" s="18" t="s">
        <v>1373</v>
      </c>
      <c r="LZ149" s="125" t="s">
        <v>22</v>
      </c>
      <c r="MA149" s="58" t="s">
        <v>1374</v>
      </c>
      <c r="MB149" s="125" t="s">
        <v>443</v>
      </c>
      <c r="MC149" s="126"/>
      <c r="MD149" s="125"/>
      <c r="ME149" s="125"/>
      <c r="MF149" s="126"/>
    </row>
    <row r="150" spans="2:344" ht="165" hidden="1" x14ac:dyDescent="0.25">
      <c r="B150" s="44">
        <v>1</v>
      </c>
      <c r="C150" s="45" t="s">
        <v>1396</v>
      </c>
      <c r="D150" s="29" t="s">
        <v>1158</v>
      </c>
      <c r="E150" s="29" t="s">
        <v>1407</v>
      </c>
      <c r="F150" s="31" t="str">
        <f>HYPERLINK("C:\RaviK\SVN_Admin_NewTask\Projects\SALT\Snapshots\VaultFieldsValidation_IN-MU-LT-J27116\201559\162053\Iterator_1\VaultFieldsValidation1.xlsx","Snapshot")</f>
        <v>Snapshot</v>
      </c>
      <c r="G150" s="31" t="str">
        <f>HYPERLINK("C:\RaviK\SVN_Admin_NewTask\Projects\SALT\Snapshots\VaultFieldsValidation_IN-MU-LT-J27116\201559\162053\Iterator_1\Merge.html","Result")</f>
        <v>Result</v>
      </c>
      <c r="IW150" s="36">
        <v>42133.681168981479</v>
      </c>
      <c r="IX150" s="36">
        <v>42133.681168981479</v>
      </c>
      <c r="IY150" s="29" t="s">
        <v>1400</v>
      </c>
    </row>
  </sheetData>
  <protectedRanges>
    <protectedRange sqref="C34" name="Range1_1"/>
  </protectedRanges>
  <autoFilter ref="B3:D150">
    <filterColumn colId="1">
      <filters>
        <filter val="HappyPath_SingleProduct_AUS"/>
      </filters>
    </filterColumn>
  </autoFilter>
  <dataConsolidate/>
  <customSheetViews>
    <customSheetView guid="{A8F9189F-30EC-448E-8FA3-1F1B01D22A46}" scale="80" filter="1" showAutoFilter="1" hiddenRows="1" hiddenColumns="1">
      <selection activeCell="FP58" sqref="FP58"/>
      <pageMargins left="0.7" right="0.7" top="0.75" bottom="0.75" header="0.3" footer="0.3"/>
      <pageSetup orientation="portrait" r:id="rId1"/>
      <autoFilter ref="B3:D58">
        <filterColumn colId="1">
          <filters>
            <filter val="MobilePickUpCashPassportOrder"/>
          </filters>
        </filterColumn>
      </autoFilter>
    </customSheetView>
  </customSheetViews>
  <mergeCells count="1">
    <mergeCell ref="BG122:BG123"/>
  </mergeCells>
  <hyperlinks>
    <hyperlink ref="DJ78" r:id="rId2"/>
    <hyperlink ref="DI78" r:id="rId3"/>
    <hyperlink ref="DJ71" r:id="rId4"/>
    <hyperlink ref="DI71" r:id="rId5"/>
    <hyperlink ref="JE63" r:id="rId6"/>
    <hyperlink ref="JE64" r:id="rId7"/>
    <hyperlink ref="JE65" r:id="rId8"/>
    <hyperlink ref="KX89" r:id="rId9"/>
    <hyperlink ref="KY89" r:id="rId10"/>
    <hyperlink ref="KX90" r:id="rId11"/>
    <hyperlink ref="KY90" r:id="rId12"/>
    <hyperlink ref="CG99" r:id="rId13"/>
    <hyperlink ref="JE66" r:id="rId14"/>
    <hyperlink ref="JE67" r:id="rId15"/>
    <hyperlink ref="JE114" r:id="rId16"/>
    <hyperlink ref="JE107" r:id="rId17"/>
    <hyperlink ref="JE108" r:id="rId18"/>
    <hyperlink ref="JE113" r:id="rId19"/>
    <hyperlink ref="JE119" r:id="rId20"/>
    <hyperlink ref="HO123" r:id="rId21"/>
    <hyperlink ref="JE123" r:id="rId22"/>
    <hyperlink ref="HO124" r:id="rId23"/>
    <hyperlink ref="JE124" r:id="rId24"/>
    <hyperlink ref="FI149" r:id="rId25"/>
    <hyperlink ref="FJ149" r:id="rId26"/>
    <hyperlink ref="JO31" r:id="rId27" display="http://admin.rgt.salt.travelex.com/Pages/OrderManagement/View.aspx?id=4100912&amp;ReturnURL=/Pages/OrderManagement/default.aspx?ostate=Packed|srtDir=False"/>
    <hyperlink ref="JO46" r:id="rId28" display="http://admin.rgt.salt.travelex.com/Pages/OrderManagement/View.aspx?id=4100912&amp;ReturnURL=/Pages/OrderManagement/default.aspx?ostate=Packed|srtDir=False"/>
    <hyperlink ref="JO43" r:id="rId29" display="http://admin.rgt.salt.travelex.com/Pages/Dashboard/OrderToPackView.aspx?id=102896&amp;ReturnURL=http%3a%2f%2fadmin.rgt.salt.travelex.com%2fPages%2fDashboard%2fOrdersToPackUnpack.aspx%3fType%3dPack"/>
    <hyperlink ref="JO26" r:id="rId30" display="http://admin.rgt.salt.travelex.com/Pages/OrderManagement/View.aspx?id=4102308&amp;ReturnURL=/Pages/OrderManagement/default.aspx?ostate=PendingPackingStore|srtDir=False"/>
    <hyperlink ref="JO38" r:id="rId31" display="http://admin.rgt.salt.travelex.com/Pages/OrderManagement/View.aspx?id=4102308&amp;ReturnURL=/Pages/OrderManagement/default.aspx?ostate=PendingPackingStore|srtDir=False"/>
  </hyperlinks>
  <pageMargins left="0.7" right="0.7" top="0.75" bottom="0.75" header="0.3" footer="0.3"/>
  <pageSetup orientation="portrait" r:id="rId32"/>
  <drawing r:id="rId33"/>
  <legacyDrawing r:id="rId34"/>
  <controls>
    <mc:AlternateContent xmlns:mc="http://schemas.openxmlformats.org/markup-compatibility/2006">
      <mc:Choice Requires="x14">
        <control shapeId="3094" r:id="rId35" name="cmdTCExecutionTime">
          <controlPr defaultSize="0" print="0" autoLine="0" r:id="rId36">
            <anchor>
              <from>
                <xdr:col>0</xdr:col>
                <xdr:colOff>47625</xdr:colOff>
                <xdr:row>12</xdr:row>
                <xdr:rowOff>0</xdr:rowOff>
              </from>
              <to>
                <xdr:col>0</xdr:col>
                <xdr:colOff>1409700</xdr:colOff>
                <xdr:row>14</xdr:row>
                <xdr:rowOff>152400</xdr:rowOff>
              </to>
            </anchor>
          </controlPr>
        </control>
      </mc:Choice>
      <mc:Fallback>
        <control shapeId="3094" r:id="rId35" name="cmdTCExecutionTime"/>
      </mc:Fallback>
    </mc:AlternateContent>
    <mc:AlternateContent xmlns:mc="http://schemas.openxmlformats.org/markup-compatibility/2006">
      <mc:Choice Requires="x14">
        <control shapeId="3089" r:id="rId37" name="cmdImportHeaders">
          <controlPr defaultSize="0" print="0" autoLine="0" r:id="rId38">
            <anchor>
              <from>
                <xdr:col>0</xdr:col>
                <xdr:colOff>1514475</xdr:colOff>
                <xdr:row>8</xdr:row>
                <xdr:rowOff>180975</xdr:rowOff>
              </from>
              <to>
                <xdr:col>0</xdr:col>
                <xdr:colOff>3000375</xdr:colOff>
                <xdr:row>11</xdr:row>
                <xdr:rowOff>171450</xdr:rowOff>
              </to>
            </anchor>
          </controlPr>
        </control>
      </mc:Choice>
      <mc:Fallback>
        <control shapeId="3089" r:id="rId37" name="cmdImportHeaders"/>
      </mc:Fallback>
    </mc:AlternateContent>
    <mc:AlternateContent xmlns:mc="http://schemas.openxmlformats.org/markup-compatibility/2006">
      <mc:Choice Requires="x14">
        <control shapeId="3088" r:id="rId39" name="cmdShowAllCol">
          <controlPr defaultSize="0" print="0" autoLine="0" r:id="rId40">
            <anchor>
              <from>
                <xdr:col>0</xdr:col>
                <xdr:colOff>85725</xdr:colOff>
                <xdr:row>8</xdr:row>
                <xdr:rowOff>180975</xdr:rowOff>
              </from>
              <to>
                <xdr:col>0</xdr:col>
                <xdr:colOff>1447800</xdr:colOff>
                <xdr:row>11</xdr:row>
                <xdr:rowOff>152400</xdr:rowOff>
              </to>
            </anchor>
          </controlPr>
        </control>
      </mc:Choice>
      <mc:Fallback>
        <control shapeId="3088" r:id="rId39" name="cmdShowAllCol"/>
      </mc:Fallback>
    </mc:AlternateContent>
    <mc:AlternateContent xmlns:mc="http://schemas.openxmlformats.org/markup-compatibility/2006">
      <mc:Choice Requires="x14">
        <control shapeId="3087" r:id="rId41" name="cmdPrevious">
          <controlPr defaultSize="0" print="0" autoLine="0" r:id="rId42">
            <anchor>
              <from>
                <xdr:col>0</xdr:col>
                <xdr:colOff>133350</xdr:colOff>
                <xdr:row>5</xdr:row>
                <xdr:rowOff>133350</xdr:rowOff>
              </from>
              <to>
                <xdr:col>0</xdr:col>
                <xdr:colOff>1381125</xdr:colOff>
                <xdr:row>8</xdr:row>
                <xdr:rowOff>114300</xdr:rowOff>
              </to>
            </anchor>
          </controlPr>
        </control>
      </mc:Choice>
      <mc:Fallback>
        <control shapeId="3087" r:id="rId41" name="cmdPrevious"/>
      </mc:Fallback>
    </mc:AlternateContent>
    <mc:AlternateContent xmlns:mc="http://schemas.openxmlformats.org/markup-compatibility/2006">
      <mc:Choice Requires="x14">
        <control shapeId="3086" r:id="rId43" name="cmdNext">
          <controlPr defaultSize="0" autoLine="0" r:id="rId44">
            <anchor>
              <from>
                <xdr:col>0</xdr:col>
                <xdr:colOff>1562100</xdr:colOff>
                <xdr:row>5</xdr:row>
                <xdr:rowOff>142875</xdr:rowOff>
              </from>
              <to>
                <xdr:col>0</xdr:col>
                <xdr:colOff>2876550</xdr:colOff>
                <xdr:row>8</xdr:row>
                <xdr:rowOff>66675</xdr:rowOff>
              </to>
            </anchor>
          </controlPr>
        </control>
      </mc:Choice>
      <mc:Fallback>
        <control shapeId="3086" r:id="rId43" name="cmdNext"/>
      </mc:Fallback>
    </mc:AlternateContent>
    <mc:AlternateContent xmlns:mc="http://schemas.openxmlformats.org/markup-compatibility/2006">
      <mc:Choice Requires="x14">
        <control shapeId="3085" r:id="rId45" name="cmdFindBC">
          <controlPr defaultSize="0" print="0" autoLine="0" r:id="rId46">
            <anchor>
              <from>
                <xdr:col>0</xdr:col>
                <xdr:colOff>0</xdr:colOff>
                <xdr:row>15</xdr:row>
                <xdr:rowOff>47625</xdr:rowOff>
              </from>
              <to>
                <xdr:col>0</xdr:col>
                <xdr:colOff>3028950</xdr:colOff>
                <xdr:row>16</xdr:row>
                <xdr:rowOff>171450</xdr:rowOff>
              </to>
            </anchor>
          </controlPr>
        </control>
      </mc:Choice>
      <mc:Fallback>
        <control shapeId="3085" r:id="rId45" name="cmdFindBC"/>
      </mc:Fallback>
    </mc:AlternateContent>
    <mc:AlternateContent xmlns:mc="http://schemas.openxmlformats.org/markup-compatibility/2006">
      <mc:Choice Requires="x14">
        <control shapeId="3084" r:id="rId47" name="cmdFindTest">
          <controlPr defaultSize="0" print="0" autoLine="0" r:id="rId48">
            <anchor>
              <from>
                <xdr:col>0</xdr:col>
                <xdr:colOff>19050</xdr:colOff>
                <xdr:row>17</xdr:row>
                <xdr:rowOff>76200</xdr:rowOff>
              </from>
              <to>
                <xdr:col>0</xdr:col>
                <xdr:colOff>2990850</xdr:colOff>
                <xdr:row>20</xdr:row>
                <xdr:rowOff>38100</xdr:rowOff>
              </to>
            </anchor>
          </controlPr>
        </control>
      </mc:Choice>
      <mc:Fallback>
        <control shapeId="3084" r:id="rId47" name="cmdFindTest"/>
      </mc:Fallback>
    </mc:AlternateContent>
    <mc:AlternateContent xmlns:mc="http://schemas.openxmlformats.org/markup-compatibility/2006">
      <mc:Choice Requires="x14">
        <control shapeId="3083" r:id="rId49" name="CmbBCName">
          <controlPr defaultSize="0" print="0" autoLine="0" r:id="rId50">
            <anchor>
              <from>
                <xdr:col>0</xdr:col>
                <xdr:colOff>0</xdr:colOff>
                <xdr:row>0</xdr:row>
                <xdr:rowOff>114300</xdr:rowOff>
              </from>
              <to>
                <xdr:col>1</xdr:col>
                <xdr:colOff>0</xdr:colOff>
                <xdr:row>1</xdr:row>
                <xdr:rowOff>171450</xdr:rowOff>
              </to>
            </anchor>
          </controlPr>
        </control>
      </mc:Choice>
      <mc:Fallback>
        <control shapeId="3083" r:id="rId49" name="CmbBCName"/>
      </mc:Fallback>
    </mc:AlternateContent>
    <mc:AlternateContent xmlns:mc="http://schemas.openxmlformats.org/markup-compatibility/2006">
      <mc:Choice Requires="x14">
        <control shapeId="3082" r:id="rId51" name="cmbTestCase">
          <controlPr defaultSize="0" print="0" autoLine="0" listFillRange="Mapping!B2:B102" r:id="rId52">
            <anchor>
              <from>
                <xdr:col>0</xdr:col>
                <xdr:colOff>0</xdr:colOff>
                <xdr:row>3</xdr:row>
                <xdr:rowOff>171450</xdr:rowOff>
              </from>
              <to>
                <xdr:col>0</xdr:col>
                <xdr:colOff>3076575</xdr:colOff>
                <xdr:row>5</xdr:row>
                <xdr:rowOff>47625</xdr:rowOff>
              </to>
            </anchor>
          </controlPr>
        </control>
      </mc:Choice>
      <mc:Fallback>
        <control shapeId="3082" r:id="rId51" name="cmbTestCase"/>
      </mc:Fallback>
    </mc:AlternateContent>
    <mc:AlternateContent xmlns:mc="http://schemas.openxmlformats.org/markup-compatibility/2006">
      <mc:Choice Requires="x14">
        <control shapeId="3090" r:id="rId53" name="cmdDeletedCol">
          <controlPr defaultSize="0" print="0" autoLine="0" r:id="rId54">
            <anchor>
              <from>
                <xdr:col>0</xdr:col>
                <xdr:colOff>1514475</xdr:colOff>
                <xdr:row>12</xdr:row>
                <xdr:rowOff>19050</xdr:rowOff>
              </from>
              <to>
                <xdr:col>0</xdr:col>
                <xdr:colOff>3028950</xdr:colOff>
                <xdr:row>14</xdr:row>
                <xdr:rowOff>123825</xdr:rowOff>
              </to>
            </anchor>
          </controlPr>
        </control>
      </mc:Choice>
      <mc:Fallback>
        <control shapeId="3090" r:id="rId53" name="cmdDeletedCo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40"/>
  <sheetViews>
    <sheetView tabSelected="1" zoomScaleNormal="100" workbookViewId="0">
      <pane ySplit="1" topLeftCell="A160" activePane="bottomLeft" state="frozen"/>
      <selection pane="bottomLeft" activeCell="D175" sqref="D175:E175"/>
    </sheetView>
  </sheetViews>
  <sheetFormatPr defaultColWidth="22.5703125" defaultRowHeight="15" x14ac:dyDescent="0.25"/>
  <cols>
    <col min="1" max="1" width="11" style="25" customWidth="1"/>
    <col min="2" max="2" width="31.42578125" style="28" customWidth="1"/>
    <col min="3" max="3" width="47.140625" style="25" customWidth="1"/>
    <col min="4" max="4" width="31.85546875" style="25" customWidth="1"/>
    <col min="5" max="5" width="35.28515625" style="25" customWidth="1"/>
    <col min="6" max="6" width="26.42578125" style="25" customWidth="1"/>
    <col min="7" max="7" width="19.7109375" style="25" customWidth="1"/>
    <col min="8" max="16384" width="22.5703125" style="25"/>
  </cols>
  <sheetData>
    <row r="1" spans="1:7" s="23" customFormat="1" x14ac:dyDescent="0.25">
      <c r="A1" s="5" t="s">
        <v>0</v>
      </c>
      <c r="B1" s="5" t="s">
        <v>36</v>
      </c>
      <c r="C1" s="5" t="s">
        <v>35</v>
      </c>
      <c r="D1" s="27" t="s">
        <v>33</v>
      </c>
      <c r="E1" s="5" t="s">
        <v>34</v>
      </c>
      <c r="F1" s="5" t="s">
        <v>1</v>
      </c>
      <c r="G1" s="5" t="s">
        <v>2</v>
      </c>
    </row>
    <row r="2" spans="1:7" x14ac:dyDescent="0.25">
      <c r="B2" s="28" t="s">
        <v>436</v>
      </c>
      <c r="C2" s="25" t="s">
        <v>470</v>
      </c>
      <c r="D2" s="24" t="s">
        <v>3</v>
      </c>
      <c r="E2" s="24" t="s">
        <v>52</v>
      </c>
      <c r="F2" s="25" t="s">
        <v>4</v>
      </c>
    </row>
    <row r="3" spans="1:7" x14ac:dyDescent="0.25">
      <c r="B3" s="268" t="s">
        <v>310</v>
      </c>
      <c r="C3" s="39" t="s">
        <v>1494</v>
      </c>
      <c r="D3" s="24" t="s">
        <v>37</v>
      </c>
      <c r="E3" s="24" t="s">
        <v>40</v>
      </c>
      <c r="F3" s="25" t="s">
        <v>51</v>
      </c>
    </row>
    <row r="4" spans="1:7" x14ac:dyDescent="0.25">
      <c r="B4" s="37" t="s">
        <v>824</v>
      </c>
      <c r="C4" s="24" t="s">
        <v>326</v>
      </c>
      <c r="D4" s="24" t="s">
        <v>41</v>
      </c>
      <c r="E4" s="24" t="s">
        <v>44</v>
      </c>
      <c r="F4" s="25" t="s">
        <v>5</v>
      </c>
    </row>
    <row r="5" spans="1:7" ht="30" x14ac:dyDescent="0.25">
      <c r="B5" s="28" t="s">
        <v>312</v>
      </c>
      <c r="C5" s="24" t="s">
        <v>794</v>
      </c>
      <c r="D5" s="24" t="s">
        <v>45</v>
      </c>
      <c r="E5" s="24" t="s">
        <v>50</v>
      </c>
      <c r="F5" s="25" t="s">
        <v>6</v>
      </c>
    </row>
    <row r="6" spans="1:7" ht="30" x14ac:dyDescent="0.25">
      <c r="B6" s="28" t="s">
        <v>313</v>
      </c>
      <c r="C6" s="25" t="s">
        <v>327</v>
      </c>
      <c r="D6" s="24" t="s">
        <v>53</v>
      </c>
      <c r="E6" s="24" t="s">
        <v>54</v>
      </c>
      <c r="F6" s="25" t="s">
        <v>7</v>
      </c>
    </row>
    <row r="7" spans="1:7" ht="30" x14ac:dyDescent="0.25">
      <c r="B7" s="28" t="s">
        <v>513</v>
      </c>
      <c r="C7" s="25" t="s">
        <v>516</v>
      </c>
      <c r="D7" s="24" t="s">
        <v>306</v>
      </c>
      <c r="E7" s="24" t="s">
        <v>11</v>
      </c>
      <c r="F7" s="25" t="s">
        <v>8</v>
      </c>
    </row>
    <row r="8" spans="1:7" ht="30" x14ac:dyDescent="0.25">
      <c r="B8" s="28" t="s">
        <v>514</v>
      </c>
      <c r="C8" s="25" t="s">
        <v>516</v>
      </c>
      <c r="D8" s="24" t="s">
        <v>110</v>
      </c>
      <c r="E8" s="24" t="s">
        <v>810</v>
      </c>
      <c r="F8" s="25" t="s">
        <v>38</v>
      </c>
    </row>
    <row r="9" spans="1:7" ht="30" x14ac:dyDescent="0.25">
      <c r="B9" s="28" t="s">
        <v>515</v>
      </c>
      <c r="C9" s="25" t="s">
        <v>516</v>
      </c>
      <c r="D9" s="24" t="s">
        <v>328</v>
      </c>
      <c r="E9" s="24" t="s">
        <v>63</v>
      </c>
      <c r="F9" s="25" t="s">
        <v>39</v>
      </c>
    </row>
    <row r="10" spans="1:7" x14ac:dyDescent="0.25">
      <c r="B10" s="111" t="s">
        <v>205</v>
      </c>
      <c r="C10" s="24" t="s">
        <v>949</v>
      </c>
      <c r="D10" s="24" t="s">
        <v>100</v>
      </c>
      <c r="E10" s="24" t="s">
        <v>63</v>
      </c>
      <c r="F10" s="25" t="s">
        <v>42</v>
      </c>
    </row>
    <row r="11" spans="1:7" x14ac:dyDescent="0.25">
      <c r="B11" s="111" t="s">
        <v>206</v>
      </c>
      <c r="C11" s="24" t="s">
        <v>839</v>
      </c>
      <c r="D11" s="24" t="s">
        <v>111</v>
      </c>
      <c r="E11" s="24" t="s">
        <v>329</v>
      </c>
      <c r="F11" s="25" t="s">
        <v>43</v>
      </c>
    </row>
    <row r="12" spans="1:7" x14ac:dyDescent="0.25">
      <c r="B12" s="111" t="s">
        <v>207</v>
      </c>
      <c r="C12" s="25" t="s">
        <v>839</v>
      </c>
      <c r="D12" s="24" t="s">
        <v>119</v>
      </c>
      <c r="E12" s="24" t="s">
        <v>330</v>
      </c>
      <c r="F12" s="25" t="s">
        <v>46</v>
      </c>
    </row>
    <row r="13" spans="1:7" x14ac:dyDescent="0.25">
      <c r="B13" s="111" t="s">
        <v>208</v>
      </c>
      <c r="C13" s="24" t="s">
        <v>840</v>
      </c>
      <c r="D13" s="24" t="s">
        <v>124</v>
      </c>
      <c r="E13" s="24" t="s">
        <v>722</v>
      </c>
      <c r="F13" s="25" t="s">
        <v>47</v>
      </c>
    </row>
    <row r="14" spans="1:7" x14ac:dyDescent="0.25">
      <c r="B14" s="111" t="s">
        <v>209</v>
      </c>
      <c r="C14" s="24" t="s">
        <v>841</v>
      </c>
      <c r="D14" s="24" t="s">
        <v>536</v>
      </c>
      <c r="E14" s="24" t="s">
        <v>537</v>
      </c>
      <c r="F14" s="25" t="s">
        <v>48</v>
      </c>
    </row>
    <row r="15" spans="1:7" x14ac:dyDescent="0.25">
      <c r="B15" s="111" t="s">
        <v>210</v>
      </c>
      <c r="C15" s="39" t="s">
        <v>842</v>
      </c>
      <c r="D15" s="24" t="s">
        <v>158</v>
      </c>
      <c r="E15" s="24" t="s">
        <v>331</v>
      </c>
      <c r="F15" s="25" t="s">
        <v>49</v>
      </c>
    </row>
    <row r="16" spans="1:7" ht="30" x14ac:dyDescent="0.25">
      <c r="B16" s="111" t="s">
        <v>211</v>
      </c>
      <c r="C16" s="39" t="s">
        <v>843</v>
      </c>
      <c r="D16" s="24" t="s">
        <v>332</v>
      </c>
      <c r="E16" s="24" t="s">
        <v>471</v>
      </c>
      <c r="F16" s="25" t="s">
        <v>54</v>
      </c>
    </row>
    <row r="17" spans="2:6" x14ac:dyDescent="0.25">
      <c r="B17" s="111" t="s">
        <v>212</v>
      </c>
      <c r="C17" s="24" t="s">
        <v>1064</v>
      </c>
      <c r="D17" s="24" t="s">
        <v>307</v>
      </c>
      <c r="E17" s="24" t="s">
        <v>63</v>
      </c>
      <c r="F17" s="25" t="s">
        <v>12</v>
      </c>
    </row>
    <row r="18" spans="2:6" x14ac:dyDescent="0.25">
      <c r="B18" s="111" t="s">
        <v>213</v>
      </c>
      <c r="C18" s="24" t="s">
        <v>1070</v>
      </c>
      <c r="D18" s="24" t="s">
        <v>333</v>
      </c>
      <c r="E18" s="24" t="s">
        <v>935</v>
      </c>
      <c r="F18" s="25" t="s">
        <v>10</v>
      </c>
    </row>
    <row r="19" spans="2:6" x14ac:dyDescent="0.25">
      <c r="B19" s="111" t="s">
        <v>214</v>
      </c>
      <c r="C19" s="24" t="s">
        <v>1115</v>
      </c>
      <c r="D19" s="24" t="s">
        <v>334</v>
      </c>
      <c r="E19" s="24" t="s">
        <v>63</v>
      </c>
      <c r="F19" s="25" t="s">
        <v>13</v>
      </c>
    </row>
    <row r="20" spans="2:6" x14ac:dyDescent="0.25">
      <c r="B20" s="111" t="s">
        <v>215</v>
      </c>
      <c r="C20" s="24" t="s">
        <v>844</v>
      </c>
      <c r="D20" s="24" t="s">
        <v>335</v>
      </c>
      <c r="E20" s="24" t="s">
        <v>336</v>
      </c>
      <c r="F20" s="25" t="s">
        <v>97</v>
      </c>
    </row>
    <row r="21" spans="2:6" x14ac:dyDescent="0.25">
      <c r="B21" s="111" t="s">
        <v>216</v>
      </c>
      <c r="C21" s="24" t="s">
        <v>844</v>
      </c>
      <c r="D21" s="24" t="s">
        <v>337</v>
      </c>
      <c r="E21" s="24" t="s">
        <v>815</v>
      </c>
      <c r="F21" s="25" t="s">
        <v>98</v>
      </c>
    </row>
    <row r="22" spans="2:6" x14ac:dyDescent="0.25">
      <c r="B22" s="111" t="s">
        <v>217</v>
      </c>
      <c r="C22" s="24" t="s">
        <v>1072</v>
      </c>
      <c r="D22" s="24" t="s">
        <v>338</v>
      </c>
      <c r="E22" s="24" t="s">
        <v>725</v>
      </c>
      <c r="F22" s="25" t="s">
        <v>104</v>
      </c>
    </row>
    <row r="23" spans="2:6" x14ac:dyDescent="0.25">
      <c r="B23" s="111" t="s">
        <v>218</v>
      </c>
      <c r="C23" s="24" t="s">
        <v>1074</v>
      </c>
      <c r="D23" s="24" t="s">
        <v>339</v>
      </c>
      <c r="E23" s="24" t="s">
        <v>340</v>
      </c>
      <c r="F23" s="25" t="s">
        <v>99</v>
      </c>
    </row>
    <row r="24" spans="2:6" x14ac:dyDescent="0.25">
      <c r="B24" s="111" t="s">
        <v>219</v>
      </c>
      <c r="C24" s="24" t="s">
        <v>950</v>
      </c>
      <c r="D24" s="24" t="s">
        <v>341</v>
      </c>
      <c r="E24" s="24" t="s">
        <v>342</v>
      </c>
      <c r="F24" s="25" t="s">
        <v>103</v>
      </c>
    </row>
    <row r="25" spans="2:6" x14ac:dyDescent="0.25">
      <c r="B25" s="111" t="s">
        <v>220</v>
      </c>
      <c r="C25" s="24" t="s">
        <v>950</v>
      </c>
      <c r="D25" s="24" t="s">
        <v>343</v>
      </c>
      <c r="E25" s="24" t="s">
        <v>344</v>
      </c>
      <c r="F25" s="25" t="s">
        <v>105</v>
      </c>
    </row>
    <row r="26" spans="2:6" x14ac:dyDescent="0.25">
      <c r="B26" s="147" t="s">
        <v>221</v>
      </c>
      <c r="C26" s="24" t="s">
        <v>951</v>
      </c>
      <c r="D26" s="24" t="s">
        <v>345</v>
      </c>
      <c r="E26" s="24" t="s">
        <v>122</v>
      </c>
      <c r="F26" s="25" t="s">
        <v>685</v>
      </c>
    </row>
    <row r="27" spans="2:6" x14ac:dyDescent="0.25">
      <c r="B27" s="111" t="s">
        <v>222</v>
      </c>
      <c r="C27" s="24" t="s">
        <v>952</v>
      </c>
      <c r="D27" s="24" t="s">
        <v>346</v>
      </c>
      <c r="E27" s="24" t="s">
        <v>63</v>
      </c>
      <c r="F27" s="25" t="s">
        <v>63</v>
      </c>
    </row>
    <row r="28" spans="2:6" x14ac:dyDescent="0.25">
      <c r="B28" s="111" t="s">
        <v>223</v>
      </c>
      <c r="C28" s="24" t="s">
        <v>952</v>
      </c>
      <c r="D28" s="24" t="s">
        <v>347</v>
      </c>
      <c r="E28" s="24" t="s">
        <v>63</v>
      </c>
      <c r="F28" s="25" t="s">
        <v>101</v>
      </c>
    </row>
    <row r="29" spans="2:6" x14ac:dyDescent="0.25">
      <c r="B29" s="111" t="s">
        <v>308</v>
      </c>
      <c r="C29" s="39" t="s">
        <v>1076</v>
      </c>
      <c r="D29" s="24" t="s">
        <v>348</v>
      </c>
      <c r="E29" s="24" t="s">
        <v>63</v>
      </c>
      <c r="F29" s="25" t="s">
        <v>102</v>
      </c>
    </row>
    <row r="30" spans="2:6" x14ac:dyDescent="0.25">
      <c r="B30" s="111" t="s">
        <v>309</v>
      </c>
      <c r="C30" s="39" t="s">
        <v>953</v>
      </c>
      <c r="D30" s="24" t="s">
        <v>349</v>
      </c>
      <c r="E30" s="24" t="s">
        <v>350</v>
      </c>
      <c r="F30" s="25" t="s">
        <v>122</v>
      </c>
    </row>
    <row r="31" spans="2:6" x14ac:dyDescent="0.25">
      <c r="B31" s="111" t="s">
        <v>352</v>
      </c>
      <c r="C31" s="39" t="s">
        <v>1096</v>
      </c>
      <c r="D31" s="24" t="s">
        <v>228</v>
      </c>
      <c r="E31" s="24" t="s">
        <v>229</v>
      </c>
      <c r="F31" s="25" t="s">
        <v>123</v>
      </c>
    </row>
    <row r="32" spans="2:6" x14ac:dyDescent="0.25">
      <c r="B32" s="111" t="s">
        <v>353</v>
      </c>
      <c r="C32" s="39" t="s">
        <v>1096</v>
      </c>
      <c r="D32" s="24" t="s">
        <v>230</v>
      </c>
      <c r="E32" s="24" t="s">
        <v>231</v>
      </c>
      <c r="F32" s="25" t="s">
        <v>193</v>
      </c>
    </row>
    <row r="33" spans="2:6" x14ac:dyDescent="0.25">
      <c r="B33" s="111" t="s">
        <v>354</v>
      </c>
      <c r="C33" s="39" t="s">
        <v>1096</v>
      </c>
      <c r="D33" s="24" t="s">
        <v>232</v>
      </c>
      <c r="E33" s="24" t="s">
        <v>233</v>
      </c>
      <c r="F33" s="25" t="s">
        <v>118</v>
      </c>
    </row>
    <row r="34" spans="2:6" x14ac:dyDescent="0.25">
      <c r="B34" s="111" t="s">
        <v>355</v>
      </c>
      <c r="C34" s="39" t="s">
        <v>1096</v>
      </c>
      <c r="D34" s="24" t="s">
        <v>234</v>
      </c>
      <c r="E34" s="24" t="s">
        <v>63</v>
      </c>
      <c r="F34" s="25" t="s">
        <v>112</v>
      </c>
    </row>
    <row r="35" spans="2:6" ht="75" x14ac:dyDescent="0.25">
      <c r="B35" s="28" t="s">
        <v>548</v>
      </c>
      <c r="C35" s="37" t="s">
        <v>705</v>
      </c>
      <c r="D35" s="24" t="s">
        <v>235</v>
      </c>
      <c r="E35" s="24" t="s">
        <v>63</v>
      </c>
      <c r="F35" s="25" t="s">
        <v>113</v>
      </c>
    </row>
    <row r="36" spans="2:6" ht="75" x14ac:dyDescent="0.25">
      <c r="B36" s="28" t="s">
        <v>549</v>
      </c>
      <c r="C36" s="37" t="s">
        <v>705</v>
      </c>
      <c r="D36" s="24" t="s">
        <v>232</v>
      </c>
      <c r="E36" s="24" t="s">
        <v>233</v>
      </c>
      <c r="F36" s="25" t="s">
        <v>114</v>
      </c>
    </row>
    <row r="37" spans="2:6" ht="30" x14ac:dyDescent="0.25">
      <c r="B37" s="28" t="s">
        <v>551</v>
      </c>
      <c r="C37" s="28" t="s">
        <v>467</v>
      </c>
      <c r="D37" s="24" t="s">
        <v>236</v>
      </c>
      <c r="E37" s="24" t="s">
        <v>63</v>
      </c>
      <c r="F37" s="25" t="s">
        <v>115</v>
      </c>
    </row>
    <row r="38" spans="2:6" ht="30" x14ac:dyDescent="0.25">
      <c r="B38" s="28" t="s">
        <v>552</v>
      </c>
      <c r="C38" s="28" t="s">
        <v>467</v>
      </c>
      <c r="D38" s="24" t="s">
        <v>237</v>
      </c>
      <c r="E38" s="24" t="s">
        <v>63</v>
      </c>
      <c r="F38" s="25" t="s">
        <v>116</v>
      </c>
    </row>
    <row r="39" spans="2:6" ht="30" x14ac:dyDescent="0.25">
      <c r="B39" s="28" t="s">
        <v>553</v>
      </c>
      <c r="C39" s="28" t="s">
        <v>468</v>
      </c>
      <c r="D39" s="24" t="s">
        <v>230</v>
      </c>
      <c r="E39" s="24" t="s">
        <v>238</v>
      </c>
      <c r="F39" s="25" t="s">
        <v>117</v>
      </c>
    </row>
    <row r="40" spans="2:6" ht="30" x14ac:dyDescent="0.25">
      <c r="B40" s="28" t="s">
        <v>554</v>
      </c>
      <c r="C40" s="28" t="s">
        <v>468</v>
      </c>
      <c r="D40" s="24" t="s">
        <v>239</v>
      </c>
      <c r="E40" s="24" t="s">
        <v>63</v>
      </c>
      <c r="F40" s="25" t="s">
        <v>358</v>
      </c>
    </row>
    <row r="41" spans="2:6" x14ac:dyDescent="0.25">
      <c r="B41" s="6" t="s">
        <v>695</v>
      </c>
      <c r="C41" s="6" t="s">
        <v>704</v>
      </c>
      <c r="D41" s="24" t="s">
        <v>240</v>
      </c>
      <c r="E41" s="24" t="s">
        <v>241</v>
      </c>
      <c r="F41" s="25" t="s">
        <v>723</v>
      </c>
    </row>
    <row r="42" spans="2:6" x14ac:dyDescent="0.25">
      <c r="B42" s="6" t="s">
        <v>696</v>
      </c>
      <c r="C42" s="6" t="s">
        <v>696</v>
      </c>
      <c r="D42" s="24" t="s">
        <v>242</v>
      </c>
      <c r="E42" s="24" t="s">
        <v>63</v>
      </c>
      <c r="F42" s="25" t="s">
        <v>127</v>
      </c>
    </row>
    <row r="43" spans="2:6" x14ac:dyDescent="0.25">
      <c r="B43" s="6" t="s">
        <v>697</v>
      </c>
      <c r="C43" s="6" t="s">
        <v>697</v>
      </c>
      <c r="D43" s="24" t="s">
        <v>243</v>
      </c>
      <c r="E43" s="24" t="s">
        <v>244</v>
      </c>
      <c r="F43" s="25" t="s">
        <v>126</v>
      </c>
    </row>
    <row r="44" spans="2:6" x14ac:dyDescent="0.25">
      <c r="B44" s="39" t="s">
        <v>682</v>
      </c>
      <c r="C44" s="39" t="s">
        <v>682</v>
      </c>
      <c r="D44" s="24" t="s">
        <v>245</v>
      </c>
      <c r="E44" s="24" t="s">
        <v>246</v>
      </c>
      <c r="F44" s="25" t="s">
        <v>125</v>
      </c>
    </row>
    <row r="45" spans="2:6" ht="60" x14ac:dyDescent="0.25">
      <c r="B45" s="30" t="s">
        <v>550</v>
      </c>
      <c r="C45" s="37" t="s">
        <v>711</v>
      </c>
      <c r="D45" s="24" t="s">
        <v>247</v>
      </c>
      <c r="E45" s="24" t="s">
        <v>63</v>
      </c>
      <c r="F45" s="25" t="s">
        <v>128</v>
      </c>
    </row>
    <row r="46" spans="2:6" x14ac:dyDescent="0.25">
      <c r="B46" s="28" t="s">
        <v>718</v>
      </c>
      <c r="C46" s="25" t="s">
        <v>718</v>
      </c>
      <c r="D46" s="24" t="s">
        <v>248</v>
      </c>
      <c r="E46" s="24" t="s">
        <v>63</v>
      </c>
      <c r="F46" s="25" t="s">
        <v>129</v>
      </c>
    </row>
    <row r="47" spans="2:6" x14ac:dyDescent="0.25">
      <c r="B47" s="40" t="s">
        <v>741</v>
      </c>
      <c r="C47" s="41" t="s">
        <v>742</v>
      </c>
      <c r="D47" s="24" t="s">
        <v>249</v>
      </c>
      <c r="E47" s="24" t="s">
        <v>63</v>
      </c>
      <c r="F47" s="25" t="s">
        <v>130</v>
      </c>
    </row>
    <row r="48" spans="2:6" x14ac:dyDescent="0.25">
      <c r="B48" s="40" t="s">
        <v>743</v>
      </c>
      <c r="C48" s="41" t="s">
        <v>744</v>
      </c>
      <c r="D48" s="24" t="s">
        <v>250</v>
      </c>
      <c r="E48" s="24" t="s">
        <v>63</v>
      </c>
      <c r="F48" s="25" t="s">
        <v>131</v>
      </c>
    </row>
    <row r="49" spans="2:6" x14ac:dyDescent="0.25">
      <c r="B49" s="40" t="s">
        <v>745</v>
      </c>
      <c r="C49" s="41" t="s">
        <v>823</v>
      </c>
      <c r="D49" s="24" t="s">
        <v>251</v>
      </c>
      <c r="E49" s="24" t="s">
        <v>11</v>
      </c>
      <c r="F49" s="25" t="s">
        <v>132</v>
      </c>
    </row>
    <row r="50" spans="2:6" x14ac:dyDescent="0.25">
      <c r="B50" s="20" t="s">
        <v>746</v>
      </c>
      <c r="C50" s="41" t="s">
        <v>747</v>
      </c>
      <c r="D50" s="24" t="s">
        <v>252</v>
      </c>
      <c r="E50" s="24" t="s">
        <v>199</v>
      </c>
      <c r="F50" s="25" t="s">
        <v>133</v>
      </c>
    </row>
    <row r="51" spans="2:6" x14ac:dyDescent="0.25">
      <c r="B51" s="20" t="s">
        <v>748</v>
      </c>
      <c r="C51" s="41" t="s">
        <v>747</v>
      </c>
      <c r="D51" s="24" t="s">
        <v>253</v>
      </c>
      <c r="E51" s="24" t="s">
        <v>199</v>
      </c>
      <c r="F51" s="25" t="s">
        <v>134</v>
      </c>
    </row>
    <row r="52" spans="2:6" x14ac:dyDescent="0.25">
      <c r="B52" s="20" t="s">
        <v>749</v>
      </c>
      <c r="C52" s="41" t="s">
        <v>750</v>
      </c>
      <c r="D52" s="24" t="s">
        <v>254</v>
      </c>
      <c r="E52" s="24" t="s">
        <v>255</v>
      </c>
      <c r="F52" s="25" t="s">
        <v>135</v>
      </c>
    </row>
    <row r="53" spans="2:6" x14ac:dyDescent="0.25">
      <c r="B53" s="28" t="s">
        <v>800</v>
      </c>
      <c r="C53" s="24" t="s">
        <v>882</v>
      </c>
      <c r="D53" s="24" t="s">
        <v>256</v>
      </c>
      <c r="E53" s="24" t="s">
        <v>199</v>
      </c>
      <c r="F53" s="25" t="s">
        <v>136</v>
      </c>
    </row>
    <row r="54" spans="2:6" x14ac:dyDescent="0.25">
      <c r="B54" s="28" t="s">
        <v>801</v>
      </c>
      <c r="C54" s="24" t="s">
        <v>883</v>
      </c>
      <c r="D54" s="24" t="s">
        <v>257</v>
      </c>
      <c r="E54" s="24" t="s">
        <v>258</v>
      </c>
      <c r="F54" s="25" t="s">
        <v>137</v>
      </c>
    </row>
    <row r="55" spans="2:6" x14ac:dyDescent="0.25">
      <c r="B55" s="28" t="s">
        <v>802</v>
      </c>
      <c r="C55" s="24" t="s">
        <v>882</v>
      </c>
      <c r="D55" s="24" t="s">
        <v>259</v>
      </c>
      <c r="E55" s="24" t="s">
        <v>199</v>
      </c>
      <c r="F55" s="25" t="s">
        <v>138</v>
      </c>
    </row>
    <row r="56" spans="2:6" ht="60" x14ac:dyDescent="0.25">
      <c r="B56" s="28" t="s">
        <v>874</v>
      </c>
      <c r="C56" s="24" t="s">
        <v>884</v>
      </c>
      <c r="D56" s="66" t="s">
        <v>225</v>
      </c>
      <c r="E56" s="37" t="s">
        <v>1087</v>
      </c>
      <c r="F56" s="25" t="s">
        <v>139</v>
      </c>
    </row>
    <row r="57" spans="2:6" x14ac:dyDescent="0.25">
      <c r="B57" s="28" t="s">
        <v>804</v>
      </c>
      <c r="C57" s="24" t="s">
        <v>883</v>
      </c>
      <c r="D57" s="24" t="s">
        <v>201</v>
      </c>
      <c r="E57" s="24" t="s">
        <v>200</v>
      </c>
      <c r="F57" s="25" t="s">
        <v>876</v>
      </c>
    </row>
    <row r="58" spans="2:6" ht="30" x14ac:dyDescent="0.25">
      <c r="B58" s="28" t="s">
        <v>805</v>
      </c>
      <c r="C58" s="24" t="s">
        <v>882</v>
      </c>
      <c r="D58" s="24" t="s">
        <v>202</v>
      </c>
      <c r="E58" s="37" t="s">
        <v>304</v>
      </c>
      <c r="F58" s="25" t="s">
        <v>140</v>
      </c>
    </row>
    <row r="59" spans="2:6" ht="75" x14ac:dyDescent="0.25">
      <c r="B59" s="97" t="s">
        <v>891</v>
      </c>
      <c r="C59" s="98" t="s">
        <v>914</v>
      </c>
      <c r="D59" s="66" t="s">
        <v>260</v>
      </c>
      <c r="E59" s="37" t="s">
        <v>1073</v>
      </c>
      <c r="F59" s="25" t="s">
        <v>141</v>
      </c>
    </row>
    <row r="60" spans="2:6" ht="45" x14ac:dyDescent="0.25">
      <c r="B60" s="99" t="s">
        <v>892</v>
      </c>
      <c r="C60" s="100" t="s">
        <v>915</v>
      </c>
      <c r="D60" s="24" t="s">
        <v>261</v>
      </c>
      <c r="E60" s="37" t="s">
        <v>936</v>
      </c>
      <c r="F60" s="25" t="s">
        <v>142</v>
      </c>
    </row>
    <row r="61" spans="2:6" ht="30" x14ac:dyDescent="0.25">
      <c r="B61" s="97" t="s">
        <v>893</v>
      </c>
      <c r="C61" s="100" t="s">
        <v>916</v>
      </c>
      <c r="D61" s="24" t="s">
        <v>262</v>
      </c>
      <c r="E61" s="37" t="s">
        <v>304</v>
      </c>
      <c r="F61" s="25" t="s">
        <v>359</v>
      </c>
    </row>
    <row r="62" spans="2:6" ht="30" x14ac:dyDescent="0.25">
      <c r="B62" s="99" t="s">
        <v>894</v>
      </c>
      <c r="C62" s="100" t="s">
        <v>917</v>
      </c>
      <c r="D62" s="24" t="s">
        <v>263</v>
      </c>
      <c r="E62" s="24" t="s">
        <v>63</v>
      </c>
      <c r="F62" s="25" t="s">
        <v>143</v>
      </c>
    </row>
    <row r="63" spans="2:6" x14ac:dyDescent="0.25">
      <c r="B63" s="99" t="s">
        <v>895</v>
      </c>
      <c r="C63" s="98" t="s">
        <v>918</v>
      </c>
      <c r="D63" s="112" t="s">
        <v>264</v>
      </c>
      <c r="E63" s="37" t="s">
        <v>199</v>
      </c>
      <c r="F63" s="25" t="s">
        <v>144</v>
      </c>
    </row>
    <row r="64" spans="2:6" x14ac:dyDescent="0.25">
      <c r="B64" s="105" t="s">
        <v>937</v>
      </c>
      <c r="C64" s="106" t="s">
        <v>941</v>
      </c>
      <c r="D64" s="24" t="s">
        <v>226</v>
      </c>
      <c r="E64" s="24" t="s">
        <v>63</v>
      </c>
      <c r="F64" s="25" t="s">
        <v>145</v>
      </c>
    </row>
    <row r="65" spans="2:6" x14ac:dyDescent="0.25">
      <c r="B65" s="105" t="s">
        <v>938</v>
      </c>
      <c r="C65" s="106" t="s">
        <v>942</v>
      </c>
      <c r="D65" s="24" t="s">
        <v>265</v>
      </c>
      <c r="E65" s="24" t="s">
        <v>1065</v>
      </c>
      <c r="F65" s="25" t="s">
        <v>146</v>
      </c>
    </row>
    <row r="66" spans="2:6" ht="30" x14ac:dyDescent="0.25">
      <c r="B66" s="107" t="s">
        <v>939</v>
      </c>
      <c r="C66" s="108" t="s">
        <v>943</v>
      </c>
      <c r="D66" s="24" t="s">
        <v>266</v>
      </c>
      <c r="E66" s="24" t="s">
        <v>199</v>
      </c>
      <c r="F66" s="25" t="s">
        <v>147</v>
      </c>
    </row>
    <row r="67" spans="2:6" x14ac:dyDescent="0.25">
      <c r="B67" s="109" t="s">
        <v>940</v>
      </c>
      <c r="C67" s="108" t="s">
        <v>999</v>
      </c>
      <c r="D67" s="24" t="s">
        <v>227</v>
      </c>
      <c r="E67" s="24" t="s">
        <v>267</v>
      </c>
      <c r="F67" s="25" t="s">
        <v>148</v>
      </c>
    </row>
    <row r="68" spans="2:6" ht="30" x14ac:dyDescent="0.25">
      <c r="B68" s="107" t="s">
        <v>965</v>
      </c>
      <c r="C68" s="108" t="s">
        <v>971</v>
      </c>
      <c r="D68" s="24" t="s">
        <v>268</v>
      </c>
      <c r="E68" s="24" t="s">
        <v>63</v>
      </c>
      <c r="F68" s="25" t="s">
        <v>149</v>
      </c>
    </row>
    <row r="69" spans="2:6" x14ac:dyDescent="0.25">
      <c r="B69" s="28" t="s">
        <v>838</v>
      </c>
      <c r="C69" s="106" t="s">
        <v>972</v>
      </c>
      <c r="D69" s="24" t="s">
        <v>269</v>
      </c>
      <c r="E69" s="24" t="s">
        <v>1071</v>
      </c>
      <c r="F69" s="25" t="s">
        <v>160</v>
      </c>
    </row>
    <row r="70" spans="2:6" ht="30" x14ac:dyDescent="0.25">
      <c r="B70" s="37" t="s">
        <v>979</v>
      </c>
      <c r="C70" s="108" t="s">
        <v>1002</v>
      </c>
      <c r="D70" s="24" t="s">
        <v>270</v>
      </c>
      <c r="E70" s="24" t="s">
        <v>63</v>
      </c>
      <c r="F70" s="25" t="s">
        <v>150</v>
      </c>
    </row>
    <row r="71" spans="2:6" ht="30" x14ac:dyDescent="0.25">
      <c r="B71" s="37" t="s">
        <v>980</v>
      </c>
      <c r="C71" s="108" t="s">
        <v>982</v>
      </c>
      <c r="D71" s="112" t="s">
        <v>305</v>
      </c>
      <c r="E71" s="37" t="s">
        <v>304</v>
      </c>
      <c r="F71" s="25" t="s">
        <v>151</v>
      </c>
    </row>
    <row r="72" spans="2:6" x14ac:dyDescent="0.25">
      <c r="B72" s="62" t="s">
        <v>995</v>
      </c>
      <c r="C72" s="24" t="s">
        <v>997</v>
      </c>
      <c r="D72" s="112" t="s">
        <v>314</v>
      </c>
      <c r="E72" s="37" t="s">
        <v>63</v>
      </c>
      <c r="F72" s="25" t="s">
        <v>152</v>
      </c>
    </row>
    <row r="73" spans="2:6" ht="30" x14ac:dyDescent="0.25">
      <c r="B73" s="37" t="s">
        <v>1011</v>
      </c>
      <c r="C73" s="108" t="s">
        <v>1015</v>
      </c>
      <c r="D73" s="24" t="s">
        <v>315</v>
      </c>
      <c r="E73" s="24" t="s">
        <v>316</v>
      </c>
      <c r="F73" s="25" t="s">
        <v>153</v>
      </c>
    </row>
    <row r="74" spans="2:6" x14ac:dyDescent="0.25">
      <c r="B74" s="28" t="s">
        <v>1016</v>
      </c>
      <c r="C74" s="108" t="s">
        <v>999</v>
      </c>
      <c r="D74" s="24" t="s">
        <v>317</v>
      </c>
      <c r="E74" s="24" t="s">
        <v>318</v>
      </c>
      <c r="F74" s="25" t="s">
        <v>154</v>
      </c>
    </row>
    <row r="75" spans="2:6" ht="30" x14ac:dyDescent="0.25">
      <c r="B75" s="28" t="s">
        <v>1018</v>
      </c>
      <c r="C75" s="24" t="s">
        <v>516</v>
      </c>
      <c r="D75" s="24" t="s">
        <v>319</v>
      </c>
      <c r="E75" s="24" t="s">
        <v>320</v>
      </c>
      <c r="F75" s="25" t="s">
        <v>155</v>
      </c>
    </row>
    <row r="76" spans="2:6" x14ac:dyDescent="0.25">
      <c r="B76" s="50" t="s">
        <v>1020</v>
      </c>
      <c r="C76" s="24" t="s">
        <v>516</v>
      </c>
      <c r="D76" s="24" t="s">
        <v>201</v>
      </c>
      <c r="E76" s="24" t="s">
        <v>200</v>
      </c>
      <c r="F76" s="25" t="s">
        <v>360</v>
      </c>
    </row>
    <row r="77" spans="2:6" x14ac:dyDescent="0.25">
      <c r="B77" s="50" t="s">
        <v>1021</v>
      </c>
      <c r="C77" s="24" t="s">
        <v>516</v>
      </c>
      <c r="D77" s="24" t="s">
        <v>321</v>
      </c>
      <c r="E77" s="24" t="s">
        <v>322</v>
      </c>
      <c r="F77" s="25" t="s">
        <v>361</v>
      </c>
    </row>
    <row r="78" spans="2:6" x14ac:dyDescent="0.25">
      <c r="B78" s="50" t="s">
        <v>1022</v>
      </c>
      <c r="C78" s="24" t="s">
        <v>516</v>
      </c>
      <c r="D78" s="24" t="s">
        <v>323</v>
      </c>
      <c r="E78" s="24" t="s">
        <v>732</v>
      </c>
      <c r="F78" s="25" t="s">
        <v>156</v>
      </c>
    </row>
    <row r="79" spans="2:6" x14ac:dyDescent="0.25">
      <c r="B79" s="50" t="s">
        <v>1023</v>
      </c>
      <c r="C79" s="24" t="s">
        <v>516</v>
      </c>
      <c r="D79" s="24" t="s">
        <v>324</v>
      </c>
      <c r="E79" s="24" t="s">
        <v>734</v>
      </c>
      <c r="F79" s="25" t="s">
        <v>157</v>
      </c>
    </row>
    <row r="80" spans="2:6" x14ac:dyDescent="0.25">
      <c r="B80" s="103" t="s">
        <v>1031</v>
      </c>
      <c r="C80" s="24" t="s">
        <v>1030</v>
      </c>
      <c r="D80" s="24" t="s">
        <v>325</v>
      </c>
      <c r="E80" s="24" t="s">
        <v>63</v>
      </c>
      <c r="F80" s="25" t="s">
        <v>350</v>
      </c>
    </row>
    <row r="81" spans="2:6" ht="30" x14ac:dyDescent="0.25">
      <c r="B81" s="147" t="s">
        <v>1032</v>
      </c>
      <c r="C81" s="24" t="s">
        <v>1033</v>
      </c>
      <c r="D81" s="24" t="s">
        <v>356</v>
      </c>
      <c r="E81" s="37" t="s">
        <v>357</v>
      </c>
      <c r="F81" s="25" t="s">
        <v>159</v>
      </c>
    </row>
    <row r="82" spans="2:6" ht="30" x14ac:dyDescent="0.25">
      <c r="B82" s="37" t="s">
        <v>1035</v>
      </c>
      <c r="C82" s="24" t="s">
        <v>1051</v>
      </c>
      <c r="D82" s="24" t="s">
        <v>502</v>
      </c>
      <c r="E82" s="24" t="s">
        <v>526</v>
      </c>
      <c r="F82" s="25" t="s">
        <v>246</v>
      </c>
    </row>
    <row r="83" spans="2:6" ht="30" x14ac:dyDescent="0.25">
      <c r="B83" s="28" t="s">
        <v>1043</v>
      </c>
      <c r="C83" s="39" t="s">
        <v>1052</v>
      </c>
      <c r="D83" s="24" t="s">
        <v>542</v>
      </c>
      <c r="E83" s="24" t="s">
        <v>543</v>
      </c>
      <c r="F83" s="25" t="s">
        <v>362</v>
      </c>
    </row>
    <row r="84" spans="2:6" ht="15.75" thickBot="1" x14ac:dyDescent="0.3">
      <c r="B84" s="156" t="s">
        <v>1058</v>
      </c>
      <c r="C84" s="40" t="s">
        <v>1059</v>
      </c>
      <c r="D84" s="24" t="s">
        <v>556</v>
      </c>
      <c r="E84" s="24" t="s">
        <v>713</v>
      </c>
      <c r="F84" s="25" t="s">
        <v>363</v>
      </c>
    </row>
    <row r="85" spans="2:6" x14ac:dyDescent="0.25">
      <c r="B85" s="28" t="s">
        <v>1099</v>
      </c>
      <c r="C85" s="39" t="s">
        <v>1096</v>
      </c>
      <c r="D85" s="24" t="s">
        <v>557</v>
      </c>
      <c r="E85" s="24" t="s">
        <v>693</v>
      </c>
      <c r="F85" s="25" t="s">
        <v>729</v>
      </c>
    </row>
    <row r="86" spans="2:6" x14ac:dyDescent="0.25">
      <c r="B86" s="28" t="s">
        <v>1100</v>
      </c>
      <c r="C86" s="39" t="s">
        <v>1096</v>
      </c>
      <c r="D86" s="24" t="s">
        <v>567</v>
      </c>
      <c r="E86" s="24" t="s">
        <v>568</v>
      </c>
      <c r="F86" s="25" t="s">
        <v>120</v>
      </c>
    </row>
    <row r="87" spans="2:6" x14ac:dyDescent="0.25">
      <c r="B87" s="28" t="s">
        <v>1101</v>
      </c>
      <c r="C87" s="39" t="s">
        <v>1096</v>
      </c>
      <c r="D87" s="24" t="s">
        <v>569</v>
      </c>
      <c r="E87" s="24" t="s">
        <v>570</v>
      </c>
      <c r="F87" s="25" t="s">
        <v>364</v>
      </c>
    </row>
    <row r="88" spans="2:6" x14ac:dyDescent="0.25">
      <c r="B88" s="28" t="s">
        <v>1102</v>
      </c>
      <c r="C88" s="39" t="s">
        <v>1096</v>
      </c>
      <c r="D88" s="24" t="s">
        <v>566</v>
      </c>
      <c r="E88" s="24" t="s">
        <v>703</v>
      </c>
      <c r="F88" s="25" t="s">
        <v>121</v>
      </c>
    </row>
    <row r="89" spans="2:6" x14ac:dyDescent="0.25">
      <c r="B89" s="50" t="s">
        <v>1108</v>
      </c>
      <c r="C89" s="24" t="s">
        <v>1106</v>
      </c>
      <c r="D89" s="24" t="s">
        <v>571</v>
      </c>
      <c r="E89" s="24" t="s">
        <v>572</v>
      </c>
      <c r="F89" s="25" t="s">
        <v>721</v>
      </c>
    </row>
    <row r="90" spans="2:6" x14ac:dyDescent="0.25">
      <c r="B90" s="50" t="s">
        <v>1107</v>
      </c>
      <c r="C90" s="24" t="s">
        <v>997</v>
      </c>
      <c r="D90" s="24" t="s">
        <v>573</v>
      </c>
      <c r="E90" s="24" t="s">
        <v>574</v>
      </c>
      <c r="F90" s="25" t="s">
        <v>813</v>
      </c>
    </row>
    <row r="91" spans="2:6" x14ac:dyDescent="0.25">
      <c r="B91" s="28" t="s">
        <v>1109</v>
      </c>
      <c r="C91" s="24" t="s">
        <v>1110</v>
      </c>
      <c r="D91" s="24" t="s">
        <v>575</v>
      </c>
      <c r="E91" s="24" t="s">
        <v>568</v>
      </c>
      <c r="F91" s="25" t="s">
        <v>365</v>
      </c>
    </row>
    <row r="92" spans="2:6" x14ac:dyDescent="0.25">
      <c r="B92" s="51" t="s">
        <v>1180</v>
      </c>
      <c r="C92" s="24" t="s">
        <v>1204</v>
      </c>
      <c r="D92" s="24" t="s">
        <v>565</v>
      </c>
      <c r="E92" s="24" t="s">
        <v>622</v>
      </c>
      <c r="F92" s="25" t="s">
        <v>366</v>
      </c>
    </row>
    <row r="93" spans="2:6" x14ac:dyDescent="0.25">
      <c r="B93" s="51" t="s">
        <v>1181</v>
      </c>
      <c r="D93" s="24" t="s">
        <v>575</v>
      </c>
      <c r="E93" s="24" t="s">
        <v>570</v>
      </c>
      <c r="F93" s="25" t="s">
        <v>367</v>
      </c>
    </row>
    <row r="94" spans="2:6" x14ac:dyDescent="0.25">
      <c r="B94" s="51" t="s">
        <v>1182</v>
      </c>
      <c r="D94" s="24" t="s">
        <v>677</v>
      </c>
      <c r="E94" s="24" t="s">
        <v>63</v>
      </c>
      <c r="F94" s="25" t="s">
        <v>379</v>
      </c>
    </row>
    <row r="95" spans="2:6" x14ac:dyDescent="0.25">
      <c r="B95" s="28" t="s">
        <v>311</v>
      </c>
      <c r="C95" s="39" t="s">
        <v>1190</v>
      </c>
      <c r="D95" s="24" t="s">
        <v>679</v>
      </c>
      <c r="E95" s="24" t="s">
        <v>63</v>
      </c>
      <c r="F95" s="25" t="s">
        <v>368</v>
      </c>
    </row>
    <row r="96" spans="2:6" x14ac:dyDescent="0.25">
      <c r="B96" s="37" t="s">
        <v>1212</v>
      </c>
      <c r="C96" s="24" t="s">
        <v>1305</v>
      </c>
      <c r="D96" s="24" t="s">
        <v>682</v>
      </c>
      <c r="E96" s="24" t="s">
        <v>687</v>
      </c>
      <c r="F96" s="25" t="s">
        <v>369</v>
      </c>
    </row>
    <row r="97" spans="2:6" x14ac:dyDescent="0.25">
      <c r="B97" s="51" t="s">
        <v>1278</v>
      </c>
      <c r="C97" s="108" t="s">
        <v>1291</v>
      </c>
      <c r="D97" s="25" t="s">
        <v>695</v>
      </c>
      <c r="E97" s="25" t="s">
        <v>63</v>
      </c>
      <c r="F97" s="25" t="s">
        <v>370</v>
      </c>
    </row>
    <row r="98" spans="2:6" x14ac:dyDescent="0.25">
      <c r="B98" s="51" t="s">
        <v>1296</v>
      </c>
      <c r="C98" s="24" t="s">
        <v>1298</v>
      </c>
      <c r="D98" s="25" t="s">
        <v>696</v>
      </c>
      <c r="E98" s="25" t="s">
        <v>63</v>
      </c>
      <c r="F98" s="25" t="s">
        <v>371</v>
      </c>
    </row>
    <row r="99" spans="2:6" ht="30" x14ac:dyDescent="0.25">
      <c r="B99" s="28" t="s">
        <v>1303</v>
      </c>
      <c r="C99" s="25" t="s">
        <v>1303</v>
      </c>
      <c r="D99" s="25" t="s">
        <v>697</v>
      </c>
      <c r="E99" s="25" t="s">
        <v>63</v>
      </c>
      <c r="F99" s="25" t="s">
        <v>455</v>
      </c>
    </row>
    <row r="100" spans="2:6" x14ac:dyDescent="0.25">
      <c r="B100" s="28" t="s">
        <v>1318</v>
      </c>
      <c r="C100" s="24" t="s">
        <v>1320</v>
      </c>
      <c r="D100" s="24" t="s">
        <v>682</v>
      </c>
      <c r="E100" s="24" t="s">
        <v>687</v>
      </c>
      <c r="F100" s="25" t="s">
        <v>372</v>
      </c>
    </row>
    <row r="101" spans="2:6" ht="30" x14ac:dyDescent="0.25">
      <c r="B101" s="47" t="s">
        <v>1323</v>
      </c>
      <c r="C101" s="24" t="s">
        <v>1324</v>
      </c>
      <c r="D101" s="24" t="s">
        <v>702</v>
      </c>
      <c r="E101" s="25" t="s">
        <v>63</v>
      </c>
      <c r="F101" s="25" t="s">
        <v>373</v>
      </c>
    </row>
    <row r="102" spans="2:6" x14ac:dyDescent="0.25">
      <c r="B102" s="28" t="s">
        <v>1332</v>
      </c>
      <c r="C102" s="41" t="s">
        <v>1333</v>
      </c>
      <c r="D102" s="24" t="s">
        <v>710</v>
      </c>
      <c r="E102" s="24" t="s">
        <v>63</v>
      </c>
      <c r="F102" s="25" t="s">
        <v>374</v>
      </c>
    </row>
    <row r="103" spans="2:6" x14ac:dyDescent="0.25">
      <c r="C103" s="24"/>
      <c r="D103" s="24" t="s">
        <v>718</v>
      </c>
      <c r="E103" s="24" t="s">
        <v>63</v>
      </c>
      <c r="F103" s="25" t="s">
        <v>375</v>
      </c>
    </row>
    <row r="104" spans="2:6" x14ac:dyDescent="0.25">
      <c r="D104" s="23" t="s">
        <v>751</v>
      </c>
      <c r="E104" s="25" t="s">
        <v>752</v>
      </c>
      <c r="F104" s="25" t="s">
        <v>376</v>
      </c>
    </row>
    <row r="105" spans="2:6" x14ac:dyDescent="0.25">
      <c r="D105" s="41" t="s">
        <v>753</v>
      </c>
      <c r="E105" s="25" t="s">
        <v>63</v>
      </c>
      <c r="F105" s="25" t="s">
        <v>377</v>
      </c>
    </row>
    <row r="106" spans="2:6" x14ac:dyDescent="0.25">
      <c r="D106" s="23" t="s">
        <v>754</v>
      </c>
      <c r="E106" s="24" t="s">
        <v>755</v>
      </c>
      <c r="F106" s="25" t="s">
        <v>724</v>
      </c>
    </row>
    <row r="107" spans="2:6" x14ac:dyDescent="0.25">
      <c r="D107" s="23" t="s">
        <v>745</v>
      </c>
      <c r="E107" s="41" t="s">
        <v>756</v>
      </c>
      <c r="F107" s="25" t="s">
        <v>378</v>
      </c>
    </row>
    <row r="108" spans="2:6" x14ac:dyDescent="0.25">
      <c r="D108" s="23" t="s">
        <v>757</v>
      </c>
      <c r="E108" s="24" t="s">
        <v>63</v>
      </c>
      <c r="F108" s="25" t="s">
        <v>380</v>
      </c>
    </row>
    <row r="109" spans="2:6" x14ac:dyDescent="0.25">
      <c r="D109" s="41" t="s">
        <v>758</v>
      </c>
      <c r="E109" s="24" t="s">
        <v>759</v>
      </c>
      <c r="F109" s="25" t="s">
        <v>381</v>
      </c>
    </row>
    <row r="110" spans="2:6" x14ac:dyDescent="0.25">
      <c r="D110" s="23" t="s">
        <v>760</v>
      </c>
      <c r="E110" s="25" t="s">
        <v>752</v>
      </c>
      <c r="F110" s="25" t="s">
        <v>382</v>
      </c>
    </row>
    <row r="111" spans="2:6" x14ac:dyDescent="0.25">
      <c r="D111" s="23" t="s">
        <v>761</v>
      </c>
      <c r="E111" s="41" t="s">
        <v>762</v>
      </c>
      <c r="F111" s="25" t="s">
        <v>383</v>
      </c>
    </row>
    <row r="112" spans="2:6" x14ac:dyDescent="0.25">
      <c r="D112" s="23" t="s">
        <v>763</v>
      </c>
      <c r="E112" s="41" t="s">
        <v>762</v>
      </c>
      <c r="F112" s="25" t="s">
        <v>384</v>
      </c>
    </row>
    <row r="113" spans="4:6" x14ac:dyDescent="0.25">
      <c r="D113" s="101" t="s">
        <v>836</v>
      </c>
      <c r="E113" s="98" t="s">
        <v>11</v>
      </c>
      <c r="F113" s="25" t="s">
        <v>385</v>
      </c>
    </row>
    <row r="114" spans="4:6" x14ac:dyDescent="0.25">
      <c r="D114" s="101" t="s">
        <v>837</v>
      </c>
      <c r="E114" s="98" t="s">
        <v>11</v>
      </c>
      <c r="F114" s="25" t="s">
        <v>386</v>
      </c>
    </row>
    <row r="115" spans="4:6" x14ac:dyDescent="0.25">
      <c r="D115" s="98" t="s">
        <v>854</v>
      </c>
      <c r="E115" s="98" t="s">
        <v>63</v>
      </c>
      <c r="F115" s="25" t="s">
        <v>387</v>
      </c>
    </row>
    <row r="116" spans="4:6" x14ac:dyDescent="0.25">
      <c r="D116" s="98" t="s">
        <v>855</v>
      </c>
      <c r="E116" s="98" t="s">
        <v>856</v>
      </c>
      <c r="F116" s="25" t="s">
        <v>388</v>
      </c>
    </row>
    <row r="117" spans="4:6" x14ac:dyDescent="0.25">
      <c r="D117" s="98" t="s">
        <v>857</v>
      </c>
      <c r="E117" s="98" t="s">
        <v>99</v>
      </c>
      <c r="F117" s="25" t="s">
        <v>271</v>
      </c>
    </row>
    <row r="118" spans="4:6" ht="45" x14ac:dyDescent="0.25">
      <c r="D118" s="66" t="s">
        <v>919</v>
      </c>
      <c r="E118" s="37" t="s">
        <v>920</v>
      </c>
      <c r="F118" s="25" t="s">
        <v>272</v>
      </c>
    </row>
    <row r="119" spans="4:6" ht="45" x14ac:dyDescent="0.25">
      <c r="D119" s="98" t="s">
        <v>921</v>
      </c>
      <c r="E119" s="37" t="s">
        <v>922</v>
      </c>
      <c r="F119" s="25" t="s">
        <v>273</v>
      </c>
    </row>
    <row r="120" spans="4:6" x14ac:dyDescent="0.25">
      <c r="D120" s="98" t="s">
        <v>923</v>
      </c>
      <c r="E120" s="98" t="s">
        <v>99</v>
      </c>
      <c r="F120" s="25" t="s">
        <v>274</v>
      </c>
    </row>
    <row r="121" spans="4:6" x14ac:dyDescent="0.25">
      <c r="D121" s="98" t="s">
        <v>924</v>
      </c>
      <c r="E121" s="98" t="s">
        <v>856</v>
      </c>
      <c r="F121" s="25" t="s">
        <v>275</v>
      </c>
    </row>
    <row r="122" spans="4:6" x14ac:dyDescent="0.25">
      <c r="D122" s="101" t="s">
        <v>925</v>
      </c>
      <c r="E122" s="98" t="s">
        <v>336</v>
      </c>
      <c r="F122" s="25" t="s">
        <v>276</v>
      </c>
    </row>
    <row r="123" spans="4:6" x14ac:dyDescent="0.25">
      <c r="D123" s="101" t="s">
        <v>926</v>
      </c>
      <c r="E123" s="98" t="s">
        <v>927</v>
      </c>
      <c r="F123" s="25" t="s">
        <v>233</v>
      </c>
    </row>
    <row r="124" spans="4:6" x14ac:dyDescent="0.25">
      <c r="D124" s="101" t="s">
        <v>928</v>
      </c>
      <c r="E124" s="98" t="s">
        <v>722</v>
      </c>
      <c r="F124" s="25" t="s">
        <v>277</v>
      </c>
    </row>
    <row r="125" spans="4:6" x14ac:dyDescent="0.25">
      <c r="D125" s="98" t="s">
        <v>929</v>
      </c>
      <c r="E125" s="98" t="s">
        <v>930</v>
      </c>
      <c r="F125" s="25" t="s">
        <v>278</v>
      </c>
    </row>
    <row r="126" spans="4:6" x14ac:dyDescent="0.25">
      <c r="D126" s="101" t="s">
        <v>931</v>
      </c>
      <c r="E126" s="98" t="s">
        <v>1061</v>
      </c>
      <c r="F126" s="25" t="s">
        <v>279</v>
      </c>
    </row>
    <row r="127" spans="4:6" x14ac:dyDescent="0.25">
      <c r="D127" s="98" t="s">
        <v>932</v>
      </c>
      <c r="E127" s="98" t="s">
        <v>63</v>
      </c>
      <c r="F127" s="25" t="s">
        <v>280</v>
      </c>
    </row>
    <row r="128" spans="4:6" x14ac:dyDescent="0.25">
      <c r="D128" s="24" t="s">
        <v>861</v>
      </c>
      <c r="E128" s="24" t="s">
        <v>810</v>
      </c>
      <c r="F128" s="25" t="s">
        <v>281</v>
      </c>
    </row>
    <row r="129" spans="4:6" x14ac:dyDescent="0.25">
      <c r="D129" s="24" t="s">
        <v>860</v>
      </c>
      <c r="E129" s="24" t="s">
        <v>330</v>
      </c>
      <c r="F129" s="25" t="s">
        <v>282</v>
      </c>
    </row>
    <row r="130" spans="4:6" x14ac:dyDescent="0.25">
      <c r="D130" s="24" t="s">
        <v>873</v>
      </c>
      <c r="E130" s="24" t="s">
        <v>329</v>
      </c>
      <c r="F130" s="25" t="s">
        <v>283</v>
      </c>
    </row>
    <row r="131" spans="4:6" x14ac:dyDescent="0.25">
      <c r="D131" s="24" t="s">
        <v>878</v>
      </c>
      <c r="E131" s="24" t="s">
        <v>63</v>
      </c>
      <c r="F131" s="25" t="s">
        <v>284</v>
      </c>
    </row>
    <row r="132" spans="4:6" x14ac:dyDescent="0.25">
      <c r="D132" s="24" t="s">
        <v>879</v>
      </c>
      <c r="E132" s="24" t="s">
        <v>722</v>
      </c>
      <c r="F132" s="25" t="s">
        <v>285</v>
      </c>
    </row>
    <row r="133" spans="4:6" x14ac:dyDescent="0.25">
      <c r="D133" s="24" t="s">
        <v>880</v>
      </c>
      <c r="E133" s="24" t="s">
        <v>336</v>
      </c>
      <c r="F133" s="25" t="s">
        <v>199</v>
      </c>
    </row>
    <row r="134" spans="4:6" x14ac:dyDescent="0.25">
      <c r="D134" s="24" t="s">
        <v>881</v>
      </c>
      <c r="E134" s="24" t="s">
        <v>815</v>
      </c>
      <c r="F134" s="25" t="s">
        <v>0</v>
      </c>
    </row>
    <row r="135" spans="4:6" x14ac:dyDescent="0.25">
      <c r="D135" s="24" t="s">
        <v>881</v>
      </c>
      <c r="E135" s="24" t="s">
        <v>815</v>
      </c>
      <c r="F135" s="25" t="s">
        <v>847</v>
      </c>
    </row>
    <row r="136" spans="4:6" x14ac:dyDescent="0.25">
      <c r="D136" s="108" t="s">
        <v>944</v>
      </c>
      <c r="E136" s="108" t="s">
        <v>1005</v>
      </c>
      <c r="F136" s="25" t="s">
        <v>848</v>
      </c>
    </row>
    <row r="137" spans="4:6" x14ac:dyDescent="0.25">
      <c r="D137" s="51" t="s">
        <v>945</v>
      </c>
      <c r="E137" s="108" t="s">
        <v>1014</v>
      </c>
      <c r="F137" s="25" t="s">
        <v>849</v>
      </c>
    </row>
    <row r="138" spans="4:6" x14ac:dyDescent="0.25">
      <c r="D138" s="24" t="s">
        <v>946</v>
      </c>
      <c r="E138" s="108" t="s">
        <v>1005</v>
      </c>
      <c r="F138" s="25" t="s">
        <v>850</v>
      </c>
    </row>
    <row r="139" spans="4:6" x14ac:dyDescent="0.25">
      <c r="D139" s="101" t="s">
        <v>836</v>
      </c>
      <c r="E139" s="98" t="s">
        <v>11</v>
      </c>
      <c r="F139" s="25" t="s">
        <v>200</v>
      </c>
    </row>
    <row r="140" spans="4:6" x14ac:dyDescent="0.25">
      <c r="D140" s="108" t="s">
        <v>939</v>
      </c>
      <c r="E140" s="108" t="s">
        <v>1080</v>
      </c>
      <c r="F140" s="25" t="s">
        <v>203</v>
      </c>
    </row>
    <row r="141" spans="4:6" x14ac:dyDescent="0.25">
      <c r="D141" s="106" t="s">
        <v>947</v>
      </c>
      <c r="E141" s="108" t="s">
        <v>948</v>
      </c>
      <c r="F141" s="25" t="s">
        <v>303</v>
      </c>
    </row>
    <row r="142" spans="4:6" x14ac:dyDescent="0.25">
      <c r="D142" s="51" t="s">
        <v>937</v>
      </c>
      <c r="E142" s="108" t="s">
        <v>63</v>
      </c>
      <c r="F142" s="25" t="s">
        <v>289</v>
      </c>
    </row>
    <row r="143" spans="4:6" x14ac:dyDescent="0.25">
      <c r="D143" s="105" t="s">
        <v>938</v>
      </c>
      <c r="E143" s="108" t="s">
        <v>246</v>
      </c>
      <c r="F143" s="25" t="s">
        <v>287</v>
      </c>
    </row>
    <row r="144" spans="4:6" x14ac:dyDescent="0.25">
      <c r="D144" s="24" t="s">
        <v>968</v>
      </c>
      <c r="E144" s="24" t="s">
        <v>969</v>
      </c>
      <c r="F144" s="25" t="s">
        <v>197</v>
      </c>
    </row>
    <row r="145" spans="4:6" x14ac:dyDescent="0.25">
      <c r="D145" s="24" t="s">
        <v>996</v>
      </c>
      <c r="E145" s="37" t="s">
        <v>199</v>
      </c>
      <c r="F145" s="25" t="s">
        <v>933</v>
      </c>
    </row>
    <row r="146" spans="4:6" x14ac:dyDescent="0.25">
      <c r="D146" s="24" t="s">
        <v>1001</v>
      </c>
      <c r="E146" s="108" t="s">
        <v>1000</v>
      </c>
      <c r="F146" s="25" t="s">
        <v>934</v>
      </c>
    </row>
    <row r="147" spans="4:6" x14ac:dyDescent="0.25">
      <c r="D147" s="24" t="s">
        <v>1029</v>
      </c>
      <c r="E147" s="24" t="s">
        <v>199</v>
      </c>
      <c r="F147" s="25" t="s">
        <v>288</v>
      </c>
    </row>
    <row r="148" spans="4:6" x14ac:dyDescent="0.25">
      <c r="D148" s="24" t="s">
        <v>1032</v>
      </c>
      <c r="E148" s="24" t="s">
        <v>63</v>
      </c>
      <c r="F148" s="25" t="s">
        <v>286</v>
      </c>
    </row>
    <row r="149" spans="4:6" x14ac:dyDescent="0.25">
      <c r="D149" s="24" t="s">
        <v>1036</v>
      </c>
      <c r="E149" s="24" t="s">
        <v>199</v>
      </c>
      <c r="F149" s="25" t="s">
        <v>196</v>
      </c>
    </row>
    <row r="150" spans="4:6" ht="30" x14ac:dyDescent="0.25">
      <c r="D150" s="24" t="s">
        <v>1053</v>
      </c>
      <c r="E150" s="37" t="s">
        <v>1054</v>
      </c>
      <c r="F150" s="25" t="s">
        <v>290</v>
      </c>
    </row>
    <row r="151" spans="4:6" x14ac:dyDescent="0.25">
      <c r="D151" s="24" t="s">
        <v>1075</v>
      </c>
      <c r="E151" s="24" t="s">
        <v>63</v>
      </c>
      <c r="F151" s="25" t="s">
        <v>1066</v>
      </c>
    </row>
    <row r="152" spans="4:6" x14ac:dyDescent="0.25">
      <c r="D152" s="24" t="s">
        <v>1058</v>
      </c>
      <c r="E152" s="24" t="s">
        <v>1092</v>
      </c>
      <c r="F152" s="25" t="s">
        <v>1067</v>
      </c>
    </row>
    <row r="153" spans="4:6" x14ac:dyDescent="0.25">
      <c r="D153" s="24" t="s">
        <v>1112</v>
      </c>
      <c r="E153" s="24" t="s">
        <v>199</v>
      </c>
      <c r="F153" s="25" t="s">
        <v>291</v>
      </c>
    </row>
    <row r="154" spans="4:6" ht="30" x14ac:dyDescent="0.25">
      <c r="D154" s="24" t="s">
        <v>1114</v>
      </c>
      <c r="E154" s="37" t="s">
        <v>304</v>
      </c>
      <c r="F154" s="25" t="s">
        <v>1040</v>
      </c>
    </row>
    <row r="155" spans="4:6" x14ac:dyDescent="0.25">
      <c r="D155" s="24" t="s">
        <v>1198</v>
      </c>
      <c r="E155" s="24" t="s">
        <v>1201</v>
      </c>
      <c r="F155" s="25" t="s">
        <v>1041</v>
      </c>
    </row>
    <row r="156" spans="4:6" x14ac:dyDescent="0.25">
      <c r="D156" s="25" t="s">
        <v>1211</v>
      </c>
      <c r="E156" s="24" t="s">
        <v>1388</v>
      </c>
      <c r="F156" s="25" t="s">
        <v>389</v>
      </c>
    </row>
    <row r="157" spans="4:6" x14ac:dyDescent="0.25">
      <c r="D157" s="24" t="s">
        <v>1275</v>
      </c>
      <c r="E157" s="24" t="s">
        <v>1307</v>
      </c>
      <c r="F157" s="25" t="s">
        <v>390</v>
      </c>
    </row>
    <row r="158" spans="4:6" x14ac:dyDescent="0.25">
      <c r="D158" s="51" t="s">
        <v>1278</v>
      </c>
      <c r="E158" s="24" t="s">
        <v>1293</v>
      </c>
      <c r="F158" s="25" t="s">
        <v>391</v>
      </c>
    </row>
    <row r="159" spans="4:6" x14ac:dyDescent="0.25">
      <c r="D159" s="24" t="s">
        <v>1289</v>
      </c>
      <c r="E159" s="24" t="s">
        <v>1293</v>
      </c>
      <c r="F159" s="25" t="s">
        <v>198</v>
      </c>
    </row>
    <row r="160" spans="4:6" x14ac:dyDescent="0.25">
      <c r="D160" s="24" t="s">
        <v>1290</v>
      </c>
      <c r="E160" s="24" t="s">
        <v>1293</v>
      </c>
      <c r="F160" s="25" t="s">
        <v>392</v>
      </c>
    </row>
    <row r="161" spans="4:6" x14ac:dyDescent="0.25">
      <c r="D161" s="24" t="s">
        <v>1297</v>
      </c>
      <c r="E161" s="24" t="s">
        <v>246</v>
      </c>
      <c r="F161" s="25" t="s">
        <v>393</v>
      </c>
    </row>
    <row r="162" spans="4:6" x14ac:dyDescent="0.25">
      <c r="D162" s="24" t="s">
        <v>1298</v>
      </c>
      <c r="E162" s="24" t="s">
        <v>1300</v>
      </c>
      <c r="F162" s="25" t="s">
        <v>394</v>
      </c>
    </row>
    <row r="163" spans="4:6" x14ac:dyDescent="0.25">
      <c r="D163" s="24" t="s">
        <v>1303</v>
      </c>
      <c r="E163" s="24" t="s">
        <v>1300</v>
      </c>
      <c r="F163" s="25" t="s">
        <v>395</v>
      </c>
    </row>
    <row r="164" spans="4:6" x14ac:dyDescent="0.25">
      <c r="D164" s="25" t="s">
        <v>1318</v>
      </c>
      <c r="E164" s="24" t="s">
        <v>1331</v>
      </c>
      <c r="F164" s="25" t="s">
        <v>396</v>
      </c>
    </row>
    <row r="165" spans="4:6" x14ac:dyDescent="0.25">
      <c r="D165" s="25" t="s">
        <v>1334</v>
      </c>
      <c r="E165" s="201" t="s">
        <v>1335</v>
      </c>
      <c r="F165" s="25" t="s">
        <v>397</v>
      </c>
    </row>
    <row r="166" spans="4:6" x14ac:dyDescent="0.25">
      <c r="D166" s="40" t="s">
        <v>1336</v>
      </c>
      <c r="E166" s="24" t="s">
        <v>1337</v>
      </c>
      <c r="F166" s="25" t="s">
        <v>398</v>
      </c>
    </row>
    <row r="167" spans="4:6" x14ac:dyDescent="0.25">
      <c r="D167" s="40" t="s">
        <v>1338</v>
      </c>
      <c r="E167" s="24" t="s">
        <v>1339</v>
      </c>
      <c r="F167" s="25" t="s">
        <v>399</v>
      </c>
    </row>
    <row r="168" spans="4:6" x14ac:dyDescent="0.25">
      <c r="D168" s="25" t="s">
        <v>1340</v>
      </c>
      <c r="E168" s="24" t="s">
        <v>1341</v>
      </c>
      <c r="F168" s="25" t="s">
        <v>400</v>
      </c>
    </row>
    <row r="169" spans="4:6" x14ac:dyDescent="0.25">
      <c r="D169" s="25" t="s">
        <v>1342</v>
      </c>
      <c r="E169" s="24" t="s">
        <v>1343</v>
      </c>
      <c r="F169" s="25" t="s">
        <v>401</v>
      </c>
    </row>
    <row r="170" spans="4:6" x14ac:dyDescent="0.25">
      <c r="D170" s="262" t="s">
        <v>1484</v>
      </c>
      <c r="E170" s="263" t="s">
        <v>11</v>
      </c>
      <c r="F170" s="25" t="s">
        <v>402</v>
      </c>
    </row>
    <row r="171" spans="4:6" x14ac:dyDescent="0.25">
      <c r="D171" s="263" t="s">
        <v>1485</v>
      </c>
      <c r="E171" s="264" t="s">
        <v>1486</v>
      </c>
      <c r="F171" s="25" t="s">
        <v>403</v>
      </c>
    </row>
    <row r="172" spans="4:6" x14ac:dyDescent="0.25">
      <c r="D172" s="263" t="s">
        <v>1487</v>
      </c>
      <c r="E172" s="263" t="s">
        <v>1488</v>
      </c>
      <c r="F172" s="25" t="s">
        <v>404</v>
      </c>
    </row>
    <row r="173" spans="4:6" x14ac:dyDescent="0.25">
      <c r="D173" s="265" t="s">
        <v>1489</v>
      </c>
      <c r="E173" s="263" t="s">
        <v>1490</v>
      </c>
      <c r="F173" s="25" t="s">
        <v>731</v>
      </c>
    </row>
    <row r="174" spans="4:6" x14ac:dyDescent="0.25">
      <c r="D174" s="262" t="s">
        <v>1340</v>
      </c>
      <c r="E174" s="263" t="s">
        <v>1491</v>
      </c>
      <c r="F174" s="25" t="s">
        <v>733</v>
      </c>
    </row>
    <row r="175" spans="4:6" x14ac:dyDescent="0.25">
      <c r="D175" s="266" t="s">
        <v>1492</v>
      </c>
      <c r="E175" s="266" t="s">
        <v>1493</v>
      </c>
      <c r="F175" s="25" t="s">
        <v>405</v>
      </c>
    </row>
    <row r="176" spans="4:6" x14ac:dyDescent="0.25">
      <c r="D176" s="24"/>
      <c r="E176" s="24"/>
      <c r="F176" s="25" t="s">
        <v>406</v>
      </c>
    </row>
    <row r="177" spans="4:6" x14ac:dyDescent="0.25">
      <c r="D177" s="24"/>
      <c r="E177" s="24"/>
      <c r="F177" s="25" t="s">
        <v>503</v>
      </c>
    </row>
    <row r="178" spans="4:6" x14ac:dyDescent="0.25">
      <c r="D178" s="24"/>
      <c r="E178" s="24"/>
      <c r="F178" s="25" t="s">
        <v>504</v>
      </c>
    </row>
    <row r="179" spans="4:6" x14ac:dyDescent="0.25">
      <c r="D179" s="24"/>
      <c r="E179" s="24"/>
      <c r="F179" s="25" t="s">
        <v>509</v>
      </c>
    </row>
    <row r="180" spans="4:6" x14ac:dyDescent="0.25">
      <c r="D180" s="24"/>
      <c r="E180" s="24"/>
      <c r="F180" s="25" t="s">
        <v>510</v>
      </c>
    </row>
    <row r="181" spans="4:6" x14ac:dyDescent="0.25">
      <c r="D181" s="24"/>
      <c r="E181" s="24"/>
      <c r="F181" s="25" t="s">
        <v>511</v>
      </c>
    </row>
    <row r="182" spans="4:6" x14ac:dyDescent="0.25">
      <c r="D182" s="24"/>
      <c r="E182" s="24"/>
      <c r="F182" s="25" t="s">
        <v>512</v>
      </c>
    </row>
    <row r="183" spans="4:6" x14ac:dyDescent="0.25">
      <c r="D183" s="24"/>
      <c r="E183" s="24"/>
      <c r="F183" s="25" t="s">
        <v>525</v>
      </c>
    </row>
    <row r="184" spans="4:6" x14ac:dyDescent="0.25">
      <c r="D184" s="24"/>
      <c r="E184" s="24"/>
      <c r="F184" s="25" t="s">
        <v>544</v>
      </c>
    </row>
    <row r="185" spans="4:6" x14ac:dyDescent="0.25">
      <c r="D185" s="24"/>
      <c r="E185" s="24"/>
      <c r="F185" s="25" t="s">
        <v>545</v>
      </c>
    </row>
    <row r="186" spans="4:6" x14ac:dyDescent="0.25">
      <c r="D186" s="24"/>
      <c r="E186" s="24"/>
      <c r="F186" s="25" t="s">
        <v>546</v>
      </c>
    </row>
    <row r="187" spans="4:6" x14ac:dyDescent="0.25">
      <c r="D187" s="24"/>
      <c r="E187" s="24"/>
      <c r="F187" s="25" t="s">
        <v>547</v>
      </c>
    </row>
    <row r="188" spans="4:6" x14ac:dyDescent="0.25">
      <c r="D188" s="24"/>
      <c r="E188" s="24"/>
      <c r="F188" s="25" t="s">
        <v>560</v>
      </c>
    </row>
    <row r="189" spans="4:6" x14ac:dyDescent="0.25">
      <c r="D189" s="24"/>
      <c r="E189" s="24"/>
      <c r="F189" s="25" t="s">
        <v>561</v>
      </c>
    </row>
    <row r="190" spans="4:6" x14ac:dyDescent="0.25">
      <c r="D190" s="24"/>
      <c r="E190" s="24"/>
      <c r="F190" s="25" t="s">
        <v>562</v>
      </c>
    </row>
    <row r="191" spans="4:6" x14ac:dyDescent="0.25">
      <c r="D191" s="24"/>
      <c r="E191" s="24"/>
      <c r="F191" s="25" t="s">
        <v>712</v>
      </c>
    </row>
    <row r="192" spans="4:6" x14ac:dyDescent="0.25">
      <c r="D192" s="24"/>
      <c r="E192" s="24"/>
      <c r="F192" s="25" t="s">
        <v>558</v>
      </c>
    </row>
    <row r="193" spans="4:6" x14ac:dyDescent="0.25">
      <c r="D193" s="24"/>
      <c r="E193" s="24"/>
      <c r="F193" s="25" t="s">
        <v>692</v>
      </c>
    </row>
    <row r="194" spans="4:6" x14ac:dyDescent="0.25">
      <c r="D194" s="24"/>
      <c r="E194" s="24"/>
      <c r="F194" s="25" t="s">
        <v>576</v>
      </c>
    </row>
    <row r="195" spans="4:6" x14ac:dyDescent="0.25">
      <c r="D195" s="24"/>
      <c r="E195" s="24"/>
      <c r="F195" s="25" t="s">
        <v>577</v>
      </c>
    </row>
    <row r="196" spans="4:6" x14ac:dyDescent="0.25">
      <c r="D196" s="24"/>
      <c r="E196" s="24"/>
      <c r="F196" s="25" t="s">
        <v>578</v>
      </c>
    </row>
    <row r="197" spans="4:6" x14ac:dyDescent="0.25">
      <c r="D197" s="24"/>
      <c r="E197" s="24"/>
      <c r="F197" s="25" t="s">
        <v>579</v>
      </c>
    </row>
    <row r="198" spans="4:6" x14ac:dyDescent="0.25">
      <c r="D198" s="24"/>
      <c r="E198" s="24"/>
      <c r="F198" s="25" t="s">
        <v>580</v>
      </c>
    </row>
    <row r="199" spans="4:6" x14ac:dyDescent="0.25">
      <c r="D199" s="24"/>
      <c r="E199" s="24"/>
      <c r="F199" s="25" t="s">
        <v>581</v>
      </c>
    </row>
    <row r="200" spans="4:6" x14ac:dyDescent="0.25">
      <c r="D200" s="24"/>
      <c r="E200" s="24"/>
      <c r="F200" s="25" t="s">
        <v>582</v>
      </c>
    </row>
    <row r="201" spans="4:6" x14ac:dyDescent="0.25">
      <c r="D201" s="24"/>
      <c r="E201" s="24"/>
      <c r="F201" s="25" t="s">
        <v>583</v>
      </c>
    </row>
    <row r="202" spans="4:6" x14ac:dyDescent="0.25">
      <c r="D202" s="24"/>
      <c r="E202" s="24"/>
      <c r="F202" s="25" t="s">
        <v>584</v>
      </c>
    </row>
    <row r="203" spans="4:6" x14ac:dyDescent="0.25">
      <c r="D203" s="24"/>
      <c r="E203" s="24"/>
      <c r="F203" s="25" t="s">
        <v>585</v>
      </c>
    </row>
    <row r="204" spans="4:6" x14ac:dyDescent="0.25">
      <c r="D204" s="24"/>
      <c r="E204" s="24"/>
      <c r="F204" s="25" t="s">
        <v>586</v>
      </c>
    </row>
    <row r="205" spans="4:6" x14ac:dyDescent="0.25">
      <c r="D205" s="24"/>
      <c r="E205" s="24"/>
      <c r="F205" s="25" t="s">
        <v>587</v>
      </c>
    </row>
    <row r="206" spans="4:6" x14ac:dyDescent="0.25">
      <c r="D206" s="24"/>
      <c r="E206" s="24"/>
      <c r="F206" s="25" t="s">
        <v>588</v>
      </c>
    </row>
    <row r="207" spans="4:6" x14ac:dyDescent="0.25">
      <c r="D207" s="24"/>
      <c r="E207" s="24"/>
      <c r="F207" s="25" t="s">
        <v>589</v>
      </c>
    </row>
    <row r="208" spans="4:6" x14ac:dyDescent="0.25">
      <c r="D208" s="24"/>
      <c r="E208" s="24"/>
      <c r="F208" s="25" t="s">
        <v>590</v>
      </c>
    </row>
    <row r="209" spans="4:6" x14ac:dyDescent="0.25">
      <c r="D209" s="24"/>
      <c r="E209" s="24"/>
      <c r="F209" s="25" t="s">
        <v>591</v>
      </c>
    </row>
    <row r="210" spans="4:6" x14ac:dyDescent="0.25">
      <c r="D210" s="24"/>
      <c r="E210" s="24"/>
      <c r="F210" s="25" t="s">
        <v>592</v>
      </c>
    </row>
    <row r="211" spans="4:6" x14ac:dyDescent="0.25">
      <c r="D211" s="24"/>
      <c r="E211" s="24"/>
      <c r="F211" s="25" t="s">
        <v>593</v>
      </c>
    </row>
    <row r="212" spans="4:6" x14ac:dyDescent="0.25">
      <c r="D212" s="24"/>
      <c r="E212" s="24"/>
      <c r="F212" s="25" t="s">
        <v>594</v>
      </c>
    </row>
    <row r="213" spans="4:6" x14ac:dyDescent="0.25">
      <c r="D213" s="24"/>
      <c r="E213" s="24"/>
      <c r="F213" s="25" t="s">
        <v>595</v>
      </c>
    </row>
    <row r="214" spans="4:6" x14ac:dyDescent="0.25">
      <c r="D214" s="24"/>
      <c r="E214" s="24"/>
      <c r="F214" s="25" t="s">
        <v>596</v>
      </c>
    </row>
    <row r="215" spans="4:6" x14ac:dyDescent="0.25">
      <c r="D215" s="24"/>
      <c r="E215" s="24"/>
      <c r="F215" s="25" t="s">
        <v>597</v>
      </c>
    </row>
    <row r="216" spans="4:6" x14ac:dyDescent="0.25">
      <c r="D216" s="24"/>
      <c r="E216" s="24"/>
      <c r="F216" s="25" t="s">
        <v>598</v>
      </c>
    </row>
    <row r="217" spans="4:6" x14ac:dyDescent="0.25">
      <c r="D217" s="24"/>
      <c r="E217" s="24"/>
      <c r="F217" s="25" t="s">
        <v>599</v>
      </c>
    </row>
    <row r="218" spans="4:6" x14ac:dyDescent="0.25">
      <c r="D218" s="24"/>
      <c r="E218" s="24"/>
      <c r="F218" s="25" t="s">
        <v>600</v>
      </c>
    </row>
    <row r="219" spans="4:6" x14ac:dyDescent="0.25">
      <c r="D219" s="24"/>
      <c r="E219" s="24"/>
      <c r="F219" s="25" t="s">
        <v>601</v>
      </c>
    </row>
    <row r="220" spans="4:6" x14ac:dyDescent="0.25">
      <c r="D220" s="24"/>
      <c r="E220" s="24"/>
      <c r="F220" s="32" t="s">
        <v>602</v>
      </c>
    </row>
    <row r="221" spans="4:6" x14ac:dyDescent="0.25">
      <c r="D221" s="24"/>
      <c r="E221" s="24"/>
      <c r="F221" s="32" t="s">
        <v>603</v>
      </c>
    </row>
    <row r="222" spans="4:6" x14ac:dyDescent="0.25">
      <c r="D222" s="24"/>
      <c r="E222" s="24"/>
      <c r="F222" s="32" t="s">
        <v>604</v>
      </c>
    </row>
    <row r="223" spans="4:6" x14ac:dyDescent="0.25">
      <c r="D223" s="24"/>
      <c r="E223" s="24"/>
      <c r="F223" s="32" t="s">
        <v>605</v>
      </c>
    </row>
    <row r="224" spans="4:6" x14ac:dyDescent="0.25">
      <c r="D224" s="24"/>
      <c r="E224" s="24"/>
      <c r="F224" s="32" t="s">
        <v>606</v>
      </c>
    </row>
    <row r="225" spans="4:6" x14ac:dyDescent="0.25">
      <c r="D225" s="24"/>
      <c r="E225" s="24"/>
      <c r="F225" s="32" t="s">
        <v>607</v>
      </c>
    </row>
    <row r="226" spans="4:6" x14ac:dyDescent="0.25">
      <c r="D226" s="24"/>
      <c r="E226" s="24"/>
      <c r="F226" s="32" t="s">
        <v>608</v>
      </c>
    </row>
    <row r="227" spans="4:6" x14ac:dyDescent="0.25">
      <c r="D227" s="24"/>
      <c r="E227" s="24"/>
      <c r="F227" s="32" t="s">
        <v>609</v>
      </c>
    </row>
    <row r="228" spans="4:6" x14ac:dyDescent="0.25">
      <c r="D228" s="24"/>
      <c r="E228" s="24"/>
      <c r="F228" s="32" t="s">
        <v>610</v>
      </c>
    </row>
    <row r="229" spans="4:6" x14ac:dyDescent="0.25">
      <c r="D229" s="24"/>
      <c r="E229" s="24"/>
      <c r="F229" s="39" t="s">
        <v>611</v>
      </c>
    </row>
    <row r="230" spans="4:6" x14ac:dyDescent="0.25">
      <c r="D230" s="24"/>
      <c r="E230" s="24"/>
      <c r="F230" s="39" t="s">
        <v>612</v>
      </c>
    </row>
    <row r="231" spans="4:6" x14ac:dyDescent="0.25">
      <c r="D231" s="24"/>
      <c r="E231" s="24"/>
      <c r="F231" s="39" t="s">
        <v>613</v>
      </c>
    </row>
    <row r="232" spans="4:6" x14ac:dyDescent="0.25">
      <c r="D232" s="24"/>
      <c r="E232" s="24"/>
      <c r="F232" s="32" t="s">
        <v>700</v>
      </c>
    </row>
    <row r="233" spans="4:6" x14ac:dyDescent="0.25">
      <c r="D233" s="24"/>
      <c r="E233" s="24"/>
      <c r="F233" s="32" t="s">
        <v>614</v>
      </c>
    </row>
    <row r="234" spans="4:6" x14ac:dyDescent="0.25">
      <c r="D234" s="24"/>
      <c r="E234" s="24"/>
      <c r="F234" s="32" t="s">
        <v>615</v>
      </c>
    </row>
    <row r="235" spans="4:6" x14ac:dyDescent="0.25">
      <c r="D235" s="24"/>
      <c r="E235" s="24"/>
      <c r="F235" s="32" t="s">
        <v>616</v>
      </c>
    </row>
    <row r="236" spans="4:6" x14ac:dyDescent="0.25">
      <c r="D236" s="24"/>
      <c r="E236" s="24"/>
      <c r="F236" s="32" t="s">
        <v>617</v>
      </c>
    </row>
    <row r="237" spans="4:6" x14ac:dyDescent="0.25">
      <c r="D237" s="24"/>
      <c r="E237" s="24"/>
      <c r="F237" s="32" t="s">
        <v>618</v>
      </c>
    </row>
    <row r="238" spans="4:6" x14ac:dyDescent="0.25">
      <c r="D238" s="24"/>
      <c r="E238" s="24"/>
      <c r="F238" s="32" t="s">
        <v>619</v>
      </c>
    </row>
    <row r="239" spans="4:6" x14ac:dyDescent="0.25">
      <c r="D239" s="24"/>
      <c r="E239" s="24"/>
      <c r="F239" s="32" t="s">
        <v>620</v>
      </c>
    </row>
    <row r="240" spans="4:6" x14ac:dyDescent="0.25">
      <c r="D240" s="24"/>
      <c r="E240" s="24"/>
      <c r="F240" s="32" t="s">
        <v>621</v>
      </c>
    </row>
    <row r="241" spans="4:6" x14ac:dyDescent="0.25">
      <c r="D241" s="24"/>
      <c r="E241" s="24"/>
      <c r="F241" s="32" t="s">
        <v>623</v>
      </c>
    </row>
    <row r="242" spans="4:6" x14ac:dyDescent="0.25">
      <c r="D242" s="24"/>
      <c r="E242" s="24"/>
      <c r="F242" s="32" t="s">
        <v>624</v>
      </c>
    </row>
    <row r="243" spans="4:6" x14ac:dyDescent="0.25">
      <c r="D243" s="24"/>
      <c r="E243" s="24"/>
      <c r="F243" s="32" t="s">
        <v>683</v>
      </c>
    </row>
    <row r="244" spans="4:6" x14ac:dyDescent="0.25">
      <c r="D244" s="24"/>
      <c r="E244" s="24"/>
      <c r="F244" s="39" t="s">
        <v>684</v>
      </c>
    </row>
    <row r="245" spans="4:6" x14ac:dyDescent="0.25">
      <c r="D245" s="24"/>
      <c r="E245" s="24"/>
      <c r="F245" s="32" t="s">
        <v>686</v>
      </c>
    </row>
    <row r="246" spans="4:6" x14ac:dyDescent="0.25">
      <c r="D246" s="24"/>
      <c r="E246" s="24"/>
      <c r="F246" s="32" t="s">
        <v>752</v>
      </c>
    </row>
    <row r="247" spans="4:6" x14ac:dyDescent="0.25">
      <c r="F247" s="32" t="s">
        <v>759</v>
      </c>
    </row>
    <row r="248" spans="4:6" x14ac:dyDescent="0.25">
      <c r="F248" s="32" t="s">
        <v>764</v>
      </c>
    </row>
    <row r="249" spans="4:6" x14ac:dyDescent="0.25">
      <c r="F249" s="32" t="s">
        <v>765</v>
      </c>
    </row>
    <row r="250" spans="4:6" x14ac:dyDescent="0.25">
      <c r="F250" s="32" t="s">
        <v>766</v>
      </c>
    </row>
    <row r="251" spans="4:6" x14ac:dyDescent="0.25">
      <c r="F251" s="32" t="s">
        <v>767</v>
      </c>
    </row>
    <row r="252" spans="4:6" x14ac:dyDescent="0.25">
      <c r="F252" s="32" t="s">
        <v>768</v>
      </c>
    </row>
    <row r="253" spans="4:6" x14ac:dyDescent="0.25">
      <c r="F253" s="32" t="s">
        <v>769</v>
      </c>
    </row>
    <row r="254" spans="4:6" x14ac:dyDescent="0.25">
      <c r="F254" s="32" t="s">
        <v>1004</v>
      </c>
    </row>
    <row r="255" spans="4:6" x14ac:dyDescent="0.25">
      <c r="F255" s="32" t="s">
        <v>954</v>
      </c>
    </row>
    <row r="256" spans="4:6" x14ac:dyDescent="0.25">
      <c r="F256" s="32" t="s">
        <v>955</v>
      </c>
    </row>
    <row r="257" spans="6:6" x14ac:dyDescent="0.25">
      <c r="F257" s="32" t="s">
        <v>1013</v>
      </c>
    </row>
    <row r="258" spans="6:6" x14ac:dyDescent="0.25">
      <c r="F258" s="32" t="s">
        <v>956</v>
      </c>
    </row>
    <row r="259" spans="6:6" x14ac:dyDescent="0.25">
      <c r="F259" s="32" t="s">
        <v>957</v>
      </c>
    </row>
    <row r="260" spans="6:6" x14ac:dyDescent="0.25">
      <c r="F260" s="32" t="s">
        <v>1078</v>
      </c>
    </row>
    <row r="261" spans="6:6" x14ac:dyDescent="0.25">
      <c r="F261" s="32" t="s">
        <v>1079</v>
      </c>
    </row>
    <row r="262" spans="6:6" x14ac:dyDescent="0.25">
      <c r="F262" s="32" t="s">
        <v>958</v>
      </c>
    </row>
    <row r="263" spans="6:6" ht="15.75" thickBot="1" x14ac:dyDescent="0.3">
      <c r="F263" s="33" t="s">
        <v>959</v>
      </c>
    </row>
    <row r="264" spans="6:6" x14ac:dyDescent="0.25">
      <c r="F264" s="34" t="s">
        <v>960</v>
      </c>
    </row>
    <row r="265" spans="6:6" x14ac:dyDescent="0.25">
      <c r="F265" s="35" t="s">
        <v>16</v>
      </c>
    </row>
    <row r="266" spans="6:6" x14ac:dyDescent="0.25">
      <c r="F266" s="34" t="s">
        <v>18</v>
      </c>
    </row>
    <row r="267" spans="6:6" x14ac:dyDescent="0.25">
      <c r="F267" s="34" t="s">
        <v>19</v>
      </c>
    </row>
    <row r="268" spans="6:6" x14ac:dyDescent="0.25">
      <c r="F268" s="34" t="s">
        <v>1055</v>
      </c>
    </row>
    <row r="269" spans="6:6" x14ac:dyDescent="0.25">
      <c r="F269" s="35" t="s">
        <v>1056</v>
      </c>
    </row>
    <row r="270" spans="6:6" x14ac:dyDescent="0.25">
      <c r="F270" s="25" t="s">
        <v>1200</v>
      </c>
    </row>
    <row r="271" spans="6:6" x14ac:dyDescent="0.25">
      <c r="F271" s="25" t="s">
        <v>1306</v>
      </c>
    </row>
    <row r="272" spans="6:6" x14ac:dyDescent="0.25">
      <c r="F272" s="25" t="s">
        <v>1213</v>
      </c>
    </row>
    <row r="273" spans="6:6" x14ac:dyDescent="0.25">
      <c r="F273" s="25" t="s">
        <v>1214</v>
      </c>
    </row>
    <row r="274" spans="6:6" x14ac:dyDescent="0.25">
      <c r="F274" s="25" t="s">
        <v>1215</v>
      </c>
    </row>
    <row r="275" spans="6:6" x14ac:dyDescent="0.25">
      <c r="F275" s="25" t="s">
        <v>1216</v>
      </c>
    </row>
    <row r="276" spans="6:6" x14ac:dyDescent="0.25">
      <c r="F276" s="25" t="s">
        <v>1217</v>
      </c>
    </row>
    <row r="277" spans="6:6" x14ac:dyDescent="0.25">
      <c r="F277" s="25" t="s">
        <v>1218</v>
      </c>
    </row>
    <row r="278" spans="6:6" x14ac:dyDescent="0.25">
      <c r="F278" s="25" t="s">
        <v>1219</v>
      </c>
    </row>
    <row r="279" spans="6:6" x14ac:dyDescent="0.25">
      <c r="F279" s="25" t="s">
        <v>1220</v>
      </c>
    </row>
    <row r="280" spans="6:6" x14ac:dyDescent="0.25">
      <c r="F280" s="25" t="s">
        <v>1221</v>
      </c>
    </row>
    <row r="281" spans="6:6" x14ac:dyDescent="0.25">
      <c r="F281" s="25" t="s">
        <v>1222</v>
      </c>
    </row>
    <row r="282" spans="6:6" x14ac:dyDescent="0.25">
      <c r="F282" s="25" t="s">
        <v>1223</v>
      </c>
    </row>
    <row r="283" spans="6:6" x14ac:dyDescent="0.25">
      <c r="F283" s="25" t="s">
        <v>1224</v>
      </c>
    </row>
    <row r="284" spans="6:6" x14ac:dyDescent="0.25">
      <c r="F284" s="25" t="s">
        <v>1225</v>
      </c>
    </row>
    <row r="285" spans="6:6" x14ac:dyDescent="0.25">
      <c r="F285" s="25" t="s">
        <v>1226</v>
      </c>
    </row>
    <row r="286" spans="6:6" x14ac:dyDescent="0.25">
      <c r="F286" s="25" t="s">
        <v>1227</v>
      </c>
    </row>
    <row r="287" spans="6:6" x14ac:dyDescent="0.25">
      <c r="F287" s="25" t="s">
        <v>1228</v>
      </c>
    </row>
    <row r="288" spans="6:6" x14ac:dyDescent="0.25">
      <c r="F288" s="25" t="s">
        <v>1229</v>
      </c>
    </row>
    <row r="289" spans="6:6" x14ac:dyDescent="0.25">
      <c r="F289" s="25" t="s">
        <v>1230</v>
      </c>
    </row>
    <row r="290" spans="6:6" x14ac:dyDescent="0.25">
      <c r="F290" s="25" t="s">
        <v>1231</v>
      </c>
    </row>
    <row r="291" spans="6:6" x14ac:dyDescent="0.25">
      <c r="F291" s="25" t="s">
        <v>1232</v>
      </c>
    </row>
    <row r="292" spans="6:6" x14ac:dyDescent="0.25">
      <c r="F292" s="25" t="s">
        <v>1233</v>
      </c>
    </row>
    <row r="293" spans="6:6" x14ac:dyDescent="0.25">
      <c r="F293" s="25" t="s">
        <v>1234</v>
      </c>
    </row>
    <row r="294" spans="6:6" x14ac:dyDescent="0.25">
      <c r="F294" s="25" t="s">
        <v>1235</v>
      </c>
    </row>
    <row r="295" spans="6:6" x14ac:dyDescent="0.25">
      <c r="F295" s="25" t="s">
        <v>1236</v>
      </c>
    </row>
    <row r="296" spans="6:6" x14ac:dyDescent="0.25">
      <c r="F296" s="25" t="s">
        <v>1237</v>
      </c>
    </row>
    <row r="297" spans="6:6" x14ac:dyDescent="0.25">
      <c r="F297" s="25" t="s">
        <v>1386</v>
      </c>
    </row>
    <row r="298" spans="6:6" x14ac:dyDescent="0.25">
      <c r="F298" s="25" t="s">
        <v>1387</v>
      </c>
    </row>
    <row r="299" spans="6:6" x14ac:dyDescent="0.25">
      <c r="F299" s="25" t="s">
        <v>1279</v>
      </c>
    </row>
    <row r="300" spans="6:6" x14ac:dyDescent="0.25">
      <c r="F300" s="25" t="s">
        <v>1280</v>
      </c>
    </row>
    <row r="301" spans="6:6" x14ac:dyDescent="0.25">
      <c r="F301" s="25" t="s">
        <v>1282</v>
      </c>
    </row>
    <row r="302" spans="6:6" x14ac:dyDescent="0.25">
      <c r="F302" s="25" t="s">
        <v>1283</v>
      </c>
    </row>
    <row r="303" spans="6:6" x14ac:dyDescent="0.25">
      <c r="F303" s="25" t="s">
        <v>1284</v>
      </c>
    </row>
    <row r="304" spans="6:6" x14ac:dyDescent="0.25">
      <c r="F304" s="25" t="s">
        <v>1285</v>
      </c>
    </row>
    <row r="305" spans="6:6" x14ac:dyDescent="0.25">
      <c r="F305" s="25" t="s">
        <v>1286</v>
      </c>
    </row>
    <row r="306" spans="6:6" x14ac:dyDescent="0.25">
      <c r="F306" s="25" t="s">
        <v>1287</v>
      </c>
    </row>
    <row r="307" spans="6:6" x14ac:dyDescent="0.25">
      <c r="F307" s="25" t="s">
        <v>1292</v>
      </c>
    </row>
    <row r="308" spans="6:6" x14ac:dyDescent="0.25">
      <c r="F308" s="25" t="s">
        <v>1299</v>
      </c>
    </row>
    <row r="309" spans="6:6" x14ac:dyDescent="0.25">
      <c r="F309" s="25" t="s">
        <v>1344</v>
      </c>
    </row>
    <row r="310" spans="6:6" x14ac:dyDescent="0.25">
      <c r="F310" s="25" t="s">
        <v>1345</v>
      </c>
    </row>
    <row r="311" spans="6:6" x14ac:dyDescent="0.25">
      <c r="F311" s="25" t="s">
        <v>1346</v>
      </c>
    </row>
    <row r="312" spans="6:6" x14ac:dyDescent="0.25">
      <c r="F312" s="25" t="s">
        <v>1347</v>
      </c>
    </row>
    <row r="313" spans="6:6" x14ac:dyDescent="0.25">
      <c r="F313" s="25" t="s">
        <v>1348</v>
      </c>
    </row>
    <row r="314" spans="6:6" x14ac:dyDescent="0.25">
      <c r="F314" s="25" t="s">
        <v>1349</v>
      </c>
    </row>
    <row r="315" spans="6:6" x14ac:dyDescent="0.25">
      <c r="F315" s="25" t="s">
        <v>1350</v>
      </c>
    </row>
    <row r="316" spans="6:6" x14ac:dyDescent="0.25">
      <c r="F316" s="25" t="s">
        <v>1351</v>
      </c>
    </row>
    <row r="317" spans="6:6" x14ac:dyDescent="0.25">
      <c r="F317" s="25" t="s">
        <v>1352</v>
      </c>
    </row>
    <row r="318" spans="6:6" x14ac:dyDescent="0.25">
      <c r="F318" s="25" t="s">
        <v>1353</v>
      </c>
    </row>
    <row r="319" spans="6:6" x14ac:dyDescent="0.25">
      <c r="F319" s="25" t="s">
        <v>1354</v>
      </c>
    </row>
    <row r="320" spans="6:6" x14ac:dyDescent="0.25">
      <c r="F320" s="25" t="s">
        <v>1355</v>
      </c>
    </row>
    <row r="321" spans="6:6" x14ac:dyDescent="0.25">
      <c r="F321" s="25" t="s">
        <v>1356</v>
      </c>
    </row>
    <row r="322" spans="6:6" x14ac:dyDescent="0.25">
      <c r="F322" s="25" t="s">
        <v>1357</v>
      </c>
    </row>
    <row r="323" spans="6:6" x14ac:dyDescent="0.25">
      <c r="F323" s="25" t="s">
        <v>1358</v>
      </c>
    </row>
    <row r="324" spans="6:6" x14ac:dyDescent="0.25">
      <c r="F324" s="25" t="s">
        <v>1359</v>
      </c>
    </row>
    <row r="325" spans="6:6" x14ac:dyDescent="0.25">
      <c r="F325" s="25" t="s">
        <v>1360</v>
      </c>
    </row>
    <row r="326" spans="6:6" x14ac:dyDescent="0.25">
      <c r="F326" s="25" t="s">
        <v>1361</v>
      </c>
    </row>
    <row r="327" spans="6:6" x14ac:dyDescent="0.25">
      <c r="F327" s="25" t="s">
        <v>1362</v>
      </c>
    </row>
    <row r="328" spans="6:6" x14ac:dyDescent="0.25">
      <c r="F328" s="25" t="s">
        <v>1363</v>
      </c>
    </row>
    <row r="329" spans="6:6" x14ac:dyDescent="0.25">
      <c r="F329" s="25" t="s">
        <v>1364</v>
      </c>
    </row>
    <row r="330" spans="6:6" x14ac:dyDescent="0.25">
      <c r="F330" s="25" t="s">
        <v>1365</v>
      </c>
    </row>
    <row r="331" spans="6:6" x14ac:dyDescent="0.25">
      <c r="F331" s="25" t="s">
        <v>1366</v>
      </c>
    </row>
    <row r="332" spans="6:6" x14ac:dyDescent="0.25">
      <c r="F332" s="25" t="s">
        <v>1367</v>
      </c>
    </row>
    <row r="333" spans="6:6" x14ac:dyDescent="0.25">
      <c r="F333" s="25" t="s">
        <v>1368</v>
      </c>
    </row>
    <row r="334" spans="6:6" x14ac:dyDescent="0.25">
      <c r="F334" s="25" t="s">
        <v>1369</v>
      </c>
    </row>
    <row r="335" spans="6:6" x14ac:dyDescent="0.25">
      <c r="F335" s="25" t="s">
        <v>1370</v>
      </c>
    </row>
    <row r="336" spans="6:6" x14ac:dyDescent="0.25">
      <c r="F336" s="25" t="s">
        <v>1371</v>
      </c>
    </row>
    <row r="337" spans="6:6" x14ac:dyDescent="0.25">
      <c r="F337" s="25" t="s">
        <v>1372</v>
      </c>
    </row>
    <row r="338" spans="6:6" x14ac:dyDescent="0.25">
      <c r="F338" s="25" t="s">
        <v>55</v>
      </c>
    </row>
    <row r="339" spans="6:6" x14ac:dyDescent="0.25">
      <c r="F339" s="25" t="s">
        <v>56</v>
      </c>
    </row>
    <row r="340" spans="6:6" x14ac:dyDescent="0.25">
      <c r="F340" s="25" t="s">
        <v>57</v>
      </c>
    </row>
  </sheetData>
  <dataConsolidate/>
  <customSheetViews>
    <customSheetView guid="{A8F9189F-30EC-448E-8FA3-1F1B01D22A46}">
      <pane ySplit="1" topLeftCell="A28" activePane="bottomLeft" state="frozen"/>
      <selection pane="bottomLeft" activeCell="C35" sqref="C35"/>
      <pageMargins left="0.7" right="0.7" top="0.75" bottom="0.75" header="0.3" footer="0.3"/>
      <pageSetup paperSize="157" orientation="portrait" horizontalDpi="203" verticalDpi="203" r:id="rId1"/>
    </customSheetView>
  </customSheetViews>
  <pageMargins left="0.7" right="0.7" top="0.75" bottom="0.75" header="0.3" footer="0.3"/>
  <pageSetup paperSize="157" orientation="portrait" horizontalDpi="203" verticalDpi="203"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45"/>
  <sheetViews>
    <sheetView zoomScaleNormal="100" workbookViewId="0">
      <selection sqref="A1:A7"/>
    </sheetView>
  </sheetViews>
  <sheetFormatPr defaultRowHeight="15" x14ac:dyDescent="0.25"/>
  <cols>
    <col min="1" max="1" width="59.5703125" style="17" bestFit="1" customWidth="1"/>
    <col min="2" max="2" width="28.140625" style="2" customWidth="1"/>
    <col min="3" max="3" width="39.7109375" style="1" customWidth="1"/>
    <col min="4" max="16384" width="9.140625" style="3"/>
  </cols>
  <sheetData>
    <row r="1" spans="1:4" x14ac:dyDescent="0.25">
      <c r="A1" s="267"/>
      <c r="B1" s="192"/>
      <c r="C1" s="193"/>
    </row>
    <row r="2" spans="1:4" x14ac:dyDescent="0.25">
      <c r="A2" s="34"/>
      <c r="B2" s="22"/>
      <c r="C2" s="16"/>
    </row>
    <row r="3" spans="1:4" x14ac:dyDescent="0.25">
      <c r="A3" s="35"/>
      <c r="B3" s="22"/>
      <c r="C3" s="16"/>
    </row>
    <row r="4" spans="1:4" x14ac:dyDescent="0.25">
      <c r="A4" s="34"/>
      <c r="B4" s="22"/>
      <c r="C4" s="16"/>
    </row>
    <row r="5" spans="1:4" x14ac:dyDescent="0.25">
      <c r="A5" s="34"/>
      <c r="B5" s="22"/>
      <c r="C5" s="16"/>
    </row>
    <row r="6" spans="1:4" x14ac:dyDescent="0.25">
      <c r="A6" s="35"/>
      <c r="B6" s="22"/>
      <c r="C6" s="16"/>
    </row>
    <row r="7" spans="1:4" x14ac:dyDescent="0.25">
      <c r="A7" s="35"/>
      <c r="B7" s="22"/>
      <c r="C7" s="16"/>
    </row>
    <row r="8" spans="1:4" x14ac:dyDescent="0.25">
      <c r="A8" s="34"/>
      <c r="B8" s="22"/>
      <c r="C8" s="16"/>
    </row>
    <row r="9" spans="1:4" x14ac:dyDescent="0.25">
      <c r="A9" s="34"/>
      <c r="B9" s="22"/>
      <c r="C9" s="16"/>
    </row>
    <row r="10" spans="1:4" x14ac:dyDescent="0.25">
      <c r="B10" s="22"/>
      <c r="C10" s="16"/>
    </row>
    <row r="11" spans="1:4" x14ac:dyDescent="0.25">
      <c r="B11" s="17"/>
      <c r="C11" s="16"/>
    </row>
    <row r="12" spans="1:4" x14ac:dyDescent="0.25">
      <c r="B12" s="17"/>
      <c r="C12" s="16"/>
    </row>
    <row r="13" spans="1:4" x14ac:dyDescent="0.25">
      <c r="B13" s="17"/>
      <c r="C13" s="16"/>
    </row>
    <row r="14" spans="1:4" x14ac:dyDescent="0.25">
      <c r="B14" s="17"/>
      <c r="C14" s="16"/>
      <c r="D14" s="4"/>
    </row>
    <row r="15" spans="1:4" x14ac:dyDescent="0.25">
      <c r="B15" s="17"/>
      <c r="C15" s="16"/>
    </row>
    <row r="16" spans="1:4" x14ac:dyDescent="0.25">
      <c r="B16" s="17"/>
      <c r="C16" s="16"/>
    </row>
    <row r="26" spans="1:1" x14ac:dyDescent="0.25">
      <c r="A26" s="22"/>
    </row>
    <row r="44" spans="1:1" x14ac:dyDescent="0.25">
      <c r="A44" s="3"/>
    </row>
    <row r="45" spans="1:1" x14ac:dyDescent="0.25">
      <c r="A45" s="3"/>
    </row>
  </sheetData>
  <customSheetViews>
    <customSheetView guid="{A8F9189F-30EC-448E-8FA3-1F1B01D22A46}">
      <selection activeCell="C6" sqref="C6"/>
      <pageMargins left="0.7" right="0.7" top="0.75" bottom="0.75" header="0.3" footer="0.3"/>
      <pageSetup paperSize="157" orientation="portrait" horizontalDpi="203" verticalDpi="203" r:id="rId1"/>
    </customSheetView>
  </customSheetViews>
  <pageMargins left="0.7" right="0.7" top="0.75" bottom="0.75" header="0.3" footer="0.3"/>
  <pageSetup paperSize="157" orientation="portrait" horizontalDpi="203" verticalDpi="203" r:id="rId2"/>
  <drawing r:id="rId3"/>
  <legacyDrawing r:id="rId4"/>
  <controls>
    <mc:AlternateContent xmlns:mc="http://schemas.openxmlformats.org/markup-compatibility/2006">
      <mc:Choice Requires="x14">
        <control shapeId="7171" r:id="rId5" name="cmdDone">
          <controlPr defaultSize="0" autoLine="0" r:id="rId6">
            <anchor>
              <from>
                <xdr:col>2</xdr:col>
                <xdr:colOff>866775</xdr:colOff>
                <xdr:row>0</xdr:row>
                <xdr:rowOff>76200</xdr:rowOff>
              </from>
              <to>
                <xdr:col>2</xdr:col>
                <xdr:colOff>1209675</xdr:colOff>
                <xdr:row>12</xdr:row>
                <xdr:rowOff>47625</xdr:rowOff>
              </to>
            </anchor>
          </controlPr>
        </control>
      </mc:Choice>
      <mc:Fallback>
        <control shapeId="7171" r:id="rId5" name="cmdDon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4"/>
  <sheetViews>
    <sheetView workbookViewId="0">
      <selection activeCell="J10" sqref="J10"/>
    </sheetView>
  </sheetViews>
  <sheetFormatPr defaultRowHeight="15" x14ac:dyDescent="0.25"/>
  <cols>
    <col min="1" max="1" width="17.5703125" bestFit="1" customWidth="1"/>
    <col min="2" max="2" width="11.7109375" bestFit="1" customWidth="1"/>
    <col min="3" max="3" width="16.85546875" bestFit="1" customWidth="1"/>
    <col min="5" max="5" width="43.28515625" bestFit="1" customWidth="1"/>
    <col min="7" max="7" width="12.85546875" bestFit="1" customWidth="1"/>
    <col min="9" max="9" width="17.5703125" bestFit="1" customWidth="1"/>
    <col min="10" max="10" width="12.85546875" bestFit="1" customWidth="1"/>
  </cols>
  <sheetData>
    <row r="1" spans="1:7" x14ac:dyDescent="0.25">
      <c r="F1" s="1" t="s">
        <v>24</v>
      </c>
      <c r="G1" s="13" t="s">
        <v>25</v>
      </c>
    </row>
    <row r="2" spans="1:7" x14ac:dyDescent="0.25">
      <c r="F2" s="1" t="s">
        <v>26</v>
      </c>
      <c r="G2" s="1" t="s">
        <v>27</v>
      </c>
    </row>
    <row r="3" spans="1:7" x14ac:dyDescent="0.25">
      <c r="F3" s="1" t="s">
        <v>28</v>
      </c>
      <c r="G3" s="14">
        <v>41299</v>
      </c>
    </row>
    <row r="5" spans="1:7" x14ac:dyDescent="0.25">
      <c r="A5" s="15" t="s">
        <v>24</v>
      </c>
      <c r="B5" s="15" t="s">
        <v>29</v>
      </c>
      <c r="C5" s="15" t="s">
        <v>32</v>
      </c>
      <c r="D5" s="15" t="s">
        <v>30</v>
      </c>
      <c r="E5" s="15" t="s">
        <v>31</v>
      </c>
    </row>
    <row r="6" spans="1:7" x14ac:dyDescent="0.25">
      <c r="A6" s="1"/>
      <c r="B6" s="1"/>
      <c r="C6" s="1"/>
      <c r="D6" s="1"/>
      <c r="E6" s="1"/>
    </row>
    <row r="7" spans="1:7" x14ac:dyDescent="0.25">
      <c r="A7" s="1"/>
      <c r="B7" s="1"/>
      <c r="C7" s="1"/>
      <c r="D7" s="1"/>
      <c r="E7" s="1"/>
    </row>
    <row r="8" spans="1:7" x14ac:dyDescent="0.25">
      <c r="A8" s="1"/>
      <c r="B8" s="1"/>
      <c r="C8" s="1"/>
      <c r="D8" s="1"/>
      <c r="E8" s="1"/>
    </row>
    <row r="9" spans="1:7" x14ac:dyDescent="0.25">
      <c r="A9" s="1"/>
      <c r="B9" s="1"/>
      <c r="C9" s="1"/>
      <c r="D9" s="1"/>
      <c r="E9" s="1"/>
    </row>
    <row r="10" spans="1:7" x14ac:dyDescent="0.25">
      <c r="A10" s="1"/>
      <c r="B10" s="1"/>
      <c r="C10" s="1"/>
      <c r="D10" s="1"/>
      <c r="E10" s="1"/>
    </row>
    <row r="11" spans="1:7" x14ac:dyDescent="0.25">
      <c r="A11" s="1"/>
      <c r="B11" s="1"/>
      <c r="C11" s="1"/>
      <c r="D11" s="1"/>
      <c r="E11" s="1"/>
    </row>
    <row r="12" spans="1:7" x14ac:dyDescent="0.25">
      <c r="A12" s="1"/>
      <c r="B12" s="1"/>
      <c r="C12" s="1"/>
      <c r="D12" s="1"/>
      <c r="E12" s="1"/>
    </row>
    <row r="13" spans="1:7" x14ac:dyDescent="0.25">
      <c r="A13" s="1"/>
      <c r="B13" s="1"/>
      <c r="C13" s="1"/>
      <c r="D13" s="1"/>
      <c r="E13" s="1"/>
    </row>
    <row r="14" spans="1:7" x14ac:dyDescent="0.25">
      <c r="A14" s="1"/>
      <c r="B14" s="1"/>
      <c r="C14" s="1"/>
      <c r="D14" s="1"/>
      <c r="E14" s="1"/>
    </row>
  </sheetData>
  <customSheetViews>
    <customSheetView guid="{A8F9189F-30EC-448E-8FA3-1F1B01D22A46}">
      <selection activeCell="J10" sqref="J10"/>
      <pageMargins left="0.7" right="0.7" top="0.75" bottom="0.75" header="0.3" footer="0.3"/>
      <pageSetup orientation="portrait" r:id="rId1"/>
    </customSheetView>
  </customSheetView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3"/>
  <sheetViews>
    <sheetView topLeftCell="C1" workbookViewId="0">
      <selection activeCell="F20" sqref="F20"/>
    </sheetView>
  </sheetViews>
  <sheetFormatPr defaultRowHeight="15" x14ac:dyDescent="0.25"/>
  <cols>
    <col min="1" max="2" width="22.42578125" style="23" bestFit="1" customWidth="1"/>
    <col min="3" max="3" width="36.140625" style="23" bestFit="1" customWidth="1"/>
    <col min="4" max="4" width="22.42578125" style="23" bestFit="1" customWidth="1"/>
    <col min="5" max="5" width="18.28515625" style="23" bestFit="1" customWidth="1"/>
    <col min="6" max="6" width="26.140625" style="23" bestFit="1" customWidth="1"/>
    <col min="7" max="7" width="34" style="23" bestFit="1" customWidth="1"/>
    <col min="8" max="8" width="11.7109375" style="23" bestFit="1" customWidth="1"/>
    <col min="9" max="9" width="17.7109375" style="23" bestFit="1" customWidth="1"/>
    <col min="10" max="10" width="13.28515625" style="23" bestFit="1" customWidth="1"/>
    <col min="11" max="16384" width="9.140625" style="23"/>
  </cols>
  <sheetData>
    <row r="1" spans="1:10" x14ac:dyDescent="0.25">
      <c r="A1" s="21" t="s">
        <v>65</v>
      </c>
      <c r="B1" s="21" t="s">
        <v>66</v>
      </c>
      <c r="C1" s="21" t="s">
        <v>67</v>
      </c>
      <c r="D1" s="21" t="s">
        <v>78</v>
      </c>
      <c r="E1" s="21" t="s">
        <v>80</v>
      </c>
      <c r="F1" s="21" t="s">
        <v>81</v>
      </c>
      <c r="G1" s="21" t="s">
        <v>82</v>
      </c>
      <c r="H1" s="21" t="s">
        <v>292</v>
      </c>
      <c r="I1" s="21" t="s">
        <v>503</v>
      </c>
      <c r="J1" s="21" t="s">
        <v>504</v>
      </c>
    </row>
    <row r="2" spans="1:10" x14ac:dyDescent="0.25">
      <c r="A2" s="23" t="s">
        <v>68</v>
      </c>
      <c r="B2" s="23" t="s">
        <v>60</v>
      </c>
      <c r="C2" s="23" t="s">
        <v>62</v>
      </c>
      <c r="D2" s="23" t="s">
        <v>60</v>
      </c>
      <c r="E2" s="23" t="s">
        <v>79</v>
      </c>
      <c r="F2" s="23" t="s">
        <v>83</v>
      </c>
      <c r="G2" s="23" t="s">
        <v>83</v>
      </c>
      <c r="H2" s="23" t="s">
        <v>293</v>
      </c>
      <c r="I2" s="23" t="s">
        <v>472</v>
      </c>
      <c r="J2" s="23" t="s">
        <v>505</v>
      </c>
    </row>
    <row r="3" spans="1:10" x14ac:dyDescent="0.25">
      <c r="A3" s="23" t="s">
        <v>69</v>
      </c>
      <c r="B3" s="23" t="s">
        <v>70</v>
      </c>
      <c r="C3" s="23" t="s">
        <v>71</v>
      </c>
      <c r="D3" s="23" t="s">
        <v>70</v>
      </c>
      <c r="E3" s="23" t="s">
        <v>89</v>
      </c>
      <c r="F3" s="23" t="s">
        <v>84</v>
      </c>
      <c r="G3" s="23" t="s">
        <v>84</v>
      </c>
      <c r="H3" s="23" t="s">
        <v>294</v>
      </c>
      <c r="I3" s="23" t="s">
        <v>443</v>
      </c>
      <c r="J3" s="23" t="s">
        <v>506</v>
      </c>
    </row>
    <row r="4" spans="1:10" x14ac:dyDescent="0.25">
      <c r="A4" s="23" t="s">
        <v>72</v>
      </c>
      <c r="B4" s="23" t="s">
        <v>73</v>
      </c>
      <c r="C4" s="23" t="s">
        <v>73</v>
      </c>
      <c r="D4" s="23" t="s">
        <v>73</v>
      </c>
      <c r="F4" s="23" t="s">
        <v>90</v>
      </c>
      <c r="G4" s="23" t="s">
        <v>85</v>
      </c>
      <c r="I4" s="23" t="s">
        <v>507</v>
      </c>
      <c r="J4" s="23" t="s">
        <v>508</v>
      </c>
    </row>
    <row r="5" spans="1:10" x14ac:dyDescent="0.25">
      <c r="A5" s="23" t="s">
        <v>74</v>
      </c>
      <c r="F5" s="23" t="s">
        <v>85</v>
      </c>
      <c r="G5" s="23" t="s">
        <v>86</v>
      </c>
    </row>
    <row r="6" spans="1:10" x14ac:dyDescent="0.25">
      <c r="A6" s="23" t="s">
        <v>75</v>
      </c>
      <c r="F6" s="23" t="s">
        <v>86</v>
      </c>
      <c r="G6" s="23" t="s">
        <v>87</v>
      </c>
    </row>
    <row r="7" spans="1:10" x14ac:dyDescent="0.25">
      <c r="A7" s="23" t="s">
        <v>61</v>
      </c>
      <c r="F7" s="23" t="s">
        <v>91</v>
      </c>
      <c r="G7" s="23" t="s">
        <v>88</v>
      </c>
    </row>
    <row r="8" spans="1:10" x14ac:dyDescent="0.25">
      <c r="A8" s="23" t="s">
        <v>76</v>
      </c>
      <c r="F8" s="23" t="s">
        <v>92</v>
      </c>
    </row>
    <row r="9" spans="1:10" x14ac:dyDescent="0.25">
      <c r="A9" s="23" t="s">
        <v>64</v>
      </c>
      <c r="F9" s="23" t="s">
        <v>87</v>
      </c>
    </row>
    <row r="10" spans="1:10" x14ac:dyDescent="0.25">
      <c r="A10" s="23" t="s">
        <v>77</v>
      </c>
      <c r="F10" s="23" t="s">
        <v>93</v>
      </c>
    </row>
    <row r="11" spans="1:10" x14ac:dyDescent="0.25">
      <c r="F11" s="23" t="s">
        <v>94</v>
      </c>
    </row>
    <row r="12" spans="1:10" x14ac:dyDescent="0.25">
      <c r="F12" s="23" t="s">
        <v>95</v>
      </c>
    </row>
    <row r="13" spans="1:10" x14ac:dyDescent="0.25">
      <c r="F13" s="23" t="s">
        <v>88</v>
      </c>
    </row>
  </sheetData>
  <customSheetViews>
    <customSheetView guid="{A8F9189F-30EC-448E-8FA3-1F1B01D22A46}" topLeftCell="C1">
      <selection activeCell="I3" sqref="I3"/>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G25"/>
  <sheetViews>
    <sheetView workbookViewId="0">
      <selection activeCell="I16" sqref="I16"/>
    </sheetView>
  </sheetViews>
  <sheetFormatPr defaultRowHeight="15" x14ac:dyDescent="0.25"/>
  <cols>
    <col min="1" max="1" width="30.140625" style="124" bestFit="1" customWidth="1"/>
    <col min="2" max="2" width="30.85546875" customWidth="1"/>
    <col min="3" max="3" width="28.5703125" customWidth="1"/>
    <col min="4" max="4" width="16.7109375" customWidth="1"/>
    <col min="5" max="5" width="10.42578125" customWidth="1"/>
    <col min="6" max="6" width="29" bestFit="1" customWidth="1"/>
    <col min="7" max="7" width="16.7109375" customWidth="1"/>
  </cols>
  <sheetData>
    <row r="2" spans="1:7" x14ac:dyDescent="0.25">
      <c r="A2" s="62" t="s">
        <v>205</v>
      </c>
      <c r="B2" s="62" t="s">
        <v>310</v>
      </c>
      <c r="C2" s="138">
        <v>1</v>
      </c>
      <c r="E2">
        <v>1</v>
      </c>
      <c r="F2" t="s">
        <v>310</v>
      </c>
    </row>
    <row r="3" spans="1:7" x14ac:dyDescent="0.25">
      <c r="A3" s="62" t="s">
        <v>206</v>
      </c>
      <c r="B3" s="62" t="s">
        <v>310</v>
      </c>
      <c r="C3" s="138">
        <v>1</v>
      </c>
      <c r="E3">
        <v>2</v>
      </c>
      <c r="F3" t="s">
        <v>310</v>
      </c>
    </row>
    <row r="4" spans="1:7" x14ac:dyDescent="0.25">
      <c r="A4" s="62" t="s">
        <v>207</v>
      </c>
      <c r="B4" s="62" t="s">
        <v>310</v>
      </c>
      <c r="C4" s="138">
        <v>2</v>
      </c>
      <c r="E4">
        <v>3</v>
      </c>
      <c r="F4" t="s">
        <v>310</v>
      </c>
    </row>
    <row r="5" spans="1:7" x14ac:dyDescent="0.25">
      <c r="A5" s="62" t="s">
        <v>208</v>
      </c>
      <c r="B5" s="62" t="s">
        <v>310</v>
      </c>
      <c r="C5" s="138">
        <v>3</v>
      </c>
      <c r="E5">
        <v>4</v>
      </c>
      <c r="F5" t="s">
        <v>310</v>
      </c>
    </row>
    <row r="6" spans="1:7" x14ac:dyDescent="0.25">
      <c r="A6" s="62" t="s">
        <v>209</v>
      </c>
      <c r="B6" s="62" t="s">
        <v>310</v>
      </c>
      <c r="C6" s="138">
        <v>3</v>
      </c>
      <c r="E6">
        <v>5</v>
      </c>
      <c r="F6" t="s">
        <v>310</v>
      </c>
    </row>
    <row r="7" spans="1:7" x14ac:dyDescent="0.25">
      <c r="A7" s="62" t="s">
        <v>210</v>
      </c>
      <c r="B7" s="139" t="s">
        <v>310</v>
      </c>
      <c r="C7" s="140"/>
      <c r="E7">
        <v>6</v>
      </c>
      <c r="F7" t="s">
        <v>310</v>
      </c>
    </row>
    <row r="8" spans="1:7" x14ac:dyDescent="0.25">
      <c r="A8" s="141" t="s">
        <v>211</v>
      </c>
      <c r="B8" s="139" t="s">
        <v>310</v>
      </c>
      <c r="C8" s="140"/>
      <c r="E8">
        <v>7</v>
      </c>
      <c r="F8" t="s">
        <v>310</v>
      </c>
    </row>
    <row r="9" spans="1:7" x14ac:dyDescent="0.25">
      <c r="A9" s="62" t="s">
        <v>212</v>
      </c>
      <c r="B9" s="62" t="s">
        <v>998</v>
      </c>
      <c r="C9" s="62"/>
      <c r="E9">
        <v>8</v>
      </c>
      <c r="F9" t="s">
        <v>310</v>
      </c>
    </row>
    <row r="10" spans="1:7" x14ac:dyDescent="0.25">
      <c r="A10" s="62" t="s">
        <v>213</v>
      </c>
      <c r="B10" s="62" t="s">
        <v>998</v>
      </c>
      <c r="C10" s="62"/>
      <c r="E10">
        <v>9</v>
      </c>
      <c r="F10" t="s">
        <v>310</v>
      </c>
    </row>
    <row r="11" spans="1:7" x14ac:dyDescent="0.25">
      <c r="A11" s="62" t="s">
        <v>214</v>
      </c>
      <c r="B11" s="62" t="s">
        <v>998</v>
      </c>
      <c r="C11" s="62"/>
      <c r="E11">
        <v>10</v>
      </c>
      <c r="F11" t="s">
        <v>310</v>
      </c>
    </row>
    <row r="12" spans="1:7" x14ac:dyDescent="0.25">
      <c r="A12" s="62" t="s">
        <v>215</v>
      </c>
      <c r="B12" s="62" t="s">
        <v>310</v>
      </c>
      <c r="C12" s="138">
        <v>4</v>
      </c>
      <c r="E12">
        <v>11</v>
      </c>
      <c r="F12" t="s">
        <v>310</v>
      </c>
      <c r="G12" t="s">
        <v>1097</v>
      </c>
    </row>
    <row r="13" spans="1:7" x14ac:dyDescent="0.25">
      <c r="A13" s="62" t="s">
        <v>216</v>
      </c>
      <c r="B13" s="139" t="s">
        <v>310</v>
      </c>
      <c r="C13" s="140">
        <v>5</v>
      </c>
      <c r="E13">
        <v>12</v>
      </c>
      <c r="F13" t="s">
        <v>310</v>
      </c>
      <c r="G13" s="124" t="s">
        <v>1097</v>
      </c>
    </row>
    <row r="14" spans="1:7" x14ac:dyDescent="0.25">
      <c r="A14" s="93" t="s">
        <v>217</v>
      </c>
      <c r="B14" s="93"/>
      <c r="C14" s="93"/>
      <c r="E14">
        <v>13</v>
      </c>
      <c r="F14" t="s">
        <v>310</v>
      </c>
      <c r="G14" s="124" t="s">
        <v>1097</v>
      </c>
    </row>
    <row r="15" spans="1:7" x14ac:dyDescent="0.25">
      <c r="A15" s="93" t="s">
        <v>218</v>
      </c>
      <c r="B15" s="93"/>
      <c r="C15" s="93"/>
      <c r="E15">
        <v>14</v>
      </c>
      <c r="F15" t="s">
        <v>310</v>
      </c>
      <c r="G15" s="124" t="s">
        <v>1097</v>
      </c>
    </row>
    <row r="16" spans="1:7" x14ac:dyDescent="0.25">
      <c r="A16" s="62" t="s">
        <v>219</v>
      </c>
      <c r="B16" s="62" t="s">
        <v>310</v>
      </c>
      <c r="C16" s="138">
        <v>6</v>
      </c>
      <c r="E16">
        <v>15</v>
      </c>
      <c r="F16" t="s">
        <v>310</v>
      </c>
      <c r="G16" t="s">
        <v>505</v>
      </c>
    </row>
    <row r="17" spans="1:7" x14ac:dyDescent="0.25">
      <c r="A17" s="62" t="s">
        <v>220</v>
      </c>
      <c r="B17" s="139" t="s">
        <v>310</v>
      </c>
      <c r="C17" s="140">
        <v>7</v>
      </c>
      <c r="E17">
        <v>16</v>
      </c>
      <c r="F17" t="s">
        <v>310</v>
      </c>
      <c r="G17" s="124" t="s">
        <v>505</v>
      </c>
    </row>
    <row r="18" spans="1:7" x14ac:dyDescent="0.25">
      <c r="A18" s="62" t="s">
        <v>221</v>
      </c>
      <c r="B18" s="62" t="s">
        <v>310</v>
      </c>
      <c r="C18" s="138">
        <v>8</v>
      </c>
      <c r="E18">
        <v>17</v>
      </c>
      <c r="F18" t="s">
        <v>310</v>
      </c>
      <c r="G18" s="124" t="s">
        <v>505</v>
      </c>
    </row>
    <row r="19" spans="1:7" x14ac:dyDescent="0.25">
      <c r="A19" s="62" t="s">
        <v>222</v>
      </c>
      <c r="B19" s="62" t="s">
        <v>310</v>
      </c>
      <c r="C19" s="138">
        <v>9</v>
      </c>
      <c r="E19">
        <v>18</v>
      </c>
      <c r="F19" t="s">
        <v>310</v>
      </c>
      <c r="G19" s="124" t="s">
        <v>505</v>
      </c>
    </row>
    <row r="20" spans="1:7" x14ac:dyDescent="0.25">
      <c r="A20" s="62" t="s">
        <v>995</v>
      </c>
      <c r="B20" s="62" t="s">
        <v>310</v>
      </c>
      <c r="C20" s="138">
        <v>15</v>
      </c>
      <c r="E20">
        <v>19</v>
      </c>
      <c r="F20" t="s">
        <v>310</v>
      </c>
      <c r="G20" t="s">
        <v>508</v>
      </c>
    </row>
    <row r="21" spans="1:7" x14ac:dyDescent="0.25">
      <c r="A21" s="62" t="s">
        <v>223</v>
      </c>
      <c r="B21" s="62"/>
      <c r="C21" s="62"/>
      <c r="E21">
        <v>20</v>
      </c>
      <c r="F21" t="s">
        <v>310</v>
      </c>
      <c r="G21" s="124" t="s">
        <v>508</v>
      </c>
    </row>
    <row r="22" spans="1:7" x14ac:dyDescent="0.25">
      <c r="A22" s="62" t="s">
        <v>352</v>
      </c>
      <c r="B22" s="139" t="s">
        <v>310</v>
      </c>
      <c r="C22" s="140">
        <v>11</v>
      </c>
      <c r="E22">
        <v>21</v>
      </c>
      <c r="F22" t="s">
        <v>310</v>
      </c>
    </row>
    <row r="23" spans="1:7" x14ac:dyDescent="0.25">
      <c r="A23" s="62" t="s">
        <v>353</v>
      </c>
      <c r="B23" s="139" t="s">
        <v>310</v>
      </c>
      <c r="C23" s="140">
        <v>12</v>
      </c>
      <c r="E23">
        <v>22</v>
      </c>
      <c r="F23" t="s">
        <v>310</v>
      </c>
    </row>
    <row r="24" spans="1:7" x14ac:dyDescent="0.25">
      <c r="A24" s="62" t="s">
        <v>354</v>
      </c>
      <c r="B24" s="139" t="s">
        <v>310</v>
      </c>
      <c r="C24" s="140">
        <v>13</v>
      </c>
      <c r="E24">
        <v>23</v>
      </c>
      <c r="F24" t="s">
        <v>310</v>
      </c>
    </row>
    <row r="25" spans="1:7" x14ac:dyDescent="0.25">
      <c r="A25" s="62" t="s">
        <v>355</v>
      </c>
      <c r="B25" s="139" t="s">
        <v>310</v>
      </c>
      <c r="C25" s="140">
        <v>14</v>
      </c>
      <c r="E25">
        <v>24</v>
      </c>
      <c r="F25" t="s">
        <v>310</v>
      </c>
    </row>
  </sheetData>
  <protectedRanges>
    <protectedRange sqref="A5" name="Range1_1"/>
  </protectedRange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Master</vt:lpstr>
      <vt:lpstr>Application_Environment</vt:lpstr>
      <vt:lpstr>DataSheet</vt:lpstr>
      <vt:lpstr>Mapping</vt:lpstr>
      <vt:lpstr>TabData</vt:lpstr>
      <vt:lpstr>Version Control</vt:lpstr>
      <vt:lpstr>Sheet1</vt:lpstr>
      <vt:lpstr>Sheet2</vt:lpstr>
      <vt:lpstr>AdminProductType</vt:lpstr>
      <vt:lpstr>Another</vt:lpstr>
      <vt:lpstr>cASH</vt:lpstr>
      <vt:lpstr>CashPassport</vt:lpstr>
      <vt:lpstr>Currencies</vt:lpstr>
      <vt:lpstr>Passport</vt:lpstr>
      <vt:lpstr>PaymentCountries</vt:lpstr>
      <vt:lpstr>PaymentType</vt:lpstr>
      <vt:lpstr>Product</vt:lpstr>
    </vt:vector>
  </TitlesOfParts>
  <Company>Travelex</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Kambli, Ninad</dc:creator>
  <cp:lastModifiedBy>Patel, Anis</cp:lastModifiedBy>
  <dcterms:created xsi:type="dcterms:W3CDTF">2013-01-22T09:38:43Z</dcterms:created>
  <dcterms:modified xsi:type="dcterms:W3CDTF">2015-06-09T16:46:33Z</dcterms:modified>
</cp:coreProperties>
</file>