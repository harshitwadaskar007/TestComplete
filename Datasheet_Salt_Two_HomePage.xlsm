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240" yWindow="3255" windowWidth="15120" windowHeight="4620" activeTab="2"/>
  </bookViews>
  <sheets>
    <sheet name="Master" sheetId="1" r:id="rId1"/>
    <sheet name="Application_Environment" sheetId="2" r:id="rId2"/>
    <sheet name="DataSheet" sheetId="3" r:id="rId3"/>
    <sheet name="Mapping" sheetId="4" r:id="rId4"/>
    <sheet name="TabData" sheetId="5" state="hidden" r:id="rId5"/>
    <sheet name="Version Control" sheetId="6" r:id="rId6"/>
    <sheet name="Sheet1" sheetId="7" r:id="rId7"/>
    <sheet name="Sheet2" sheetId="8" r:id="rId8"/>
  </sheets>
  <functionGroups builtInGroupCount="17"/>
  <externalReferences>
    <externalReference r:id="rId9"/>
  </externalReferences>
  <definedNames>
    <definedName name="_xlnm._FilterDatabase" localSheetId="2" hidden="1">DataSheet!$B$3:$D$3</definedName>
    <definedName name="_xlnm._FilterDatabase" localSheetId="0" hidden="1">Master!$A$1:$G$1</definedName>
    <definedName name="AdminProductType">Sheet1!$E$2:$E$3</definedName>
    <definedName name="Another">Sheet1!$C$2:$C$4</definedName>
    <definedName name="cASH">Sheet1!$F$2:$F$13</definedName>
    <definedName name="CashPassport">Sheet1!$G$2:$G$7</definedName>
    <definedName name="Currencies">Sheet1!$A$2:$A$10</definedName>
    <definedName name="FraudAction">[1]Sheet1!$H$2:$H$3</definedName>
    <definedName name="Passport">Sheet1!$D$2:$D$4</definedName>
    <definedName name="PaymentCountries">Sheet1!$I$2:$I$4</definedName>
    <definedName name="PaymentType">Sheet1!$J$2:$J$4</definedName>
    <definedName name="Product">Sheet1!$B$2:$B$4</definedName>
    <definedName name="Z_038EA038_5A0E_4BA1_B2F5_E3A3B7AA82FA_.wvu.Cols" localSheetId="2" hidden="1">DataSheet!$H:$GY</definedName>
    <definedName name="Z_038EA038_5A0E_4BA1_B2F5_E3A3B7AA82FA_.wvu.FilterData" localSheetId="2" hidden="1">DataSheet!$B$3:$D$3</definedName>
    <definedName name="Z_038EA038_5A0E_4BA1_B2F5_E3A3B7AA82FA_.wvu.FilterData" localSheetId="0" hidden="1">Master!$A$1:$G$1</definedName>
    <definedName name="Z_038EA038_5A0E_4BA1_B2F5_E3A3B7AA82FA_.wvu.Rows" localSheetId="2" hidden="1">DataSheet!#REF!,DataSheet!#REF!</definedName>
    <definedName name="Z_A8F9189F_30EC_448E_8FA3_1F1B01D22A46_.wvu.Cols" localSheetId="2" hidden="1">DataSheet!$BW:$BW</definedName>
    <definedName name="Z_A8F9189F_30EC_448E_8FA3_1F1B01D22A46_.wvu.FilterData" localSheetId="2" hidden="1">DataSheet!$D$3:$D$3</definedName>
    <definedName name="Z_A8F9189F_30EC_448E_8FA3_1F1B01D22A46_.wvu.FilterData" localSheetId="0" hidden="1">Master!$A$1:$G$1</definedName>
    <definedName name="Z_A8F9189F_30EC_448E_8FA3_1F1B01D22A46_.wvu.Rows" localSheetId="2" hidden="1">DataSheet!#REF!</definedName>
    <definedName name="Z_CF42ED2D_1073_4AB2_96F1_563C90B8192E_.wvu.FilterData" localSheetId="2" hidden="1">DataSheet!$B$3:$D$3</definedName>
    <definedName name="Z_CF42ED2D_1073_4AB2_96F1_563C90B8192E_.wvu.FilterData" localSheetId="0" hidden="1">Master!$A$1:$G$1</definedName>
    <definedName name="Z_D354225D_2C82_4417_8BA4_5EFA1D96D332_.wvu.FilterData" localSheetId="2" hidden="1">DataSheet!$B$3:$D$3</definedName>
    <definedName name="Z_D354225D_2C82_4417_8BA4_5EFA1D96D332_.wvu.FilterData" localSheetId="0" hidden="1">Master!$A$1:$G$1</definedName>
  </definedNames>
  <calcPr calcId="145621"/>
  <customWorkbookViews>
    <customWorkbookView name="Ladi, Priya - Personal View" guid="{D354225D-2C82-4417-8BA4-5EFA1D96D332}" mergeInterval="0" personalView="1" maximized="1" windowWidth="1362" windowHeight="543" activeSheetId="3"/>
    <customWorkbookView name="Sabale, Nilesh - Personal View" guid="{A8F9189F-30EC-448E-8FA3-1F1B01D22A46}" mergeInterval="0" personalView="1" maximized="1" windowWidth="1276" windowHeight="805" activeSheetId="5"/>
    <customWorkbookView name="Vyas, Ramdayal - Personal View" guid="{CF42ED2D-1073-4AB2-96F1-563C90B8192E}" mergeInterval="0" personalView="1" maximized="1" windowWidth="1362" windowHeight="553" activeSheetId="3"/>
    <customWorkbookView name="Kapale, Vikram - Personal View" guid="{038EA038-5A0E-4BA1-B2F5-E3A3B7AA82FA}" mergeInterval="0" personalView="1" maximized="1" windowWidth="1362" windowHeight="521" activeSheetId="3"/>
  </customWorkbookViews>
</workbook>
</file>

<file path=xl/calcChain.xml><?xml version="1.0" encoding="utf-8"?>
<calcChain xmlns="http://schemas.openxmlformats.org/spreadsheetml/2006/main">
  <c r="F8" i="3" l="1"/>
  <c r="G8" i="3"/>
  <c r="F7" i="3"/>
  <c r="G7" i="3"/>
  <c r="F6" i="3" l="1"/>
  <c r="G6" i="3"/>
  <c r="F5" i="3" l="1"/>
  <c r="G5" i="3"/>
  <c r="F4" i="3" l="1"/>
  <c r="G4" i="3"/>
  <c r="F69" i="3" l="1"/>
  <c r="G69" i="3"/>
  <c r="F68" i="3"/>
  <c r="G68" i="3"/>
  <c r="F67" i="3"/>
  <c r="G67" i="3"/>
  <c r="G16" i="3" l="1"/>
  <c r="F61" i="3" l="1"/>
  <c r="G61" i="3"/>
  <c r="F60" i="3" l="1"/>
  <c r="G60" i="3"/>
  <c r="F38" i="3"/>
  <c r="G38" i="3"/>
  <c r="F28" i="3" l="1"/>
  <c r="G28" i="3"/>
  <c r="F59" i="3" l="1"/>
  <c r="G59" i="3"/>
  <c r="F58" i="3" l="1"/>
  <c r="G58" i="3"/>
  <c r="F57" i="3" l="1"/>
  <c r="G57" i="3"/>
  <c r="F56" i="3"/>
  <c r="G56" i="3"/>
  <c r="F55" i="3"/>
  <c r="G55" i="3"/>
  <c r="F54" i="3"/>
  <c r="G54" i="3"/>
  <c r="F53" i="3"/>
  <c r="G53" i="3"/>
  <c r="F52" i="3"/>
  <c r="G52" i="3"/>
  <c r="F37" i="3"/>
  <c r="G37" i="3"/>
  <c r="F36" i="3"/>
  <c r="G36" i="3"/>
  <c r="F35" i="3"/>
  <c r="G35" i="3"/>
  <c r="F34" i="3"/>
  <c r="G34" i="3"/>
  <c r="F32" i="3"/>
  <c r="G32" i="3"/>
  <c r="F31" i="3"/>
  <c r="G31" i="3"/>
  <c r="F30" i="3"/>
  <c r="G30" i="3"/>
  <c r="F29" i="3"/>
  <c r="G29" i="3"/>
  <c r="F26" i="3"/>
  <c r="G26" i="3"/>
  <c r="F25" i="3"/>
  <c r="G25" i="3"/>
  <c r="F24" i="3"/>
  <c r="G24" i="3"/>
  <c r="F23" i="3"/>
  <c r="G23" i="3"/>
  <c r="F22" i="3"/>
  <c r="G22" i="3"/>
  <c r="F14" i="3"/>
  <c r="G14" i="3"/>
  <c r="F13" i="3"/>
  <c r="G13" i="3"/>
  <c r="F12" i="3"/>
  <c r="G12" i="3"/>
  <c r="F11" i="3"/>
  <c r="G11" i="3"/>
  <c r="F10" i="3"/>
  <c r="G10" i="3"/>
  <c r="F71" i="3" l="1"/>
  <c r="G71" i="3"/>
  <c r="F70" i="3"/>
  <c r="G70" i="3"/>
</calcChain>
</file>

<file path=xl/comments1.xml><?xml version="1.0" encoding="utf-8"?>
<comments xmlns="http://schemas.openxmlformats.org/spreadsheetml/2006/main">
  <authors>
    <author>Kapale, Vikram</author>
  </authors>
  <commentList>
    <comment ref="HA3" authorId="0">
      <text>
        <r>
          <rPr>
            <b/>
            <sz val="9"/>
            <color indexed="81"/>
            <rFont val="Tahoma"/>
            <family val="2"/>
          </rPr>
          <t>Kapale, Vikram:</t>
        </r>
        <r>
          <rPr>
            <sz val="9"/>
            <color indexed="81"/>
            <rFont val="Tahoma"/>
            <family val="2"/>
          </rPr>
          <t xml:space="preserve">
Buy Rate</t>
        </r>
      </text>
    </comment>
    <comment ref="HB3" authorId="0">
      <text>
        <r>
          <rPr>
            <b/>
            <sz val="9"/>
            <color indexed="81"/>
            <rFont val="Tahoma"/>
            <family val="2"/>
          </rPr>
          <t>Kapale, Vikram:</t>
        </r>
        <r>
          <rPr>
            <sz val="9"/>
            <color indexed="81"/>
            <rFont val="Tahoma"/>
            <family val="2"/>
          </rPr>
          <t xml:space="preserve">
Sell Rate</t>
        </r>
      </text>
    </comment>
    <comment ref="HC3" authorId="0">
      <text>
        <r>
          <rPr>
            <b/>
            <sz val="9"/>
            <color indexed="81"/>
            <rFont val="Tahoma"/>
            <family val="2"/>
          </rPr>
          <t>Kapale, Vikram:</t>
        </r>
        <r>
          <rPr>
            <sz val="9"/>
            <color indexed="81"/>
            <rFont val="Tahoma"/>
            <family val="2"/>
          </rPr>
          <t xml:space="preserve">
Sell Rate</t>
        </r>
      </text>
    </comment>
  </commentList>
</comments>
</file>

<file path=xl/sharedStrings.xml><?xml version="1.0" encoding="utf-8"?>
<sst xmlns="http://schemas.openxmlformats.org/spreadsheetml/2006/main" count="2514" uniqueCount="1205">
  <si>
    <t>Action</t>
  </si>
  <si>
    <t>Headers</t>
  </si>
  <si>
    <t>Headers Description</t>
  </si>
  <si>
    <t>FRAMEWORK</t>
  </si>
  <si>
    <t>INDEX</t>
  </si>
  <si>
    <t>STATUS</t>
  </si>
  <si>
    <t>TC_STATUS_MESSAGE</t>
  </si>
  <si>
    <t>SNAPSHOT_PATH</t>
  </si>
  <si>
    <t>RESULTS_PATH</t>
  </si>
  <si>
    <t>Test Case Name</t>
  </si>
  <si>
    <t>App_Env</t>
  </si>
  <si>
    <t>App_Name][App_Env][UserType</t>
  </si>
  <si>
    <t>App_Name</t>
  </si>
  <si>
    <t>UserType</t>
  </si>
  <si>
    <t>Sr. No</t>
  </si>
  <si>
    <t>TEST CASE NAME</t>
  </si>
  <si>
    <t>URL</t>
  </si>
  <si>
    <t>Timeout</t>
  </si>
  <si>
    <t>UserID</t>
  </si>
  <si>
    <t>Password</t>
  </si>
  <si>
    <t>Status</t>
  </si>
  <si>
    <t>AdditionalDetail</t>
  </si>
  <si>
    <t>Maker</t>
  </si>
  <si>
    <t>Not Active</t>
  </si>
  <si>
    <t>Datasheet Version</t>
  </si>
  <si>
    <t>1.0</t>
  </si>
  <si>
    <t>Created By</t>
  </si>
  <si>
    <t>Ninad Kambli</t>
  </si>
  <si>
    <t>Date</t>
  </si>
  <si>
    <t>Modified By</t>
  </si>
  <si>
    <t>Purpose</t>
  </si>
  <si>
    <t>Name of the sheet where modification is done</t>
  </si>
  <si>
    <t>Modification date</t>
  </si>
  <si>
    <t>BUSINESS_COMPONENT</t>
  </si>
  <si>
    <t>HEADERS_USED</t>
  </si>
  <si>
    <t>BUSINESS_COMPONENTS_USED</t>
  </si>
  <si>
    <t>TESTCASES</t>
  </si>
  <si>
    <t>Dependency</t>
  </si>
  <si>
    <t>TEST_CASE</t>
  </si>
  <si>
    <t>MAPPING_INDEX</t>
  </si>
  <si>
    <t>TEST_CASE][MAPPING_INDEX</t>
  </si>
  <si>
    <t>Copy_BCHeader_Values</t>
  </si>
  <si>
    <t>SOURCE_HEADERS</t>
  </si>
  <si>
    <t>TARGET_HEADERS</t>
  </si>
  <si>
    <t>SOURCE_HEADERS][TARGET_HEADERS</t>
  </si>
  <si>
    <t>Copy_TC_to_TC</t>
  </si>
  <si>
    <t>SourceTC</t>
  </si>
  <si>
    <t>SourceIndex</t>
  </si>
  <si>
    <t>SourceTCHeader</t>
  </si>
  <si>
    <t>TargetTCHeader</t>
  </si>
  <si>
    <t>SourceTC][SourceIndex][SourceTCHeader][TargetTCHeader</t>
  </si>
  <si>
    <t>TCNAME</t>
  </si>
  <si>
    <t>INDEX][TCNAME][STATUS][TC_STATUS_MESSAGE][SNAPSHOT_PATH][RESULTS_PATH</t>
  </si>
  <si>
    <t>Clear_Header_Values</t>
  </si>
  <si>
    <t>ClearHeaders</t>
  </si>
  <si>
    <t>Start_Time</t>
  </si>
  <si>
    <t>End_Time</t>
  </si>
  <si>
    <t>Total_Execution_Time</t>
  </si>
  <si>
    <t>SALT</t>
  </si>
  <si>
    <t>Cash Passport</t>
  </si>
  <si>
    <t>Indonesia, Rupiah</t>
  </si>
  <si>
    <t>Purchase Cash</t>
  </si>
  <si>
    <t>None</t>
  </si>
  <si>
    <t>New Zealand, Dollar</t>
  </si>
  <si>
    <t>Currencies</t>
  </si>
  <si>
    <t>Product</t>
  </si>
  <si>
    <t>AnotherCur</t>
  </si>
  <si>
    <t>Australia, Dollar</t>
  </si>
  <si>
    <t>Canada, Dollar</t>
  </si>
  <si>
    <t>Multi Currency Passport</t>
  </si>
  <si>
    <t>Purchase Multi-Currency Cash Passport</t>
  </si>
  <si>
    <t>Denmark, Krone</t>
  </si>
  <si>
    <t>Reload Cash Passport</t>
  </si>
  <si>
    <t>Euro</t>
  </si>
  <si>
    <t>Hong Kong, Dollar</t>
  </si>
  <si>
    <t>Japan, Yen</t>
  </si>
  <si>
    <t>United Kingdom, Pound</t>
  </si>
  <si>
    <t>Passport</t>
  </si>
  <si>
    <t>Cash</t>
  </si>
  <si>
    <t>AdminProductType</t>
  </si>
  <si>
    <t>AdminForeignCurrencyCash</t>
  </si>
  <si>
    <t>AdminForeignCurrencyCashPassport</t>
  </si>
  <si>
    <t>AUD</t>
  </si>
  <si>
    <t>CAD</t>
  </si>
  <si>
    <t>EUR</t>
  </si>
  <si>
    <t>GBP</t>
  </si>
  <si>
    <t>JPY</t>
  </si>
  <si>
    <t>USD</t>
  </si>
  <si>
    <t>CashPassport</t>
  </si>
  <si>
    <t>DKK</t>
  </si>
  <si>
    <t>HKD</t>
  </si>
  <si>
    <t>IDR</t>
  </si>
  <si>
    <t>MXN</t>
  </si>
  <si>
    <t>NZD</t>
  </si>
  <si>
    <t>SAR</t>
  </si>
  <si>
    <t>Admin</t>
  </si>
  <si>
    <t>Buy_Product</t>
  </si>
  <si>
    <t>LST_SALT_Home{Foreign_Currency}</t>
  </si>
  <si>
    <t>EDT_SALT_Home{Foreign_Amount}</t>
  </si>
  <si>
    <t>HandleSecurityAlert</t>
  </si>
  <si>
    <t>Actual_ForeignAmount</t>
  </si>
  <si>
    <t>Actual_LocalAmount</t>
  </si>
  <si>
    <t>LBL_SALT_Home{Foreign_CurrencyCode}</t>
  </si>
  <si>
    <t>Local_CurrencyCode</t>
  </si>
  <si>
    <t>EDT_SALT_Home{Local_Amount}</t>
  </si>
  <si>
    <r>
      <t>LST_SALT_Home</t>
    </r>
    <r>
      <rPr>
        <b/>
        <sz val="10"/>
        <color theme="1"/>
        <rFont val="Calibri"/>
        <family val="2"/>
        <scheme val="minor"/>
      </rPr>
      <t>{Foreign_Currency}</t>
    </r>
  </si>
  <si>
    <r>
      <t>EDT_SALT_Home</t>
    </r>
    <r>
      <rPr>
        <b/>
        <sz val="10"/>
        <color theme="1"/>
        <rFont val="Calibri"/>
        <family val="2"/>
        <scheme val="minor"/>
      </rPr>
      <t>{Foreign_Amount}</t>
    </r>
  </si>
  <si>
    <r>
      <t>LBL_SALT_Home</t>
    </r>
    <r>
      <rPr>
        <b/>
        <sz val="10"/>
        <color theme="1"/>
        <rFont val="Calibri"/>
        <family val="2"/>
        <scheme val="minor"/>
      </rPr>
      <t>{Foreign_CurrencyCode}</t>
    </r>
  </si>
  <si>
    <r>
      <t>EDT_SALT_Home</t>
    </r>
    <r>
      <rPr>
        <b/>
        <sz val="10"/>
        <color theme="1"/>
        <rFont val="Calibri"/>
        <family val="2"/>
        <scheme val="minor"/>
      </rPr>
      <t>{Local_Amount}</t>
    </r>
  </si>
  <si>
    <t>EnterFirstOrderDetail</t>
  </si>
  <si>
    <t>VerifyFirstOrder</t>
  </si>
  <si>
    <t>Add_ProductType</t>
  </si>
  <si>
    <t>Add_ForeignCurrency</t>
  </si>
  <si>
    <t>Add_ForeignAmount</t>
  </si>
  <si>
    <t>Add_Foreign_CurrencyCode</t>
  </si>
  <si>
    <t>Add_LocalAmount</t>
  </si>
  <si>
    <t>Add_Local_CurrencyCode</t>
  </si>
  <si>
    <t>Add_OrderType</t>
  </si>
  <si>
    <t>AddOrder</t>
  </si>
  <si>
    <t>EDT_SALT_ShippingOption{Location}</t>
  </si>
  <si>
    <t>Shipping_Type</t>
  </si>
  <si>
    <t>Availability_Message</t>
  </si>
  <si>
    <t>PricePromise_Message</t>
  </si>
  <si>
    <t>DeliveryDate</t>
  </si>
  <si>
    <t>Selected_DeliveryDate</t>
  </si>
  <si>
    <t>Selected_DeliveryCost</t>
  </si>
  <si>
    <t>Selected_FulfilmentOption</t>
  </si>
  <si>
    <t>LST_SALT_Pay{Title}</t>
  </si>
  <si>
    <t>EDT_SALT_Pay{FirstName}</t>
  </si>
  <si>
    <t>EDT_SALT_Pay{MiddleName}</t>
  </si>
  <si>
    <t>EDT_SALT_Pay{LastName}</t>
  </si>
  <si>
    <t>LST_SALT_Pay{DOB_MM}</t>
  </si>
  <si>
    <t>LST_SALT_Pay{DOB_DD}</t>
  </si>
  <si>
    <t>LST_SALT_Pay{DOB_YYYY}</t>
  </si>
  <si>
    <t>EDT_SALT_Pay{Mother_MaidenName}</t>
  </si>
  <si>
    <t>LST_SALT_Pay{ID_Type}</t>
  </si>
  <si>
    <t>LST_SALT_Pay{CountryOfIssue}</t>
  </si>
  <si>
    <t>LST_SALT_Pay{StateOfIssue}</t>
  </si>
  <si>
    <t>EDT_SALT_Pay{ID_Number}</t>
  </si>
  <si>
    <t>LST_SALT_Pay{IDExpiry_MM}</t>
  </si>
  <si>
    <t>LST_SALT_Pay{IDExpiry_DD}</t>
  </si>
  <si>
    <t>LST_SALT_Pay{IDExpiry_YYYY}</t>
  </si>
  <si>
    <t>EDT_SALT_Pay{Cell_Phone}</t>
  </si>
  <si>
    <t>EDT_SALT_Pay{Home_Phone}</t>
  </si>
  <si>
    <t>EDT_SALT_Pay{Email_Address}</t>
  </si>
  <si>
    <t>EDT_SALT_Pay{Confirm_EmailAddress}</t>
  </si>
  <si>
    <t>EDT_SALT_Pay{Street_Address}</t>
  </si>
  <si>
    <t>EDT_SALT_Pay{Apartment_Number}</t>
  </si>
  <si>
    <t>EDT_SALT_Pay{City}</t>
  </si>
  <si>
    <t>EDT_SALT_Pay{Zip}</t>
  </si>
  <si>
    <t>LST_SALT_Pay{Card_Type}</t>
  </si>
  <si>
    <t>EDT_SALT_Pay{Card_Number}</t>
  </si>
  <si>
    <t>EDT_SALT_Pay{Card_FirstName}</t>
  </si>
  <si>
    <t>EDT_SALT_Pay{Card_LastName}</t>
  </si>
  <si>
    <t>EDT_SALT_Pay{Security_Code}</t>
  </si>
  <si>
    <t>CHK_SALT_Pay{Special_Offers}</t>
  </si>
  <si>
    <t>CHK_SALT_Pay{TermsAndConditions}</t>
  </si>
  <si>
    <t>Confirmation</t>
  </si>
  <si>
    <t>NOD_SALT_Confirmation{Order_Number}</t>
  </si>
  <si>
    <t>Residential_State</t>
  </si>
  <si>
    <r>
      <t>EDT_SALT_ShippingOption</t>
    </r>
    <r>
      <rPr>
        <b/>
        <sz val="10"/>
        <color theme="1"/>
        <rFont val="Calibri"/>
        <family val="2"/>
        <scheme val="minor"/>
      </rPr>
      <t>{Location}</t>
    </r>
  </si>
  <si>
    <r>
      <t>LST_SALT_Pay</t>
    </r>
    <r>
      <rPr>
        <b/>
        <sz val="10"/>
        <color theme="1"/>
        <rFont val="Calibri"/>
        <family val="2"/>
        <scheme val="minor"/>
      </rPr>
      <t>{Title}</t>
    </r>
  </si>
  <si>
    <r>
      <t>EDT_SALT_Pay</t>
    </r>
    <r>
      <rPr>
        <b/>
        <sz val="10"/>
        <color theme="1"/>
        <rFont val="Calibri"/>
        <family val="2"/>
        <scheme val="minor"/>
      </rPr>
      <t>{FirstName}</t>
    </r>
  </si>
  <si>
    <r>
      <t>EDT_SALT_Pay</t>
    </r>
    <r>
      <rPr>
        <b/>
        <sz val="10"/>
        <color theme="1"/>
        <rFont val="Calibri"/>
        <family val="2"/>
        <scheme val="minor"/>
      </rPr>
      <t>{LastName}</t>
    </r>
  </si>
  <si>
    <r>
      <t>LST_SALT_Pay</t>
    </r>
    <r>
      <rPr>
        <b/>
        <sz val="10"/>
        <color theme="1"/>
        <rFont val="Calibri"/>
        <family val="2"/>
        <scheme val="minor"/>
      </rPr>
      <t>{DOB_MM}</t>
    </r>
  </si>
  <si>
    <r>
      <t>LST_SALT_Pay</t>
    </r>
    <r>
      <rPr>
        <b/>
        <sz val="10"/>
        <color theme="1"/>
        <rFont val="Calibri"/>
        <family val="2"/>
        <scheme val="minor"/>
      </rPr>
      <t>{DOB_DD}</t>
    </r>
  </si>
  <si>
    <r>
      <t>LST_SALT_Pay</t>
    </r>
    <r>
      <rPr>
        <b/>
        <sz val="10"/>
        <color theme="1"/>
        <rFont val="Calibri"/>
        <family val="2"/>
        <scheme val="minor"/>
      </rPr>
      <t>{DOB_YYYY}</t>
    </r>
  </si>
  <si>
    <r>
      <t>EDT_SALT_Pay</t>
    </r>
    <r>
      <rPr>
        <b/>
        <sz val="10"/>
        <color theme="1"/>
        <rFont val="Calibri"/>
        <family val="2"/>
        <scheme val="minor"/>
      </rPr>
      <t>{Mother_MaidenName}</t>
    </r>
  </si>
  <si>
    <r>
      <t>LST_SALT_Pay</t>
    </r>
    <r>
      <rPr>
        <b/>
        <sz val="10"/>
        <color theme="1"/>
        <rFont val="Calibri"/>
        <family val="2"/>
        <scheme val="minor"/>
      </rPr>
      <t>{ID_Type}</t>
    </r>
  </si>
  <si>
    <r>
      <t>LST_SALT_Pay</t>
    </r>
    <r>
      <rPr>
        <b/>
        <sz val="10"/>
        <color theme="1"/>
        <rFont val="Calibri"/>
        <family val="2"/>
        <scheme val="minor"/>
      </rPr>
      <t>{CountryOfIssue}</t>
    </r>
  </si>
  <si>
    <r>
      <t>LST_SALT_Pay</t>
    </r>
    <r>
      <rPr>
        <b/>
        <sz val="10"/>
        <color theme="1"/>
        <rFont val="Calibri"/>
        <family val="2"/>
        <scheme val="minor"/>
      </rPr>
      <t>{StateOfIssue}</t>
    </r>
  </si>
  <si>
    <r>
      <t>EDT_SALT_Pay</t>
    </r>
    <r>
      <rPr>
        <b/>
        <sz val="10"/>
        <color theme="1"/>
        <rFont val="Calibri"/>
        <family val="2"/>
        <scheme val="minor"/>
      </rPr>
      <t>{ID_Number}</t>
    </r>
  </si>
  <si>
    <r>
      <t>LST_SALT_Pay</t>
    </r>
    <r>
      <rPr>
        <b/>
        <sz val="10"/>
        <color theme="1"/>
        <rFont val="Calibri"/>
        <family val="2"/>
        <scheme val="minor"/>
      </rPr>
      <t>{IDExpiry_MM}</t>
    </r>
  </si>
  <si>
    <r>
      <t>LST_SALT_Pay</t>
    </r>
    <r>
      <rPr>
        <b/>
        <sz val="10"/>
        <color theme="1"/>
        <rFont val="Calibri"/>
        <family val="2"/>
        <scheme val="minor"/>
      </rPr>
      <t>{IDExpiry_DD}</t>
    </r>
  </si>
  <si>
    <r>
      <t>LST_SALT_Pay</t>
    </r>
    <r>
      <rPr>
        <b/>
        <sz val="10"/>
        <color theme="1"/>
        <rFont val="Calibri"/>
        <family val="2"/>
        <scheme val="minor"/>
      </rPr>
      <t>{IDExpiry_YYYY}</t>
    </r>
  </si>
  <si>
    <r>
      <t>EDT_SALT_Pay</t>
    </r>
    <r>
      <rPr>
        <b/>
        <sz val="10"/>
        <color theme="1"/>
        <rFont val="Calibri"/>
        <family val="2"/>
        <scheme val="minor"/>
      </rPr>
      <t>{Cell_Phone}</t>
    </r>
  </si>
  <si>
    <r>
      <t>EDT_SALT_Pay</t>
    </r>
    <r>
      <rPr>
        <b/>
        <sz val="10"/>
        <color theme="1"/>
        <rFont val="Calibri"/>
        <family val="2"/>
        <scheme val="minor"/>
      </rPr>
      <t>{Home_Phone}</t>
    </r>
  </si>
  <si>
    <r>
      <t>EDT_SALT_Pay</t>
    </r>
    <r>
      <rPr>
        <b/>
        <sz val="10"/>
        <color theme="1"/>
        <rFont val="Calibri"/>
        <family val="2"/>
        <scheme val="minor"/>
      </rPr>
      <t>{Email_Address}</t>
    </r>
  </si>
  <si>
    <r>
      <t>EDT_SALT_Pay</t>
    </r>
    <r>
      <rPr>
        <b/>
        <sz val="10"/>
        <color theme="1"/>
        <rFont val="Calibri"/>
        <family val="2"/>
        <scheme val="minor"/>
      </rPr>
      <t>{Confirm_EmailAddress}</t>
    </r>
  </si>
  <si>
    <r>
      <t>EDT_SALT_Pay</t>
    </r>
    <r>
      <rPr>
        <b/>
        <sz val="10"/>
        <color theme="1"/>
        <rFont val="Calibri"/>
        <family val="2"/>
        <scheme val="minor"/>
      </rPr>
      <t>{Street_Address}</t>
    </r>
  </si>
  <si>
    <r>
      <t>EDT_SALT_Pay</t>
    </r>
    <r>
      <rPr>
        <b/>
        <sz val="10"/>
        <color theme="1"/>
        <rFont val="Calibri"/>
        <family val="2"/>
        <scheme val="minor"/>
      </rPr>
      <t>{Apartment_Number}</t>
    </r>
  </si>
  <si>
    <r>
      <t>EDT_SALT_Pay</t>
    </r>
    <r>
      <rPr>
        <b/>
        <sz val="10"/>
        <color theme="1"/>
        <rFont val="Calibri"/>
        <family val="2"/>
        <scheme val="minor"/>
      </rPr>
      <t>{City}</t>
    </r>
  </si>
  <si>
    <r>
      <t>EDT_SALT_Pay</t>
    </r>
    <r>
      <rPr>
        <b/>
        <sz val="10"/>
        <color theme="1"/>
        <rFont val="Calibri"/>
        <family val="2"/>
        <scheme val="minor"/>
      </rPr>
      <t>{Zip}</t>
    </r>
  </si>
  <si>
    <r>
      <t>LST_SALT_Pay</t>
    </r>
    <r>
      <rPr>
        <b/>
        <sz val="10"/>
        <color theme="1"/>
        <rFont val="Calibri"/>
        <family val="2"/>
        <scheme val="minor"/>
      </rPr>
      <t>{Card_Type}</t>
    </r>
  </si>
  <si>
    <r>
      <t>EDT_SALT_Pay</t>
    </r>
    <r>
      <rPr>
        <b/>
        <sz val="10"/>
        <color theme="1"/>
        <rFont val="Calibri"/>
        <family val="2"/>
        <scheme val="minor"/>
      </rPr>
      <t>{Card_Number}</t>
    </r>
  </si>
  <si>
    <r>
      <t>EDT_SALT_Pay</t>
    </r>
    <r>
      <rPr>
        <b/>
        <sz val="10"/>
        <color theme="1"/>
        <rFont val="Calibri"/>
        <family val="2"/>
        <scheme val="minor"/>
      </rPr>
      <t>{Card_FirstName}</t>
    </r>
  </si>
  <si>
    <r>
      <t>EDT_SALT_Pay</t>
    </r>
    <r>
      <rPr>
        <b/>
        <sz val="10"/>
        <color theme="1"/>
        <rFont val="Calibri"/>
        <family val="2"/>
        <scheme val="minor"/>
      </rPr>
      <t>{Card_LastName}</t>
    </r>
  </si>
  <si>
    <r>
      <t>EDT_SALT_Pay</t>
    </r>
    <r>
      <rPr>
        <b/>
        <sz val="10"/>
        <color theme="1"/>
        <rFont val="Calibri"/>
        <family val="2"/>
        <scheme val="minor"/>
      </rPr>
      <t>{Security_Code}</t>
    </r>
  </si>
  <si>
    <r>
      <t>CHK_SALT_Pay</t>
    </r>
    <r>
      <rPr>
        <b/>
        <sz val="10"/>
        <color theme="1"/>
        <rFont val="Calibri"/>
        <family val="2"/>
        <scheme val="minor"/>
      </rPr>
      <t>{Special_Offers}</t>
    </r>
  </si>
  <si>
    <r>
      <t>CHK_SALT_Pay</t>
    </r>
    <r>
      <rPr>
        <b/>
        <sz val="10"/>
        <color theme="1"/>
        <rFont val="Calibri"/>
        <family val="2"/>
        <scheme val="minor"/>
      </rPr>
      <t>{TermsAndConditions}</t>
    </r>
  </si>
  <si>
    <r>
      <t>NOD_SALT_Confirmation</t>
    </r>
    <r>
      <rPr>
        <b/>
        <sz val="10"/>
        <color theme="1"/>
        <rFont val="Calibri"/>
        <family val="2"/>
        <scheme val="minor"/>
      </rPr>
      <t>{Order_Number}</t>
    </r>
  </si>
  <si>
    <t>EDT_SALT_CreateOrder{Primary_CardNumber}</t>
  </si>
  <si>
    <r>
      <t>EDT_SALT_CreateOrder</t>
    </r>
    <r>
      <rPr>
        <b/>
        <sz val="10"/>
        <color theme="1"/>
        <rFont val="Calibri"/>
        <family val="2"/>
        <scheme val="minor"/>
      </rPr>
      <t>{Primary_CardNumber}</t>
    </r>
  </si>
  <si>
    <t>OrderTotal</t>
  </si>
  <si>
    <t>ProductType</t>
  </si>
  <si>
    <t>ForeignAmount</t>
  </si>
  <si>
    <t>OrderNumber</t>
  </si>
  <si>
    <t>StoreName</t>
  </si>
  <si>
    <t>SelectStore</t>
  </si>
  <si>
    <t>PackOrder</t>
  </si>
  <si>
    <t>PrimaryCardNumber</t>
  </si>
  <si>
    <t>Pre-Req</t>
  </si>
  <si>
    <t>FraudOrdersInReview</t>
  </si>
  <si>
    <t>AdminFraudReviewSettle</t>
  </si>
  <si>
    <t>AdminFraudReviewReject</t>
  </si>
  <si>
    <t>CheckRefundDashBoard</t>
  </si>
  <si>
    <t>RefundCancellation</t>
  </si>
  <si>
    <t>CheckVaultDashBoardView</t>
  </si>
  <si>
    <t>CheckVaultDashBoardOrdersToPack</t>
  </si>
  <si>
    <t>CheckOrdersToPack</t>
  </si>
  <si>
    <t>CheckOrdersToPickUp</t>
  </si>
  <si>
    <t>CheckOrdersToUnpack</t>
  </si>
  <si>
    <t>StorePackCashOrder</t>
  </si>
  <si>
    <t>StorePackCashPassportOrder</t>
  </si>
  <si>
    <t>StoreDayEndOrdersPackedInSafe</t>
  </si>
  <si>
    <t>StoreDayEndOrdersCompleted</t>
  </si>
  <si>
    <t>PickUpCashOrder</t>
  </si>
  <si>
    <t>PickUpCashPassportOrder</t>
  </si>
  <si>
    <t>CancelledPendingUnpackingstore</t>
  </si>
  <si>
    <t>CancelledPendingPackingstore</t>
  </si>
  <si>
    <t>CancelledPendingScheduled</t>
  </si>
  <si>
    <t>IE</t>
  </si>
  <si>
    <t>RefundDashboardCancellation</t>
  </si>
  <si>
    <t>VaultDashBoardView</t>
  </si>
  <si>
    <t>VaultDashBoardOrdersToPack</t>
  </si>
  <si>
    <t>Currency_Amount</t>
  </si>
  <si>
    <t>Currency][Amount</t>
  </si>
  <si>
    <t>Add_Another_Currency</t>
  </si>
  <si>
    <t>Product_Name][("LST_SALT_FullSite{ProductType_CurrentOrderPage}")][("LST_SALT_FullSite{Currency_CurrentOrderPage}")][("EDT_SALT_FullSite{ForeignAmount_CurrentOrderPage}")</t>
  </si>
  <si>
    <t>Receive_Order</t>
  </si>
  <si>
    <t>EDT_SALT_FullSite{Receive_Your_Order_CreateOrderPage}</t>
  </si>
  <si>
    <t>Shipping_opt</t>
  </si>
  <si>
    <t>Select_Date</t>
  </si>
  <si>
    <t>Currency_Add_Next</t>
  </si>
  <si>
    <t>StorePickUp</t>
  </si>
  <si>
    <t>Cash_CashPassport][LST_SALT_FullSite{ProductType_CurrentOrderPage}][LST_SALT_FullSite{Currency_CurrentOrderPage}][EDT_SALT_FullSite{ForeignAmount_CurrentOrderPage}</t>
  </si>
  <si>
    <t>Home_Delivery</t>
  </si>
  <si>
    <t>GetCurrencySellSpotRate</t>
  </si>
  <si>
    <t>Admin Product Type][Admin Foreign Currency][CurrencyRate</t>
  </si>
  <si>
    <t>SaltAdminLogoutAndClose</t>
  </si>
  <si>
    <t>SiteContect_value</t>
  </si>
  <si>
    <t>Section Name][Field Name</t>
  </si>
  <si>
    <t>Select_Country</t>
  </si>
  <si>
    <t>LST_SALT_Admin{Country}</t>
  </si>
  <si>
    <t>Purchase_Cash</t>
  </si>
  <si>
    <t>Sort_Currencies_Admin</t>
  </si>
  <si>
    <t>Purchase_CashPassport</t>
  </si>
  <si>
    <t>Sort_Cur_CashPassport</t>
  </si>
  <si>
    <t>Salt_URL_launch</t>
  </si>
  <si>
    <t>CheckFraudOrderInReview</t>
  </si>
  <si>
    <t>GetOrderStatus</t>
  </si>
  <si>
    <t>FraudReviewAcceptReject</t>
  </si>
  <si>
    <t>OrderNumber][Action</t>
  </si>
  <si>
    <t>GetOrderPaymentType</t>
  </si>
  <si>
    <t>FraudReview</t>
  </si>
  <si>
    <t>Action][OrderNumber</t>
  </si>
  <si>
    <t>RefundDashBoard</t>
  </si>
  <si>
    <t>DayEndOrdersPackedInSafe</t>
  </si>
  <si>
    <t>DayEndOrdersCompleted</t>
  </si>
  <si>
    <t>PickUpOrder</t>
  </si>
  <si>
    <t>OrdersToUnPack</t>
  </si>
  <si>
    <t>CancelPendingPackingStoreAndHome</t>
  </si>
  <si>
    <t>OrdersToPack</t>
  </si>
  <si>
    <t>MakeOrderCancelledPendingRefund</t>
  </si>
  <si>
    <t>OrderNumber][PrimaryCardNumber][TrackingID</t>
  </si>
  <si>
    <t>PackOrderStatusCheck</t>
  </si>
  <si>
    <t>OrdersToPickUp</t>
  </si>
  <si>
    <t>CountryLoadBeforeExecution</t>
  </si>
  <si>
    <t>Currency</t>
  </si>
  <si>
    <t>Amount</t>
  </si>
  <si>
    <t>Product_Name</t>
  </si>
  <si>
    <t>("LST_SALT_FullSite{ProductType_CurrentOrderPage}")</t>
  </si>
  <si>
    <t>("LST_SALT_FullSite{Currency_CurrentOrderPage}")</t>
  </si>
  <si>
    <t>("EDT_SALT_FullSite{ForeignAmount_CurrentOrderPage}")</t>
  </si>
  <si>
    <t>Cash_CashPassport</t>
  </si>
  <si>
    <t>LST_SALT_FullSite{ProductType_CurrentOrderPage}</t>
  </si>
  <si>
    <t>LST_SALT_FullSite{Currency_CurrentOrderPage}</t>
  </si>
  <si>
    <t>EDT_SALT_FullSite{ForeignAmount_CurrentOrderPage}</t>
  </si>
  <si>
    <t>Admin Product Type</t>
  </si>
  <si>
    <t>Admin Foreign Currency</t>
  </si>
  <si>
    <t>CurrencyRate</t>
  </si>
  <si>
    <t>Section Name</t>
  </si>
  <si>
    <t>Field Name</t>
  </si>
  <si>
    <t>CustomerName</t>
  </si>
  <si>
    <t>PickupDate</t>
  </si>
  <si>
    <t>CashPassportPAN</t>
  </si>
  <si>
    <t>ProductTotal</t>
  </si>
  <si>
    <t>PANs</t>
  </si>
  <si>
    <t>TrackingID</t>
  </si>
  <si>
    <t>FraudAction</t>
  </si>
  <si>
    <t>Settle</t>
  </si>
  <si>
    <t>Reject</t>
  </si>
  <si>
    <r>
      <t>("LST_SALT_FullSite</t>
    </r>
    <r>
      <rPr>
        <b/>
        <sz val="10"/>
        <color theme="1"/>
        <rFont val="Calibri"/>
        <family val="2"/>
        <scheme val="minor"/>
      </rPr>
      <t>{ProductType_CurrentOrderPage}")</t>
    </r>
  </si>
  <si>
    <r>
      <t>("LST_SALT_FullSite</t>
    </r>
    <r>
      <rPr>
        <b/>
        <sz val="10"/>
        <color theme="1"/>
        <rFont val="Calibri"/>
        <family val="2"/>
        <scheme val="minor"/>
      </rPr>
      <t>{Currency_CurrentOrderPage}")</t>
    </r>
  </si>
  <si>
    <r>
      <t>("EDT_SALT_FullSite</t>
    </r>
    <r>
      <rPr>
        <b/>
        <sz val="10"/>
        <color theme="1"/>
        <rFont val="Calibri"/>
        <family val="2"/>
        <scheme val="minor"/>
      </rPr>
      <t>{ForeignAmount_CurrentOrderPage}")</t>
    </r>
  </si>
  <si>
    <r>
      <t>EDT_SALT_FullSite</t>
    </r>
    <r>
      <rPr>
        <b/>
        <sz val="10"/>
        <color theme="1"/>
        <rFont val="Calibri"/>
        <family val="2"/>
        <scheme val="minor"/>
      </rPr>
      <t>{Receive_Your_Order_CreateOrderPage}</t>
    </r>
  </si>
  <si>
    <r>
      <t>LST_SALT_FullSite</t>
    </r>
    <r>
      <rPr>
        <b/>
        <sz val="10"/>
        <color theme="1"/>
        <rFont val="Calibri"/>
        <family val="2"/>
        <scheme val="minor"/>
      </rPr>
      <t>{ProductType_CurrentOrderPage}</t>
    </r>
  </si>
  <si>
    <r>
      <t>LST_SALT_FullSite</t>
    </r>
    <r>
      <rPr>
        <b/>
        <sz val="10"/>
        <color theme="1"/>
        <rFont val="Calibri"/>
        <family val="2"/>
        <scheme val="minor"/>
      </rPr>
      <t>{Currency_CurrentOrderPage}</t>
    </r>
  </si>
  <si>
    <r>
      <t>EDT_SALT_FullSite</t>
    </r>
    <r>
      <rPr>
        <b/>
        <sz val="10"/>
        <color theme="1"/>
        <rFont val="Calibri"/>
        <family val="2"/>
        <scheme val="minor"/>
      </rPr>
      <t>{ForeignAmount_CurrentOrderPage}</t>
    </r>
  </si>
  <si>
    <r>
      <t>LST_SALT_Admin</t>
    </r>
    <r>
      <rPr>
        <b/>
        <sz val="10"/>
        <color theme="1"/>
        <rFont val="Calibri"/>
        <family val="2"/>
        <scheme val="minor"/>
      </rPr>
      <t>{Country}</t>
    </r>
  </si>
  <si>
    <t>SecondaryCardNumber</t>
  </si>
  <si>
    <t>OrderNumber][PrimaryCardNumber][SecondaryCardNumber][StoreName</t>
  </si>
  <si>
    <t>AdminCancelPendingUnpckingStore</t>
  </si>
  <si>
    <t>Salt_Login</t>
  </si>
  <si>
    <t>Salt_Logout</t>
  </si>
  <si>
    <t>HappyPath_SingleProduct_AUS</t>
  </si>
  <si>
    <t>HappyPath_MultipleProduct_AUS</t>
  </si>
  <si>
    <t>PurchaseFunnel_SingleProduct_AUS</t>
  </si>
  <si>
    <t>PurchaseFunnel_MultipleProduct_AUS</t>
  </si>
  <si>
    <t>CheckCallCenterOptions</t>
  </si>
  <si>
    <t>VerifySubmitNewOrderOption</t>
  </si>
  <si>
    <t>PartnerName][PartnerID</t>
  </si>
  <si>
    <t>CurrentOrderPage</t>
  </si>
  <si>
    <t>ProductType][ForeignCurrency][ForeignAmount][Foreign_CurrencyCode][LocalAmount][Local_CurrencyCode</t>
  </si>
  <si>
    <t>OrderSearchTC</t>
  </si>
  <si>
    <t>OrderNumber][StoreName</t>
  </si>
  <si>
    <t>PackOrderFirst</t>
  </si>
  <si>
    <t>OrderNumber][PrimaryCardNumber</t>
  </si>
  <si>
    <t>ChangeOrderID</t>
  </si>
  <si>
    <t>ChangePickUpDate</t>
  </si>
  <si>
    <t>Verify_Vault</t>
  </si>
  <si>
    <t>Salt_Login][EnterFirstOrderDetail][VerifyFirstOrder][AddOrder][ValidateOrderSummary][EnterShippingLocation][SelectFulfilmentOption][DeliveryDate][PayAus][Confirmation][Salt_Logout</t>
  </si>
  <si>
    <t>Salt_Login][PF_EnterFirstOrderDetail][EnterFirstOrderDetail][VerifyFirstOrder][ValidateOrderSummary][AddOrder][EnterShippingLocation][EnterShippingLocation][EnterShippingLocation][EnterShippingLocation][EnterShippingLocation][PF_ShippingOptions][SelectFulfilmentOption][DeliveryDate][PayAus][Confirmation][Salt_Logout</t>
  </si>
  <si>
    <t>ValidateOrderSummary</t>
  </si>
  <si>
    <t>Buy_Product][LST_SALT_Home{Foreign_Currency}][Actual_ForeignAmount][Actual_LocalAmount][LBL_SALT_Home{Foreign_CurrencyCode}][Local_CurrencyCode][Availability_Message][PricePromise_Message][EDT_SALT_CreateOrder{Primary_CardNumber}</t>
  </si>
  <si>
    <t>Add_OrderType][Add_ProductType][Add_ForeignCurrency][Add_ForeignAmount][Add_Foreign_CurrencyCode][Add_LocalAmount][Add_Local_CurrencyCode][Add_ActualForeignAmount</t>
  </si>
  <si>
    <t>Selected_DeliveryCost][NOD_SALT_Confirmation{Order_Number}][EDT_SALT_Pay{Street_Address}][EDT_SALT_Pay{Apartment_Number}][EDT_SALT_Pay{City}][EDT_SALT_Pay{Zip}][Order_Total</t>
  </si>
  <si>
    <t>GetAdminDetails</t>
  </si>
  <si>
    <t>PF_EnterFirstOrderDetail</t>
  </si>
  <si>
    <t>PF_ShippingOptions</t>
  </si>
  <si>
    <t>EnterShippingLocation</t>
  </si>
  <si>
    <t>EDT_SALT_ShippingOption{Location}][Validation_Type</t>
  </si>
  <si>
    <t>SelectFulfilmentOption</t>
  </si>
  <si>
    <t>PayAus</t>
  </si>
  <si>
    <t>PayNZ</t>
  </si>
  <si>
    <t>LST_SALT_Pay{Title}][EDT_SALT_Pay{FirstName}][EDT_SALT_Pay{MiddleName}][EDT_SALT_Pay{LastName}][LST_SALT_PayAus{DOB_Day}][LST_SALT_PayAus{DOB_Month}][LST_SALT_PayAus{DOB_Year}][LST_SALT_Pay{ID_Type}][LST_SALT_Pay{CountryOfIssue}][CHK_SALT_PayNZ{AdditionalIDRequired}][EDT_SALT_Pay{ID_Number}][EDT_SALT_Pay{Confirm_IDNumber}][LST_SALT_PayAus{IDExpiry_Day}][LST_SALT_PayAus{IDExpiry_Month}][LST_SALT_PayAus{IDExpiry_Year}][EDT_SALT_Pay{Mother_MaidenName}][EDT_SALT_Pay{Cell_Phone}][EDT_SALT_Pay{Home_Phone}][EDT_SALT_Pay{Email_Address}][EDT_SALT_Pay{Confirm_EmailAddress}][EDT_SALT_Pay{Street_Address}][EDT_SALT_PayAus{Suburb}][EDT_SALT_Pay{City}][EDT_SALT_Pay{Zip}][LST_SALT_Pay{Card_Type}][EDT_SALT_Pay{Card_Number}][EDT_SALT_Pay{Card_FirstName}][EDT_SALT_Pay{Card_LastName}][EDT_SALT_Pay{Security_Code}][LST_SALT_PayAus{CardExpiry_Month}][LST_SALT_PayAus{CardExpiry_Year}][CHK_SALT_PayAus{Use_Residential}][EDT_SALT_PayAus{Billing_StreetAddress}][EDT_SALT_PayAus{Billing_Suburb}][EDT_SALT_PayAus{Billing_City}][EDT_SALT_PayAus{Billing_Postcode}][CHK_SALT_Pay{Special_Offers}][CHK_SALT_Pay{TermsAndConditions}][Order_Total</t>
  </si>
  <si>
    <t>PayCan</t>
  </si>
  <si>
    <t>LST_SALT_Pay{Title}][EDT_SALT_Pay{FirstName}][EDT_SALT_Pay{MiddleName}][EDT_SALT_Pay{LastName}][LST_SALT_Pay{DOB_MM}][LST_SALT_Pay{DOB_DD}][LST_SALT_Pay{DOB_YYYY}][LST_SALT_Pay{ID_Type}][LST_SALT_Pay{CountryOfIssue}][EDT_SALT_Pay{ID_Number}][EDT_SALT_Pay{Confirm_IDNumber}][LST_SALT_Pay{IDExpiry_MM}][LST_SALT_Pay{IDExpiry_DD}][LST_SALT_Pay{IDExpiry_YYYY}][EDT_SALT_Pay{Mother_MaidenName}][EDT_SALT_Pay{Cell_Phone}][EDT_SALT_Pay{Home_Phone}][EDT_SALT_Pay{Email_Address}][EDT_SALT_Pay{Confirm_EmailAddress}][EDT_SALT_Pay{Street_Address}][EDT_SALT_Pay{Apartment_Number}][EDT_SALT_Pay{City}][LST_SALT_Pay{State}][EDT_SALT_Pay{Zip}][LST_SALT_Pay{Card_Type}][EDT_SALT_Pay{Card_Number}][EDT_SALT_Pay{Card_FirstName}][EDT_SALT_Pay{Card_LastName}][EDT_SALT_Pay{Security_Code}][LST_SALT_Pay{CardExpiry_MM}][LST_SALT_Pay{CardExpiry_YYYY}][CHK_SALT_Pay{Special_Offers}][CHK_SALT_Pay{TermsAndConditions}][Order_Total</t>
  </si>
  <si>
    <t>EditOrder</t>
  </si>
  <si>
    <t>Edit_OrderNumber][Edit_ProductType][Edit_ForeignCurrency][Edit_ForeignAmount][Edit_Foreign_CurrencyCode][Edit_LocalAmount][Edit_Local_CurrencyCode][Edit_ActualForeignAmount</t>
  </si>
  <si>
    <t>PF_DeliveryDate</t>
  </si>
  <si>
    <t>Change_OrderDetail</t>
  </si>
  <si>
    <t>Change_ShippingOptions</t>
  </si>
  <si>
    <t>Change_DeliveryDate</t>
  </si>
  <si>
    <t>PF_Pay_Validation</t>
  </si>
  <si>
    <t>Order_Total</t>
  </si>
  <si>
    <t>AUSCountry</t>
  </si>
  <si>
    <t>FullPayment</t>
  </si>
  <si>
    <t>PartialPayment</t>
  </si>
  <si>
    <t>HigherPayment</t>
  </si>
  <si>
    <t>IgnorePayment</t>
  </si>
  <si>
    <t>BPAY_Payments</t>
  </si>
  <si>
    <t>OrderNumber][ActionName][Payment</t>
  </si>
  <si>
    <t>Add_ActualForeignAmount</t>
  </si>
  <si>
    <t>SSN</t>
  </si>
  <si>
    <t>LST_SALT_Pay{CardExpiry_MM}</t>
  </si>
  <si>
    <t>LST_SALT_Pay{CardExpiry_YYYY}</t>
  </si>
  <si>
    <t>Store_Name</t>
  </si>
  <si>
    <t>Airport_Name</t>
  </si>
  <si>
    <t>Validation_Type</t>
  </si>
  <si>
    <t>LST_SALT_PayAus{DOB_Day}</t>
  </si>
  <si>
    <t>LST_SALT_PayAus{DOB_Month}</t>
  </si>
  <si>
    <t>LST_SALT_PayAus{DOB_Year}</t>
  </si>
  <si>
    <t>LST_SALT_PayAus{IDExpiry_Day}</t>
  </si>
  <si>
    <t>LST_SALT_PayAus{IDExpiry_Month}</t>
  </si>
  <si>
    <t>LST_SALT_PayAus{IDExpiry_Year}</t>
  </si>
  <si>
    <t>EDT_SALT_PayAus{Suburb}</t>
  </si>
  <si>
    <t>LST_SALT_PayAus{CardExpiry_Month}</t>
  </si>
  <si>
    <t>LST_SALT_PayAus{CardExpiry_Year}</t>
  </si>
  <si>
    <t>CHK_SALT_PayAus{Use_Residential}</t>
  </si>
  <si>
    <t>EDT_SALT_PayAus{Billing_StreetAddress}</t>
  </si>
  <si>
    <t>EDT_SALT_PayAus{Billing_Suburb}</t>
  </si>
  <si>
    <t>EDT_SALT_PayAus{Billing_City}</t>
  </si>
  <si>
    <t>EDT_SALT_PayAus{Billing_Postcode}</t>
  </si>
  <si>
    <t>CHK_SALT_PayNZ{AdditionalIDRequired}</t>
  </si>
  <si>
    <t>LST_SALT_Pay{State}</t>
  </si>
  <si>
    <t>Edit_OrderNumber</t>
  </si>
  <si>
    <t>Edit_ProductType</t>
  </si>
  <si>
    <t>Edit_ForeignCurrency</t>
  </si>
  <si>
    <t>Edit_ForeignAmount</t>
  </si>
  <si>
    <t>Edit_Foreign_CurrencyCode</t>
  </si>
  <si>
    <t>Edit_LocalAmount</t>
  </si>
  <si>
    <t>Edit_Local_CurrencyCode</t>
  </si>
  <si>
    <t>Edit_ActualForeignAmount</t>
  </si>
  <si>
    <t>PartnerName</t>
  </si>
  <si>
    <t>PartnerID</t>
  </si>
  <si>
    <t>ForeignCurrency</t>
  </si>
  <si>
    <t>Foreign_CurrencyCode</t>
  </si>
  <si>
    <t>LocalAmount</t>
  </si>
  <si>
    <t>EDT_SALT_ChangeID{NewCustName}</t>
  </si>
  <si>
    <t>LST_SALT_ChangeID{IDType}</t>
  </si>
  <si>
    <t>LST_SALT_ChangeID{Country}</t>
  </si>
  <si>
    <t>LST_SALT_ChangeID{State}</t>
  </si>
  <si>
    <t>EDT_SALT_ChangeID{IdNumber}</t>
  </si>
  <si>
    <t>LST_SALT_ChangeID{ExpiryMonth}</t>
  </si>
  <si>
    <t>LST_SALT_ChangeID{ExpiryDay}</t>
  </si>
  <si>
    <t>LST_SALT_ChangeID{ExpiryYear}</t>
  </si>
  <si>
    <t>LST_SALT_ChangeID{DOBMonth}</t>
  </si>
  <si>
    <t>LST_SALT_ChangeID{DOBDay}</t>
  </si>
  <si>
    <t>LST_SALT_ChangeID{DOBYear}</t>
  </si>
  <si>
    <t>ActionName</t>
  </si>
  <si>
    <t>Payment</t>
  </si>
  <si>
    <r>
      <t>LST_SALT_Pay</t>
    </r>
    <r>
      <rPr>
        <b/>
        <sz val="10"/>
        <color theme="1"/>
        <rFont val="Calibri"/>
        <family val="2"/>
        <scheme val="minor"/>
      </rPr>
      <t>{CardExpiry_MM}</t>
    </r>
  </si>
  <si>
    <r>
      <t>LST_SALT_Pay</t>
    </r>
    <r>
      <rPr>
        <b/>
        <sz val="10"/>
        <color theme="1"/>
        <rFont val="Calibri"/>
        <family val="2"/>
        <scheme val="minor"/>
      </rPr>
      <t>{CardExpiry_YYYY}</t>
    </r>
  </si>
  <si>
    <r>
      <t>LST_SALT_PayAus</t>
    </r>
    <r>
      <rPr>
        <b/>
        <sz val="10"/>
        <color theme="1"/>
        <rFont val="Calibri"/>
        <family val="2"/>
        <scheme val="minor"/>
      </rPr>
      <t>{DOB_Day}</t>
    </r>
  </si>
  <si>
    <r>
      <t>LST_SALT_PayAus</t>
    </r>
    <r>
      <rPr>
        <b/>
        <sz val="10"/>
        <color theme="1"/>
        <rFont val="Calibri"/>
        <family val="2"/>
        <scheme val="minor"/>
      </rPr>
      <t>{DOB_Month}</t>
    </r>
  </si>
  <si>
    <r>
      <t>LST_SALT_PayAus</t>
    </r>
    <r>
      <rPr>
        <b/>
        <sz val="10"/>
        <color theme="1"/>
        <rFont val="Calibri"/>
        <family val="2"/>
        <scheme val="minor"/>
      </rPr>
      <t>{DOB_Year}</t>
    </r>
  </si>
  <si>
    <r>
      <t>LST_SALT_PayAus</t>
    </r>
    <r>
      <rPr>
        <b/>
        <sz val="10"/>
        <color theme="1"/>
        <rFont val="Calibri"/>
        <family val="2"/>
        <scheme val="minor"/>
      </rPr>
      <t>{IDExpiry_Day}</t>
    </r>
  </si>
  <si>
    <r>
      <t>LST_SALT_PayAus</t>
    </r>
    <r>
      <rPr>
        <b/>
        <sz val="10"/>
        <color theme="1"/>
        <rFont val="Calibri"/>
        <family val="2"/>
        <scheme val="minor"/>
      </rPr>
      <t>{IDExpiry_Month}</t>
    </r>
  </si>
  <si>
    <r>
      <t>LST_SALT_PayAus</t>
    </r>
    <r>
      <rPr>
        <b/>
        <sz val="10"/>
        <color theme="1"/>
        <rFont val="Calibri"/>
        <family val="2"/>
        <scheme val="minor"/>
      </rPr>
      <t>{IDExpiry_Year}</t>
    </r>
  </si>
  <si>
    <r>
      <t>EDT_SALT_PayAus</t>
    </r>
    <r>
      <rPr>
        <b/>
        <sz val="10"/>
        <color theme="1"/>
        <rFont val="Calibri"/>
        <family val="2"/>
        <scheme val="minor"/>
      </rPr>
      <t>{Suburb}</t>
    </r>
  </si>
  <si>
    <r>
      <t>LST_SALT_PayAus</t>
    </r>
    <r>
      <rPr>
        <b/>
        <sz val="10"/>
        <color theme="1"/>
        <rFont val="Calibri"/>
        <family val="2"/>
        <scheme val="minor"/>
      </rPr>
      <t>{CardExpiry_Month}</t>
    </r>
  </si>
  <si>
    <r>
      <t>LST_SALT_PayAus</t>
    </r>
    <r>
      <rPr>
        <b/>
        <sz val="10"/>
        <color theme="1"/>
        <rFont val="Calibri"/>
        <family val="2"/>
        <scheme val="minor"/>
      </rPr>
      <t>{CardExpiry_Year}</t>
    </r>
  </si>
  <si>
    <r>
      <t>CHK_SALT_PayAus</t>
    </r>
    <r>
      <rPr>
        <b/>
        <sz val="10"/>
        <color theme="1"/>
        <rFont val="Calibri"/>
        <family val="2"/>
        <scheme val="minor"/>
      </rPr>
      <t>{Use_Residential}</t>
    </r>
  </si>
  <si>
    <r>
      <t>EDT_SALT_PayAus</t>
    </r>
    <r>
      <rPr>
        <b/>
        <sz val="10"/>
        <color theme="1"/>
        <rFont val="Calibri"/>
        <family val="2"/>
        <scheme val="minor"/>
      </rPr>
      <t>{Billing_StreetAddress}</t>
    </r>
  </si>
  <si>
    <r>
      <t>EDT_SALT_PayAus</t>
    </r>
    <r>
      <rPr>
        <b/>
        <sz val="10"/>
        <color theme="1"/>
        <rFont val="Calibri"/>
        <family val="2"/>
        <scheme val="minor"/>
      </rPr>
      <t>{Billing_Suburb}</t>
    </r>
  </si>
  <si>
    <r>
      <t>EDT_SALT_PayAus</t>
    </r>
    <r>
      <rPr>
        <b/>
        <sz val="10"/>
        <color theme="1"/>
        <rFont val="Calibri"/>
        <family val="2"/>
        <scheme val="minor"/>
      </rPr>
      <t>{Billing_City}</t>
    </r>
  </si>
  <si>
    <r>
      <t>EDT_SALT_PayAus</t>
    </r>
    <r>
      <rPr>
        <b/>
        <sz val="10"/>
        <color theme="1"/>
        <rFont val="Calibri"/>
        <family val="2"/>
        <scheme val="minor"/>
      </rPr>
      <t>{Billing_Postcode}</t>
    </r>
  </si>
  <si>
    <r>
      <t>CHK_SALT_PayNZ</t>
    </r>
    <r>
      <rPr>
        <b/>
        <sz val="10"/>
        <color theme="1"/>
        <rFont val="Calibri"/>
        <family val="2"/>
        <scheme val="minor"/>
      </rPr>
      <t>{AdditionalIDRequired}</t>
    </r>
  </si>
  <si>
    <r>
      <t>LST_SALT_Pay</t>
    </r>
    <r>
      <rPr>
        <b/>
        <sz val="10"/>
        <color theme="1"/>
        <rFont val="Calibri"/>
        <family val="2"/>
        <scheme val="minor"/>
      </rPr>
      <t>{State}</t>
    </r>
  </si>
  <si>
    <r>
      <t>EDT_SALT_ChangeID</t>
    </r>
    <r>
      <rPr>
        <b/>
        <sz val="10"/>
        <color theme="1"/>
        <rFont val="Calibri"/>
        <family val="2"/>
        <scheme val="minor"/>
      </rPr>
      <t>{NewCustName}</t>
    </r>
  </si>
  <si>
    <r>
      <t>LST_SALT_ChangeID</t>
    </r>
    <r>
      <rPr>
        <b/>
        <sz val="10"/>
        <color theme="1"/>
        <rFont val="Calibri"/>
        <family val="2"/>
        <scheme val="minor"/>
      </rPr>
      <t>{IDType}</t>
    </r>
  </si>
  <si>
    <r>
      <t>LST_SALT_ChangeID</t>
    </r>
    <r>
      <rPr>
        <b/>
        <sz val="10"/>
        <color theme="1"/>
        <rFont val="Calibri"/>
        <family val="2"/>
        <scheme val="minor"/>
      </rPr>
      <t>{Country}</t>
    </r>
  </si>
  <si>
    <r>
      <t>LST_SALT_ChangeID</t>
    </r>
    <r>
      <rPr>
        <b/>
        <sz val="10"/>
        <color theme="1"/>
        <rFont val="Calibri"/>
        <family val="2"/>
        <scheme val="minor"/>
      </rPr>
      <t>{State}</t>
    </r>
  </si>
  <si>
    <r>
      <t>EDT_SALT_ChangeID</t>
    </r>
    <r>
      <rPr>
        <b/>
        <sz val="10"/>
        <color theme="1"/>
        <rFont val="Calibri"/>
        <family val="2"/>
        <scheme val="minor"/>
      </rPr>
      <t>{IdNumber}</t>
    </r>
  </si>
  <si>
    <r>
      <t>LST_SALT_ChangeID</t>
    </r>
    <r>
      <rPr>
        <b/>
        <sz val="10"/>
        <color theme="1"/>
        <rFont val="Calibri"/>
        <family val="2"/>
        <scheme val="minor"/>
      </rPr>
      <t>{ExpiryMonth}</t>
    </r>
  </si>
  <si>
    <r>
      <t>LST_SALT_ChangeID</t>
    </r>
    <r>
      <rPr>
        <b/>
        <sz val="10"/>
        <color theme="1"/>
        <rFont val="Calibri"/>
        <family val="2"/>
        <scheme val="minor"/>
      </rPr>
      <t>{ExpiryDay}</t>
    </r>
  </si>
  <si>
    <r>
      <t>LST_SALT_ChangeID</t>
    </r>
    <r>
      <rPr>
        <b/>
        <sz val="10"/>
        <color theme="1"/>
        <rFont val="Calibri"/>
        <family val="2"/>
        <scheme val="minor"/>
      </rPr>
      <t>{ExpiryYear}</t>
    </r>
  </si>
  <si>
    <r>
      <t>LST_SALT_ChangeID</t>
    </r>
    <r>
      <rPr>
        <b/>
        <sz val="10"/>
        <color theme="1"/>
        <rFont val="Calibri"/>
        <family val="2"/>
        <scheme val="minor"/>
      </rPr>
      <t>{DOBMonth}</t>
    </r>
  </si>
  <si>
    <r>
      <t>LST_SALT_ChangeID</t>
    </r>
    <r>
      <rPr>
        <b/>
        <sz val="10"/>
        <color theme="1"/>
        <rFont val="Calibri"/>
        <family val="2"/>
        <scheme val="minor"/>
      </rPr>
      <t>{DOBDay}</t>
    </r>
  </si>
  <si>
    <r>
      <t>LST_SALT_ChangeID</t>
    </r>
    <r>
      <rPr>
        <b/>
        <sz val="10"/>
        <color theme="1"/>
        <rFont val="Calibri"/>
        <family val="2"/>
        <scheme val="minor"/>
      </rPr>
      <t>{DOBYear}</t>
    </r>
  </si>
  <si>
    <t>CaptureAdminDetails</t>
  </si>
  <si>
    <t>Australia</t>
  </si>
  <si>
    <t>Payment_Type</t>
  </si>
  <si>
    <t>Salt_Login][GetAdminDetails][Salt_Logout</t>
  </si>
  <si>
    <t>LST_SALT_Admin{Country}][Store_Name][Airport_Name</t>
  </si>
  <si>
    <t>New Zealand</t>
  </si>
  <si>
    <t>Canada</t>
  </si>
  <si>
    <t>MakeOrderPayment</t>
  </si>
  <si>
    <t>PaymentCountries</t>
  </si>
  <si>
    <t>PaymentType</t>
  </si>
  <si>
    <t>Bank Transfer</t>
  </si>
  <si>
    <t>Bill Payment</t>
  </si>
  <si>
    <t>Japan</t>
  </si>
  <si>
    <t>BPAY</t>
  </si>
  <si>
    <t>PaymentFrom</t>
  </si>
  <si>
    <t>SourceFolder</t>
  </si>
  <si>
    <t>DestinationFolder</t>
  </si>
  <si>
    <t>OrderAmt</t>
  </si>
  <si>
    <t>BPAYbillpayBankTransferPaymentFull</t>
  </si>
  <si>
    <t>BPAYbillpayBankTransferPaymentPartial</t>
  </si>
  <si>
    <t>BPAYbillpayBankTransferPaymentHigher</t>
  </si>
  <si>
    <t>Copy_TC_to_TC][MakeOrderPayment</t>
  </si>
  <si>
    <t>UserPayment</t>
  </si>
  <si>
    <t>PaymentCountries][PaymentType][OrderNumber][PaymentFrom][SourceFolder][DestinationFolder][OrderAmt][UserPayment</t>
  </si>
  <si>
    <t>PayUSA</t>
  </si>
  <si>
    <t>CyberSourceCheck</t>
  </si>
  <si>
    <t>Cybersource][MerchantName][MerUserID][MerPassword</t>
  </si>
  <si>
    <t>Cybersource</t>
  </si>
  <si>
    <t>MerchantName</t>
  </si>
  <si>
    <t>MerUserID</t>
  </si>
  <si>
    <t>MerPassword</t>
  </si>
  <si>
    <t>EnterFirstOrderDetailMobile</t>
  </si>
  <si>
    <t>FulfilmentType</t>
  </si>
  <si>
    <t>Fulfillment</t>
  </si>
  <si>
    <t>ProductName</t>
  </si>
  <si>
    <t>NIP_SALTMobile_CreateOrder{Foreign_Amount}</t>
  </si>
  <si>
    <t>LST_SALTMobile_CreateOrder{Foreign_Currency}</t>
  </si>
  <si>
    <r>
      <t>NIP_SALTMobile_CreateOrder</t>
    </r>
    <r>
      <rPr>
        <b/>
        <sz val="10"/>
        <color theme="1"/>
        <rFont val="Calibri"/>
        <family val="2"/>
        <scheme val="minor"/>
      </rPr>
      <t>{Foreign_Amount}</t>
    </r>
  </si>
  <si>
    <r>
      <t>LST_SALTMobile_CreateOrder</t>
    </r>
    <r>
      <rPr>
        <b/>
        <sz val="10"/>
        <color theme="1"/>
        <rFont val="Calibri"/>
        <family val="2"/>
        <scheme val="minor"/>
      </rPr>
      <t>{Foreign_Currency}</t>
    </r>
  </si>
  <si>
    <t>ChoosePickUpBranchMobile</t>
  </si>
  <si>
    <t>PayMobileAUS</t>
  </si>
  <si>
    <t>PayMobile</t>
  </si>
  <si>
    <t>LST_SALTMobile_Pay{Title}][EDT_SALTMobile_Pay{FirstName}][EDT_SALTMobile_Pay{MiddleName}][EDT_SALTMobile_Pay{LastName}][LST_SALTMobile_Pay{DOB_MM}][LST_SALTMobile_Pay{DOB_DD}][LST_SALTMobile_Pay{DOB_YYYY}][EIP_SALTMobile_Pay{Email_Address}][EIP_SALTMobile_Pay{Confirm_EmailAddress}][PIP_SALTMobile_Pay{Phone_No}][LST_SALTMobile_Pay{ID_Type}][LST_SALTMobile_Pay{CountryOfIssue}][EDT_SALTMobile_Pay{ID_Number}][EDT_SALTMobile_Pay{Confirm_IDNumber}][LST_SALTMobile_Pay{IDExpiry_MM}][LST_SALTMobile_Pay{IDExpiry_DD}][LST_SALTMobile_Pay{IDExpiry_YYYY}][EDT_SALTMobile_Pay{SSN1}][EDT_SALTMobile_Pay{Street_Address}][EDT_SALTMobile_Pay{Apartment_Number}][EDT_SALTMobile_Pay{City}][LST_SALTMobile_Pay{State}][EDT_SALTMobile_Pay{Zip}][LST_SALTMobile_Pay{Card_Type}][EDT_SALTMobile_Pay{Card_Number}][EDT_SALTMobile_Pay{Card_FirstName}][EDT_SALTMobile_Pay{Card_LastName}][EDT_SALTMobile_Pay{Security_Code}][LST_SALTMobile_Pay{CardExpiry_MM}][LST_SALTMobile_Pay{CardExpiry_YYYY}</t>
  </si>
  <si>
    <t>PayMobileNZ</t>
  </si>
  <si>
    <t>LST_SALTMobile_Pay{Title}][EDT_SALTMobile_Pay{FirstName}][EDT_SALTMobile_Pay{MiddleName}][EDT_SALTMobile_Pay{LastName}][LST_SALTMobile_Pay{DOB_MM}][LST_SALTMobile_Pay{DOB_DD}][LST_SALTMobile_Pay{DOB_YYYY}][EIP_SALTMobile_Pay{Email_Address}][EIP_SALTMobile_Pay{Confirm_EmailAddress}][PIP_SALTMobile_Pay{Phone_No}][LST_SALTMobile_Pay{ID_Type}][LST_SALTMobile_Pay{CountryOfIssue}][EDT_SALTMobile_Pay{ID_Number}][EDT_SALTMobile_Pay{Confirm_IDNumber}][LST_SALTMobile_Pay{IDExpiry_MM}][LST_SALTMobile_Pay{IDExpiry_DD}][LST_SALTMobile_Pay{IDExpiry_YYYY}][EDT_SALTMobile_Pay{MothersMaidenName}][EDT_SALTMobile_Pay{Street_Address}][EDT_SALTMobile_Pay{Apartment_Number}][EDT_SALTMobile_Pay{City}][LST_SALTMobile_Pay{State}][EDT_SALTMobile_Pay{Zip}][LST_SALTMobile_Pay{Payment_Type}][LST_SALTMobile_Pay{Card_Type}][EDT_SALTMobile_Pay{Card_Number}][EDT_SALTMobile_Pay{Card_FirstName}][EDT_SALTMobile_Pay{Card_LastName}][EDT_SALTMobile_Pay{Security_Code}][LST_SALTMobile_Pay{CardExpiry_MM}][LST_SALTMobile_Pay{CardExpiry_YYYY}][CHK_SALTMobile_Pay{UseResidentialAddress}][EDT_SALTMobile_Pay{BillingAddress_Address1}][EDT_SALTMobile_Pay{BillingAddress_Address2}][EDT_SALTMobile_Pay{BillingAddress_City}][LST_SALTMobile_Pay{BillingAddress_StateId}][EDT_SALTMobile_Pay{BillingAddress_PostalCode}</t>
  </si>
  <si>
    <t>PayMobileFRA</t>
  </si>
  <si>
    <t>LST_SALTMobile_Pay{Title}][EDT_SALTMobile_Pay{FirstName}][EDT_SALTMobile_Pay{MiddleName}][EDT_SALTMobile_Pay{LastName}][LST_SALTMobile_Pay{DOB_MM}][LST_SALTMobile_Pay{DOB_DD}][LST_SALTMobile_Pay{DOB_YYYY}][EIP_SALTMobile_Pay{Email_Address}][EIP_SALTMobile_Pay{Confirm_EmailAddress}][PIP_SALTMobile_Pay{Phone_No}][LST_SALTMobile_Pay{ID_Type}][LST_SALTMobile_Pay{CountryOfIssue}][EDT_SALTMobile_Pay{ID_Number}][EDT_SALTMobile_Pay{Confirm_IDNumber}][LST_SALTMobile_Pay{IDExpiry_MM}][LST_SALTMobile_Pay{IDExpiry_DD}][LST_SALTMobile_Pay{IDExpiry_YYYY}][EDT_SALTMobile_Pay{MothersMaidenName}][EDT_SALTMobile_Pay{Street_Address}][EDT_SALTMobile_Pay{Apartment_Number}][EDT_SALTMobile_Pay{City}][LST_SALTMobile_Pay{State}][EDT_SALTMobile_Pay{Zip}][LST_SALTMobile_Pay{Payment_Type}][LST_SALTMobile_Pay{Card_Type}][EDT_SALTMobile_Pay{Card_Number}][EDT_SALTMobile_Pay{Card_FirstName}][EDT_SALTMobile_Pay{Card_LastName}][EDT_SALTMobile_Pay{Security_Code}][LST_SALTMobile_Pay{CardExpiry_MM}][LST_SALTMobile_Pay{CardExpiry_YYYY}</t>
  </si>
  <si>
    <t>PayMobileJPN</t>
  </si>
  <si>
    <t>EDT_SALTMobile_Pay{LastName}][EDT_SALTMobile_Pay{FirstName}][LST_SALTMobile_Pay{DOB_MM}][LST_SALTMobile_Pay{DOB_DD}][LST_SALTMobile_Pay{DOB_YYYY}][EIP_SALTMobile_Pay{Email_Address}][EIP_SALTMobile_Pay{Confirm_EmailAddress}][PIP_SALTMobile_Pay{Phone_No}][LST_SALTMobile_PayJPN{Title}][EDT_SALTMobile_PayJPN{FirstName}][EDT_SALTMobile_PayJPN{LastName}][LST_SALTMobile_Pay{ID_Type}][LST_SALTMobile_Pay{CountryOfIssue}][EDT_SALTMobile_Pay{ID_Number}][EDT_SALTMobile_Pay{Confirm_IDNumber}][LST_SALTMobile_Pay{IDExpiry_MM}][LST_SALTMobile_Pay{IDExpiry_DD}][LST_SALTMobile_Pay{IDExpiry_YYYY}][EDT_SALTMobile_Pay{MothersMaidenName}][EDT_SALTMobile_PayJPN{Zip}][LST_SALTMobile_PayJPN{State}][EDT_SALTMobile_PayJPN{City}][EDT_SALTMobile_PayJPN{Apartment_Number}][EDT_SALTMobile_PayJPN{Street_Address}][LST_SALTMobile_Pay{Payment_Type}][LST_SALTMobile_Pay{Card_Type}][EDT_SALTMobile_Pay{Card_Number}][EDT_SALTMobile_Pay{Card_FirstName}][EDT_SALTMobile_Pay{Card_LastName}][EDT_SALTMobile_Pay{Security_Code}][LST_SALTMobile_Pay{CardExpiry_MM}][LST_SALTMobile_Pay{CardExpiry_YYYY}</t>
  </si>
  <si>
    <t>Mob_OrderSummary</t>
  </si>
  <si>
    <t>LST_SALTMobile_Pay{Title}</t>
  </si>
  <si>
    <t>EDT_SALTMobile_Pay{FirstName}</t>
  </si>
  <si>
    <t>EDT_SALTMobile_Pay{MiddleName}</t>
  </si>
  <si>
    <t>EDT_SALTMobile_Pay{LastName}</t>
  </si>
  <si>
    <t>LST_SALTMobile_Pay{DOB_MM}</t>
  </si>
  <si>
    <t>LST_SALTMobile_Pay{DOB_DD}</t>
  </si>
  <si>
    <t>LST_SALTMobile_Pay{DOB_YYYY}</t>
  </si>
  <si>
    <t>EIP_SALTMobile_Pay{Email_Address}</t>
  </si>
  <si>
    <t>EIP_SALTMobile_Pay{Confirm_EmailAddress}</t>
  </si>
  <si>
    <t>PIP_SALTMobile_Pay{Phone_No}</t>
  </si>
  <si>
    <t>LST_SALTMobile_Pay{ID_Type}</t>
  </si>
  <si>
    <t>LST_SALTMobile_Pay{CountryOfIssue}</t>
  </si>
  <si>
    <t>EDT_SALTMobile_Pay{ID_Number}</t>
  </si>
  <si>
    <t>EDT_SALTMobile_Pay{Confirm_IDNumber}</t>
  </si>
  <si>
    <t>LST_SALTMobile_Pay{IDExpiry_MM}</t>
  </si>
  <si>
    <t>LST_SALTMobile_Pay{IDExpiry_DD}</t>
  </si>
  <si>
    <t>LST_SALTMobile_Pay{IDExpiry_YYYY}</t>
  </si>
  <si>
    <t>EDT_SALTMobile_Pay{SSN1}</t>
  </si>
  <si>
    <t>EDT_SALTMobile_Pay{Street_Address}</t>
  </si>
  <si>
    <t>EDT_SALTMobile_Pay{Apartment_Number}</t>
  </si>
  <si>
    <t>EDT_SALTMobile_Pay{City}</t>
  </si>
  <si>
    <t>LST_SALTMobile_Pay{State}</t>
  </si>
  <si>
    <t>EDT_SALTMobile_Pay{Zip}</t>
  </si>
  <si>
    <t>LST_SALTMobile_Pay{Card_Type}</t>
  </si>
  <si>
    <t>EDT_SALTMobile_Pay{Card_Number}</t>
  </si>
  <si>
    <t>EDT_SALTMobile_Pay{Card_FirstName}</t>
  </si>
  <si>
    <t>EDT_SALTMobile_Pay{Card_LastName}</t>
  </si>
  <si>
    <t>EDT_SALTMobile_Pay{Security_Code}</t>
  </si>
  <si>
    <t>LST_SALTMobile_Pay{CardExpiry_MM}</t>
  </si>
  <si>
    <t>LST_SALTMobile_Pay{CardExpiry_YYYY}</t>
  </si>
  <si>
    <t>EDT_SALTMobile_Pay{MothersMaidenName}</t>
  </si>
  <si>
    <t>LST_SALTMobile_Pay{Payment_Type}</t>
  </si>
  <si>
    <t>CHK_SALTMobile_Pay{UseResidentialAddress}</t>
  </si>
  <si>
    <t>EDT_SALTMobile_Pay{BillingAddress_Address1}</t>
  </si>
  <si>
    <t>EDT_SALTMobile_Pay{BillingAddress_Address2}</t>
  </si>
  <si>
    <t>EDT_SALTMobile_Pay{BillingAddress_City}</t>
  </si>
  <si>
    <t>LST_SALTMobile_Pay{BillingAddress_StateId}</t>
  </si>
  <si>
    <t>EDT_SALTMobile_Pay{BillingAddress_PostalCode}</t>
  </si>
  <si>
    <t>LST_SALTMobile_PayJPN{Title}</t>
  </si>
  <si>
    <t>EDT_SALTMobile_PayJPN{FirstName}</t>
  </si>
  <si>
    <t>EDT_SALTMobile_PayJPN{LastName}</t>
  </si>
  <si>
    <t>EDT_SALTMobile_PayJPN{Zip}</t>
  </si>
  <si>
    <t>LST_SALTMobile_PayJPN{State}</t>
  </si>
  <si>
    <t>EDT_SALTMobile_PayJPN{City}</t>
  </si>
  <si>
    <t>EDT_SALTMobile_PayJPN{Apartment_Number}</t>
  </si>
  <si>
    <t>EDT_SALTMobile_PayJPN{Street_Address}</t>
  </si>
  <si>
    <t>SearchOption][EDT_SALTMobile_StorePickUpBranch{Searchstore}</t>
  </si>
  <si>
    <t>SearchOption</t>
  </si>
  <si>
    <t>EDT_SALTMobile_StorePickUpBranch{Searchstore}</t>
  </si>
  <si>
    <r>
      <t>EDT_SALTMobile_Pay</t>
    </r>
    <r>
      <rPr>
        <b/>
        <sz val="10"/>
        <color theme="1"/>
        <rFont val="Calibri"/>
        <family val="2"/>
        <scheme val="minor"/>
      </rPr>
      <t>{FirstName}</t>
    </r>
  </si>
  <si>
    <r>
      <t>EDT_SALTMobile_Pay</t>
    </r>
    <r>
      <rPr>
        <b/>
        <sz val="10"/>
        <color theme="1"/>
        <rFont val="Calibri"/>
        <family val="2"/>
        <scheme val="minor"/>
      </rPr>
      <t>{MiddleName}</t>
    </r>
  </si>
  <si>
    <r>
      <t>EDT_SALTMobile_Pay</t>
    </r>
    <r>
      <rPr>
        <b/>
        <sz val="10"/>
        <color theme="1"/>
        <rFont val="Calibri"/>
        <family val="2"/>
        <scheme val="minor"/>
      </rPr>
      <t>{LastName}</t>
    </r>
  </si>
  <si>
    <r>
      <t>LST_SALTMobile_Pay</t>
    </r>
    <r>
      <rPr>
        <b/>
        <sz val="10"/>
        <color theme="1"/>
        <rFont val="Calibri"/>
        <family val="2"/>
        <scheme val="minor"/>
      </rPr>
      <t>{DOB_MM}</t>
    </r>
  </si>
  <si>
    <r>
      <t>LST_SALTMobile_Pay</t>
    </r>
    <r>
      <rPr>
        <b/>
        <sz val="10"/>
        <color theme="1"/>
        <rFont val="Calibri"/>
        <family val="2"/>
        <scheme val="minor"/>
      </rPr>
      <t>{DOB_DD}</t>
    </r>
  </si>
  <si>
    <r>
      <t>LST_SALTMobile_Pay</t>
    </r>
    <r>
      <rPr>
        <b/>
        <sz val="10"/>
        <color theme="1"/>
        <rFont val="Calibri"/>
        <family val="2"/>
        <scheme val="minor"/>
      </rPr>
      <t>{DOB_YYYY}</t>
    </r>
  </si>
  <si>
    <r>
      <t>EIP_SALTMobile_Pay</t>
    </r>
    <r>
      <rPr>
        <b/>
        <sz val="10"/>
        <color theme="1"/>
        <rFont val="Calibri"/>
        <family val="2"/>
        <scheme val="minor"/>
      </rPr>
      <t>{Email_Address}</t>
    </r>
  </si>
  <si>
    <r>
      <t>EIP_SALTMobile_Pay</t>
    </r>
    <r>
      <rPr>
        <b/>
        <sz val="10"/>
        <color theme="1"/>
        <rFont val="Calibri"/>
        <family val="2"/>
        <scheme val="minor"/>
      </rPr>
      <t>{Confirm_EmailAddress}</t>
    </r>
  </si>
  <si>
    <r>
      <t>PIP_SALTMobile_Pay</t>
    </r>
    <r>
      <rPr>
        <b/>
        <sz val="10"/>
        <color theme="1"/>
        <rFont val="Calibri"/>
        <family val="2"/>
        <scheme val="minor"/>
      </rPr>
      <t>{Phone_No}</t>
    </r>
  </si>
  <si>
    <r>
      <t>LST_SALTMobile_Pay</t>
    </r>
    <r>
      <rPr>
        <b/>
        <sz val="10"/>
        <color theme="1"/>
        <rFont val="Calibri"/>
        <family val="2"/>
        <scheme val="minor"/>
      </rPr>
      <t>{ID_Type}</t>
    </r>
  </si>
  <si>
    <r>
      <t>LST_SALTMobile_Pay</t>
    </r>
    <r>
      <rPr>
        <b/>
        <sz val="10"/>
        <color theme="1"/>
        <rFont val="Calibri"/>
        <family val="2"/>
        <scheme val="minor"/>
      </rPr>
      <t>{CountryOfIssue}</t>
    </r>
  </si>
  <si>
    <r>
      <t>EDT_SALTMobile_Pay</t>
    </r>
    <r>
      <rPr>
        <b/>
        <sz val="10"/>
        <color theme="1"/>
        <rFont val="Calibri"/>
        <family val="2"/>
        <scheme val="minor"/>
      </rPr>
      <t>{ID_Number}</t>
    </r>
  </si>
  <si>
    <r>
      <t>EDT_SALTMobile_Pay</t>
    </r>
    <r>
      <rPr>
        <b/>
        <sz val="10"/>
        <color theme="1"/>
        <rFont val="Calibri"/>
        <family val="2"/>
        <scheme val="minor"/>
      </rPr>
      <t>{Confirm_IDNumber}</t>
    </r>
  </si>
  <si>
    <r>
      <t>LST_SALTMobile_Pay</t>
    </r>
    <r>
      <rPr>
        <b/>
        <sz val="10"/>
        <color theme="1"/>
        <rFont val="Calibri"/>
        <family val="2"/>
        <scheme val="minor"/>
      </rPr>
      <t>{IDExpiry_MM}</t>
    </r>
  </si>
  <si>
    <r>
      <t>LST_SALTMobile_Pay</t>
    </r>
    <r>
      <rPr>
        <b/>
        <sz val="10"/>
        <color theme="1"/>
        <rFont val="Calibri"/>
        <family val="2"/>
        <scheme val="minor"/>
      </rPr>
      <t>{IDExpiry_DD}</t>
    </r>
  </si>
  <si>
    <r>
      <t>LST_SALTMobile_Pay</t>
    </r>
    <r>
      <rPr>
        <b/>
        <sz val="10"/>
        <color theme="1"/>
        <rFont val="Calibri"/>
        <family val="2"/>
        <scheme val="minor"/>
      </rPr>
      <t>{IDExpiry_YYYY}</t>
    </r>
  </si>
  <si>
    <r>
      <t>EDT_SALTMobile_Pay</t>
    </r>
    <r>
      <rPr>
        <b/>
        <sz val="10"/>
        <color theme="1"/>
        <rFont val="Calibri"/>
        <family val="2"/>
        <scheme val="minor"/>
      </rPr>
      <t>{SSN1}</t>
    </r>
  </si>
  <si>
    <r>
      <t>EDT_SALTMobile_Pay</t>
    </r>
    <r>
      <rPr>
        <b/>
        <sz val="10"/>
        <color theme="1"/>
        <rFont val="Calibri"/>
        <family val="2"/>
        <scheme val="minor"/>
      </rPr>
      <t>{Street_Address}</t>
    </r>
  </si>
  <si>
    <r>
      <t>EDT_SALTMobile_Pay</t>
    </r>
    <r>
      <rPr>
        <b/>
        <sz val="10"/>
        <color theme="1"/>
        <rFont val="Calibri"/>
        <family val="2"/>
        <scheme val="minor"/>
      </rPr>
      <t>{Apartment_Number}</t>
    </r>
  </si>
  <si>
    <r>
      <t>EDT_SALTMobile_Pay</t>
    </r>
    <r>
      <rPr>
        <b/>
        <sz val="10"/>
        <color theme="1"/>
        <rFont val="Calibri"/>
        <family val="2"/>
        <scheme val="minor"/>
      </rPr>
      <t>{City}</t>
    </r>
  </si>
  <si>
    <r>
      <t>LST_SALTMobile_Pay</t>
    </r>
    <r>
      <rPr>
        <b/>
        <sz val="10"/>
        <color theme="1"/>
        <rFont val="Calibri"/>
        <family val="2"/>
        <scheme val="minor"/>
      </rPr>
      <t>{State}</t>
    </r>
  </si>
  <si>
    <r>
      <t>EDT_SALTMobile_Pay</t>
    </r>
    <r>
      <rPr>
        <b/>
        <sz val="10"/>
        <color theme="1"/>
        <rFont val="Calibri"/>
        <family val="2"/>
        <scheme val="minor"/>
      </rPr>
      <t>{Zip}</t>
    </r>
  </si>
  <si>
    <r>
      <t>LST_SALTMobile_Pay</t>
    </r>
    <r>
      <rPr>
        <b/>
        <sz val="10"/>
        <color theme="1"/>
        <rFont val="Calibri"/>
        <family val="2"/>
        <scheme val="minor"/>
      </rPr>
      <t>{Card_Type}</t>
    </r>
  </si>
  <si>
    <r>
      <t>EDT_SALTMobile_Pay</t>
    </r>
    <r>
      <rPr>
        <b/>
        <sz val="10"/>
        <color theme="1"/>
        <rFont val="Calibri"/>
        <family val="2"/>
        <scheme val="minor"/>
      </rPr>
      <t>{Card_Number}</t>
    </r>
  </si>
  <si>
    <r>
      <t>EDT_SALTMobile_Pay</t>
    </r>
    <r>
      <rPr>
        <b/>
        <sz val="10"/>
        <color theme="1"/>
        <rFont val="Calibri"/>
        <family val="2"/>
        <scheme val="minor"/>
      </rPr>
      <t>{Card_FirstName}</t>
    </r>
  </si>
  <si>
    <r>
      <t>EDT_SALTMobile_Pay</t>
    </r>
    <r>
      <rPr>
        <b/>
        <sz val="10"/>
        <color theme="1"/>
        <rFont val="Calibri"/>
        <family val="2"/>
        <scheme val="minor"/>
      </rPr>
      <t>{Card_LastName}</t>
    </r>
  </si>
  <si>
    <r>
      <t>EDT_SALTMobile_Pay</t>
    </r>
    <r>
      <rPr>
        <b/>
        <sz val="10"/>
        <color theme="1"/>
        <rFont val="Calibri"/>
        <family val="2"/>
        <scheme val="minor"/>
      </rPr>
      <t>{Security_Code}</t>
    </r>
  </si>
  <si>
    <r>
      <t>LST_SALTMobile_Pay</t>
    </r>
    <r>
      <rPr>
        <b/>
        <sz val="10"/>
        <color theme="1"/>
        <rFont val="Calibri"/>
        <family val="2"/>
        <scheme val="minor"/>
      </rPr>
      <t>{CardExpiry_MM}</t>
    </r>
  </si>
  <si>
    <r>
      <t>LST_SALTMobile_Pay</t>
    </r>
    <r>
      <rPr>
        <b/>
        <sz val="10"/>
        <color theme="1"/>
        <rFont val="Calibri"/>
        <family val="2"/>
        <scheme val="minor"/>
      </rPr>
      <t>{CardExpiry_YYYY}</t>
    </r>
  </si>
  <si>
    <r>
      <t>EDT_SALTMobile_Pay</t>
    </r>
    <r>
      <rPr>
        <b/>
        <sz val="10"/>
        <color theme="1"/>
        <rFont val="Calibri"/>
        <family val="2"/>
        <scheme val="minor"/>
      </rPr>
      <t>{MothersMaidenName}</t>
    </r>
  </si>
  <si>
    <r>
      <t>LST_SALTMobile_Pay</t>
    </r>
    <r>
      <rPr>
        <b/>
        <sz val="10"/>
        <color theme="1"/>
        <rFont val="Calibri"/>
        <family val="2"/>
        <scheme val="minor"/>
      </rPr>
      <t>{Payment_Type}</t>
    </r>
  </si>
  <si>
    <r>
      <t>CHK_SALTMobile_Pay</t>
    </r>
    <r>
      <rPr>
        <b/>
        <sz val="10"/>
        <color theme="1"/>
        <rFont val="Calibri"/>
        <family val="2"/>
        <scheme val="minor"/>
      </rPr>
      <t>{UseResidentialAddress}</t>
    </r>
  </si>
  <si>
    <r>
      <t>EDT_SALTMobile_Pay</t>
    </r>
    <r>
      <rPr>
        <b/>
        <sz val="10"/>
        <color theme="1"/>
        <rFont val="Calibri"/>
        <family val="2"/>
        <scheme val="minor"/>
      </rPr>
      <t>{BillingAddress_Address1}</t>
    </r>
  </si>
  <si>
    <r>
      <t>EDT_SALTMobile_Pay</t>
    </r>
    <r>
      <rPr>
        <b/>
        <sz val="10"/>
        <color theme="1"/>
        <rFont val="Calibri"/>
        <family val="2"/>
        <scheme val="minor"/>
      </rPr>
      <t>{BillingAddress_Address2}</t>
    </r>
  </si>
  <si>
    <r>
      <t>EDT_SALTMobile_Pay</t>
    </r>
    <r>
      <rPr>
        <b/>
        <sz val="10"/>
        <color theme="1"/>
        <rFont val="Calibri"/>
        <family val="2"/>
        <scheme val="minor"/>
      </rPr>
      <t>{BillingAddress_City}</t>
    </r>
  </si>
  <si>
    <r>
      <t>LST_SALTMobile_Pay</t>
    </r>
    <r>
      <rPr>
        <b/>
        <sz val="10"/>
        <color theme="1"/>
        <rFont val="Calibri"/>
        <family val="2"/>
        <scheme val="minor"/>
      </rPr>
      <t>{BillingAddress_StateId}</t>
    </r>
  </si>
  <si>
    <r>
      <t>EDT_SALTMobile_Pay</t>
    </r>
    <r>
      <rPr>
        <b/>
        <sz val="10"/>
        <color theme="1"/>
        <rFont val="Calibri"/>
        <family val="2"/>
        <scheme val="minor"/>
      </rPr>
      <t>{BillingAddress_PostalCode}</t>
    </r>
  </si>
  <si>
    <r>
      <t>EDT_SALTMobile_PayJPN</t>
    </r>
    <r>
      <rPr>
        <b/>
        <sz val="10"/>
        <color theme="1"/>
        <rFont val="Calibri"/>
        <family val="2"/>
        <scheme val="minor"/>
      </rPr>
      <t>{FirstName}</t>
    </r>
  </si>
  <si>
    <r>
      <t>EDT_SALTMobile_PayJPN</t>
    </r>
    <r>
      <rPr>
        <b/>
        <sz val="10"/>
        <color theme="1"/>
        <rFont val="Calibri"/>
        <family val="2"/>
        <scheme val="minor"/>
      </rPr>
      <t>{LastName}</t>
    </r>
  </si>
  <si>
    <r>
      <t>EDT_SALTMobile_PayJPN</t>
    </r>
    <r>
      <rPr>
        <b/>
        <sz val="10"/>
        <color theme="1"/>
        <rFont val="Calibri"/>
        <family val="2"/>
        <scheme val="minor"/>
      </rPr>
      <t>{Zip}</t>
    </r>
  </si>
  <si>
    <r>
      <t>LST_SALTMobile_PayJPN</t>
    </r>
    <r>
      <rPr>
        <b/>
        <sz val="10"/>
        <color theme="1"/>
        <rFont val="Calibri"/>
        <family val="2"/>
        <scheme val="minor"/>
      </rPr>
      <t>{State}</t>
    </r>
  </si>
  <si>
    <r>
      <t>EDT_SALTMobile_PayJPN</t>
    </r>
    <r>
      <rPr>
        <b/>
        <sz val="10"/>
        <color theme="1"/>
        <rFont val="Calibri"/>
        <family val="2"/>
        <scheme val="minor"/>
      </rPr>
      <t>{City}</t>
    </r>
  </si>
  <si>
    <r>
      <t>EDT_SALTMobile_PayJPN</t>
    </r>
    <r>
      <rPr>
        <b/>
        <sz val="10"/>
        <color theme="1"/>
        <rFont val="Calibri"/>
        <family val="2"/>
        <scheme val="minor"/>
      </rPr>
      <t>{Apartment_Number}</t>
    </r>
  </si>
  <si>
    <r>
      <t>EDT_SALTMobile_PayJPN</t>
    </r>
    <r>
      <rPr>
        <b/>
        <sz val="10"/>
        <color theme="1"/>
        <rFont val="Calibri"/>
        <family val="2"/>
        <scheme val="minor"/>
      </rPr>
      <t>{Street_Address}</t>
    </r>
  </si>
  <si>
    <r>
      <t>EDT_SALTMobile_StorePickUpBranch</t>
    </r>
    <r>
      <rPr>
        <b/>
        <sz val="10"/>
        <color theme="1"/>
        <rFont val="Calibri"/>
        <family val="2"/>
        <scheme val="minor"/>
      </rPr>
      <t>{Searchstore}</t>
    </r>
  </si>
  <si>
    <t>Mob_OrderConfirmationPage</t>
  </si>
  <si>
    <t>DeliveryDateMobile</t>
  </si>
  <si>
    <r>
      <t>LST_SALTMobile_Pay</t>
    </r>
    <r>
      <rPr>
        <b/>
        <sz val="10"/>
        <color theme="1"/>
        <rFont val="Calibri"/>
        <family val="2"/>
        <scheme val="minor"/>
      </rPr>
      <t>{Title}</t>
    </r>
  </si>
  <si>
    <t>ConnectDatabaseForAdmin</t>
  </si>
  <si>
    <t>AirportName</t>
  </si>
  <si>
    <t>RateProfile</t>
  </si>
  <si>
    <t>Country</t>
  </si>
  <si>
    <t>ForeignCurrencyCode</t>
  </si>
  <si>
    <t>StoreName][AirportName][RateProfile][Country][ForeignCurrencyCode</t>
  </si>
  <si>
    <t>AvailablefulfillmentOptions</t>
  </si>
  <si>
    <t>Fulfillment][AvailablefulfillmentOptions</t>
  </si>
  <si>
    <t>Mob_ContactUs</t>
  </si>
  <si>
    <t>Mob_GrtProductNServices</t>
  </si>
  <si>
    <t>Mob_StoreLocator</t>
  </si>
  <si>
    <r>
      <t>LST_SALTMobile_PayJPN</t>
    </r>
    <r>
      <rPr>
        <b/>
        <sz val="10"/>
        <color theme="1"/>
        <rFont val="Calibri"/>
        <family val="2"/>
        <scheme val="minor"/>
      </rPr>
      <t>{Title}</t>
    </r>
  </si>
  <si>
    <t>LST_SALT_PayAus{Billing_State}</t>
  </si>
  <si>
    <r>
      <t>LST_SALT_PayAus</t>
    </r>
    <r>
      <rPr>
        <b/>
        <sz val="10"/>
        <color theme="1"/>
        <rFont val="Calibri"/>
        <family val="2"/>
        <scheme val="minor"/>
      </rPr>
      <t>{Billing_State}</t>
    </r>
  </si>
  <si>
    <t>KillIE</t>
  </si>
  <si>
    <t>LST_SALTMobile_Pay{Title}][EDT_SALTMobile_Pay{FirstName}][EDT_SALTMobile_Pay{MiddleName}][EDT_SALTMobile_Pay{LastName}][LST_SALTMobile_Pay{DOB_MM}][LST_SALTMobile_Pay{DOB_DD}][LST_SALTMobile_Pay{DOB_YYYY}][EIP_SALTMobile_Pay{Email_Address}][EIP_SALTMobile_Pay{Confirm_EmailAddress}][PIP_SALTMobile_Pay{Phone_No}][LST_SALTMobile_Pay{ID_Type}][LST_SALTMobile_Pay{CountryOfIssue}][EDT_SALTMobile_Pay{ID_Number}][EDT_SALTMobile_Pay{Confirm_IDNumber}][LST_SALTMobile_Pay{IDExpiry_MM}][LST_SALTMobile_Pay{IDExpiry_DD}][LST_SALTMobile_Pay{IDExpiry_YYYY}][EDT_SALTMobile_Pay{MothersMaidenName}][EDT_SALTMobile_Pay{Street_Address}][EDT_SALTMobile_Pay{Apartment_Number}][EDT_SALTMobile_Pay{City}][LST_SALTMobile_Pay{State}][EDT_SALTMobile_Pay{Zip}][LST_SALTMobile_Pay{Payment_Type}][LST_SALTMobile_Pay{Card_Type}][EDT_SALTMobile_Pay{Card_Number}][EDT_SALTMobile_Pay{Card_FirstName}][EDT_SALTMobile_Pay{Card_LastName}][EDT_SALTMobile_Pay{Security_Code}][LST_SALTMobile_Pay{CardExpiry_MM}][LST_SALTMobile_Pay{CardExpiry_YYYY}][CHK_SALTMobile_Pay{UseResidentialAddress}][EDT_SALT_PayAus{Billing_StreetAddress}][EDT_SALT_PayAus{Billing_Suburb}][LST_SALT_PayAus{Billing_State}][EDT_SALT_PayAus{Billing_Postcode}][EDT_SALT_PayAus{Billing_City}</t>
  </si>
  <si>
    <t>MobileReview</t>
  </si>
  <si>
    <t>CardNumber</t>
  </si>
  <si>
    <t>ProductName][NIP_SALTMobile_CreateOrder{Foreign_Amount}][LST_SALTMobile_CreateOrder{Foreign_Currency}][Local_CurrencyCode][EDT_SALT_Home{Foreign_Amount}][LBL_SALT_Home{Foreign_CurrencyCode}][EDT_SALT_Home{Local_Amount}][CardNumber</t>
  </si>
  <si>
    <t>DatasheetToRecordSet</t>
  </si>
  <si>
    <t>AirportTerminal_Name</t>
  </si>
  <si>
    <t>DeliveryDate_dd/mm/yyyy][Selected_FulfilmentOption][Selected_DeliveryCost][Selected_DeliveryDate</t>
  </si>
  <si>
    <t>DeliveryDate_dd/mm/yyyy</t>
  </si>
  <si>
    <t>LST_SALT_PayAus{CardBilling_State}</t>
  </si>
  <si>
    <t>LST_SALT_Pay{Title}][EDT_SALT_Pay{FirstName}][EDT_SALT_Pay{MiddleName}][EDT_SALT_Pay{LastName}][LST_SALT_PayAus{DOB_Day}][LST_SALT_PayAus{DOB_Month}][LST_SALT_PayAus{DOB_Year}][LST_SALT_Pay{ID_Type}][LST_SALT_Pay{CountryOfIssue}][CHK_SALT_PayNZ{AdditionalIDRequired}][EDT_SALT_Pay{ID_Number}][EDT_SALT_Pay{Confirm_IDNumber}][LST_SALT_PayAus{IDExpiry_Day}][LST_SALT_PayAus{IDExpiry_Month}][LST_SALT_PayAus{IDExpiry_Year}][EDT_SALT_Pay{Mother_MaidenName}][EDT_SALT_Pay{Cell_Phone}][EDT_SALT_Pay{Home_Phone}][EDT_SALT_Pay{Email_Address}][EDT_SALT_Pay{Confirm_EmailAddress}][EDT_SALT_Pay{Street_Address}][EDT_SALT_PayAus{Suburb}][EDT_SALT_Pay{City}][EDT_SALT_Pay{Zip}][Payment_Type][LST_SALT_Pay{Card_Type}][EDT_SALT_Pay{Card_Number}][EDT_SALT_Pay{Card_FirstName}][EDT_SALT_Pay{Card_LastName}][EDT_SALT_Pay{Security_Code}][LST_SALT_PayAus{CardExpiry_Month}][LST_SALT_PayAus{CardExpiry_Year}][CHK_SALT_PayAus{Use_Residential}][EDT_SALT_PayAus{Billing_StreetAddress}][EDT_SALT_PayAus{Billing_Suburb}][EDT_SALT_PayAus{Billing_City}][LST_SALT_PayAus{CardBilling_State}][EDT_SALT_PayAus{Billing_Postcode}][CHK_SALT_Pay{Special_Offers}][CHK_SALT_Pay{TermsAndConditions}][Order_Total</t>
  </si>
  <si>
    <r>
      <t>LST_SALT_PayAus</t>
    </r>
    <r>
      <rPr>
        <b/>
        <sz val="10"/>
        <color theme="1"/>
        <rFont val="Calibri"/>
        <family val="2"/>
        <scheme val="minor"/>
      </rPr>
      <t>{CardBilling_State}</t>
    </r>
  </si>
  <si>
    <t>Product Type</t>
  </si>
  <si>
    <t>WEA_SALT_ChangeID{Reason}</t>
  </si>
  <si>
    <t>OrderNumber][EDT_SALT_ChangeID{NewCustName}][LST_SALT_ChangeID{IDType}][LST_SALT_ChangeID{Country}][LST_SALT_ChangeID{State}][EDT_SALT_ChangeID{IdNumber}][LST_SALT_ChangeID{ExpiryMonth}][LST_SALT_ChangeID{ExpiryDay}][LST_SALT_ChangeID{ExpiryYear}][LST_SALT_ChangeID{DOBMonth}][LST_SALT_ChangeID{DOBDay}][LST_SALT_ChangeID{DOBYear}][WEA_SALT_ChangeID{Reason}</t>
  </si>
  <si>
    <t>WEA_SALT_ChangePickUpDate{Reason}</t>
  </si>
  <si>
    <t>OrderNumber][WEA_SALT_ChangePickUpDate{Reason}</t>
  </si>
  <si>
    <r>
      <t>WEA_SALT_ChangeID</t>
    </r>
    <r>
      <rPr>
        <b/>
        <sz val="10"/>
        <color theme="1"/>
        <rFont val="Calibri"/>
        <family val="2"/>
        <scheme val="minor"/>
      </rPr>
      <t>{Reason}</t>
    </r>
  </si>
  <si>
    <r>
      <t>WEA_SALT_ChangePickUpDate</t>
    </r>
    <r>
      <rPr>
        <b/>
        <sz val="10"/>
        <color theme="1"/>
        <rFont val="Calibri"/>
        <family val="2"/>
        <scheme val="minor"/>
      </rPr>
      <t>{Reason}</t>
    </r>
  </si>
  <si>
    <t>Admin_CurrencyConverter_Check</t>
  </si>
  <si>
    <t>SiteTreeSelectionAsPerCountry</t>
  </si>
  <si>
    <t>Local Currency</t>
  </si>
  <si>
    <t>AdminLocalCurrencyValidatorMajor</t>
  </si>
  <si>
    <t>Admin_Store_Locator_AirportOnline_Check</t>
  </si>
  <si>
    <t>AdminDate][Local Currency</t>
  </si>
  <si>
    <t>EDT_SALT_Admin{CCLocalCurrencyAmt}][LST_SALT_Admin{CCForeignCurrency}][EDT_SALT_Admin{CCForeignCurrencyAmt}][LST_SALT_Admin{CCLocalCurrency}][Local Currency][AdminDate</t>
  </si>
  <si>
    <t>CountryRetailScreen</t>
  </si>
  <si>
    <t>Admin_OnlineRate_Check</t>
  </si>
  <si>
    <t>AdminDate</t>
  </si>
  <si>
    <t>Admin_Currency_Widget</t>
  </si>
  <si>
    <t>StoreSetupForOnlineStoreCheck</t>
  </si>
  <si>
    <t>EDT_SALT_Admin{StoreSearchName}][EDT_SALT_ShippingOption{SLLocation}][Local Currency][AdminDate</t>
  </si>
  <si>
    <t>Admin_Store_Locator_Online_Check</t>
  </si>
  <si>
    <t>EDT_SALT_Admin{CCLocalCurrencyAmt}</t>
  </si>
  <si>
    <t>LST_SALT_Admin{CCForeignCurrency}</t>
  </si>
  <si>
    <t>EDT_SALT_Admin{CCForeignCurrencyAmt}</t>
  </si>
  <si>
    <t>LST_SALT_Admin{CCLocalCurrency}</t>
  </si>
  <si>
    <t>EDT_SALT_Admin{StoreSearchName}</t>
  </si>
  <si>
    <t>EDT_SALT_ShippingOption{SLLocation}</t>
  </si>
  <si>
    <r>
      <t>EDT_SALT_Admin</t>
    </r>
    <r>
      <rPr>
        <b/>
        <sz val="10"/>
        <color theme="1"/>
        <rFont val="Calibri"/>
        <family val="2"/>
        <scheme val="minor"/>
      </rPr>
      <t>{CCLocalCurrencyAmt}</t>
    </r>
  </si>
  <si>
    <r>
      <t>LST_SALT_Admin</t>
    </r>
    <r>
      <rPr>
        <b/>
        <sz val="10"/>
        <color theme="1"/>
        <rFont val="Calibri"/>
        <family val="2"/>
        <scheme val="minor"/>
      </rPr>
      <t>{CCForeignCurrency}</t>
    </r>
  </si>
  <si>
    <r>
      <t>EDT_SALT_Admin</t>
    </r>
    <r>
      <rPr>
        <b/>
        <sz val="10"/>
        <color theme="1"/>
        <rFont val="Calibri"/>
        <family val="2"/>
        <scheme val="minor"/>
      </rPr>
      <t>{CCForeignCurrencyAmt}</t>
    </r>
  </si>
  <si>
    <r>
      <t>LST_SALT_Admin</t>
    </r>
    <r>
      <rPr>
        <b/>
        <sz val="10"/>
        <color theme="1"/>
        <rFont val="Calibri"/>
        <family val="2"/>
        <scheme val="minor"/>
      </rPr>
      <t>{CCLocalCurrency}</t>
    </r>
  </si>
  <si>
    <r>
      <t>EDT_SALT_Admin</t>
    </r>
    <r>
      <rPr>
        <b/>
        <sz val="10"/>
        <color theme="1"/>
        <rFont val="Calibri"/>
        <family val="2"/>
        <scheme val="minor"/>
      </rPr>
      <t>{StoreSearchName}</t>
    </r>
  </si>
  <si>
    <r>
      <t>EDT_SALT_ShippingOption</t>
    </r>
    <r>
      <rPr>
        <b/>
        <sz val="10"/>
        <color theme="1"/>
        <rFont val="Calibri"/>
        <family val="2"/>
        <scheme val="minor"/>
      </rPr>
      <t>{SLLocation}</t>
    </r>
  </si>
  <si>
    <t>Salt_Login][PF_EnterFirstOrderDetail][EnterFirstOrderDetail][VerifyFirstOrder][ValidateOrderSummary][EnterShippingLocation][EnterShippingLocation][EnterShippingLocation][EnterShippingLocation][EnterShippingLocation][PF_ShippingOptions][SelectFulfilmentOption][DeliveryDate][PF_Pay_Validation][PayAus][Validate_ConfirmationPage][Confirmation][Salt_Logout</t>
  </si>
  <si>
    <t>EXECUTE</t>
  </si>
  <si>
    <t>Buy_Product][LST_SALT_Home{Foreign_Currency}][Local_CurrencyCode][EDT_SALT_Home{Foreign_Amount}][LBL_SALT_Home{Foreign_CurrencyCode}][EDT_SALT_Home{Local_Amount}][Country</t>
  </si>
  <si>
    <t>TempLocalCurrencyCode</t>
  </si>
  <si>
    <t>Shipping_Type][Store_Name][Airport_Name][AirportTerminal_Name][TempLocalCurrencyCode</t>
  </si>
  <si>
    <t>Salt_AdminLogin</t>
  </si>
  <si>
    <t>Salt_LoginTest</t>
  </si>
  <si>
    <t>Salt_AdminLogin][Select_Country][Copy_TC_to_TC][CountryLoadBeforeExecution][FraudReviewAcceptReject</t>
  </si>
  <si>
    <t>Salt_AdminLogin][Select_Country][Copy_TC_to_TC][Select_Country][CountryLoadBeforeExecution][RefundDashBoard</t>
  </si>
  <si>
    <t>Salt_AdminLogin][Select_Country][CountryLoadBeforeExecution][VaultDashBoardView</t>
  </si>
  <si>
    <t>Salt_AdminLogin][Select_Country][Copy_TC_to_TC][CountryLoadBeforeExecution][VaultDashBoardOrdersToPack</t>
  </si>
  <si>
    <t>Spot Rate</t>
  </si>
  <si>
    <t>Original Rate</t>
  </si>
  <si>
    <t>Custom rate</t>
  </si>
  <si>
    <t>Cancellation Fee</t>
  </si>
  <si>
    <t>PF_LayoutValidation</t>
  </si>
  <si>
    <t>ValidateSummary</t>
  </si>
  <si>
    <t>Buy_Product][LST_SALT_Home{Foreign_Currency}][Local_CurrencyCode][EDT_SALT_Home{Foreign_Amount}][LBL_SALT_Home{Foreign_CurrencyCode}][EDT_SALT_Home{Local_Amount}</t>
  </si>
  <si>
    <t>PF_VerifyFirstOrder</t>
  </si>
  <si>
    <t>AddOrder_HP</t>
  </si>
  <si>
    <t>EnterFirstOrderDetail_HP</t>
  </si>
  <si>
    <t>VerifyFirstOrder_HP</t>
  </si>
  <si>
    <t>EDT_SALT_Pay{Confirm_IDNumber}</t>
  </si>
  <si>
    <r>
      <t>EDT_SALT_Pay</t>
    </r>
    <r>
      <rPr>
        <b/>
        <sz val="10"/>
        <color theme="1"/>
        <rFont val="Calibri"/>
        <family val="2"/>
        <scheme val="minor"/>
      </rPr>
      <t>{Confirm_IDNumber}</t>
    </r>
  </si>
  <si>
    <t>ValidateOrderSummary_HP</t>
  </si>
  <si>
    <t>DeliveryDate_HP</t>
  </si>
  <si>
    <t>EnterShippingLocation_HP</t>
  </si>
  <si>
    <t>SelectFulfilmentOption_HP</t>
  </si>
  <si>
    <t>GetDataForDayEndOrdersPackedInSafe</t>
  </si>
  <si>
    <t>OrderNumber][CustomerName][PickupDate][CashPassportPAN][ProductTotal][OrderTotal][Country</t>
  </si>
  <si>
    <t>GetDataForDayEndOrdersCompleted</t>
  </si>
  <si>
    <t>OrderNumber][PickupDate][ProductType][Currency][ForeignAmt][DomesticAmt][Country][CashPassportPAN</t>
  </si>
  <si>
    <t>PF_Validations</t>
  </si>
  <si>
    <t>EnterFirstOrderDetailForAdmin</t>
  </si>
  <si>
    <t>EnterShippingLocationForAdmin</t>
  </si>
  <si>
    <t>SelectFulfilmentOptionForAdmin</t>
  </si>
  <si>
    <t>Shipping_Type][Store_Name][Airport_Name][AirportTerminal_Name</t>
  </si>
  <si>
    <t>DeliveryDateForAdmin</t>
  </si>
  <si>
    <t>PayForAdmin</t>
  </si>
  <si>
    <t>LST_SALT_Pay{Title}][EDT_SALT_Pay{FirstName}][EDT_SALT_Pay{MiddleName}][EDT_SALT_Pay{LastName}][LST_SALT_PayAus{DOB_Day}][LST_SALT_PayAus{DOB_Month}][LST_SALT_PayAus{DOB_Year}][LST_SALT_Pay{ID_Type}][LST_SALT_Pay{CountryOfIssue}][CHK_SALT_PayNZ{AdditionalIDRequired}][EDT_SALT_Pay{ID_Number}][EDT_SALT_Pay{Confirm_IDNumber}][LST_SALT_PayAus{IDExpiry_Day}][LST_SALT_PayAus{IDExpiry_Month}][LST_SALT_PayAus{IDExpiry_Year}][EDT_SALT_Pay{Mother_MaidenName}][EDT_SALT_Pay{Cell_Phone}][EDT_SALT_Pay{Home_Phone}][EDT_SALT_Pay{Email_Address}][EDT_SALT_Pay{Confirm_EmailAddress}][EDT_SALT_Pay{Street_Address}][EDT_SALT_PayAus{Suburb}][EDT_SALT_Pay{City}][EDT_SALT_Pay{Zip}][Payment_Type][LST_SALT_Pay{Card_Type}][EDT_SALT_Pay{Card_Number}][EDT_SALT_Pay{Card_FirstName}][EDT_SALT_Pay{Card_LastName}][EDT_SALT_Pay{Security_Code}][LST_SALT_PayAus{CardExpiry_Month}][LST_SALT_PayAus{CardExpiry_Year}][CHK_SALT_PayAus{Use_Residential}][LST_SALT_PayAus{CardBilling_State}][EDT_SALT_PayAus{Billing_StreetAddress}][EDT_SALT_PayAus{Billing_Suburb}][EDT_SALT_PayAus{Billing_City}][EDT_SALT_PayAus{Billing_Postcode}][CHK_SALT_Pay{Special_Offers}][CHK_SALT_Pay{TermsAndConditions}][Order_Total</t>
  </si>
  <si>
    <t>ConfirmationForAdmin</t>
  </si>
  <si>
    <t>Validate_MultiProducts</t>
  </si>
  <si>
    <t>ForeignAmt</t>
  </si>
  <si>
    <t>DomesticAmt</t>
  </si>
  <si>
    <t>None][Product Type][Availability_Message</t>
  </si>
  <si>
    <t>OrderNumber][PickupDate][ProductType][Currency][ForeignAmt][DomesticAmt][PANs</t>
  </si>
  <si>
    <t>ConfigurationBuyBackCountryLevel</t>
  </si>
  <si>
    <t>ConfigurationBuyBackRetailPartnerLevel</t>
  </si>
  <si>
    <t>BuyBackConfigurationCheckOnFullSite</t>
  </si>
  <si>
    <t>MakeBuybackActiveForPartner</t>
  </si>
  <si>
    <t>BybackNumber</t>
  </si>
  <si>
    <t>MakeBuybackActiveForCountry</t>
  </si>
  <si>
    <t>Salt_LoginAnotherInstance</t>
  </si>
  <si>
    <t>App_Name1][App_Env1][UserType1</t>
  </si>
  <si>
    <t>Salt_Login][Select_Country][Copy_TC_to_TC][CountryLoadBeforeExecution][CheckFraudOrderInReview</t>
  </si>
  <si>
    <t>Fees</t>
  </si>
  <si>
    <t>Buyback Ref</t>
  </si>
  <si>
    <t>BuyBack Text</t>
  </si>
  <si>
    <t>BuyBack Name</t>
  </si>
  <si>
    <t>App_Name1</t>
  </si>
  <si>
    <t>App_Env1</t>
  </si>
  <si>
    <t>UserType1</t>
  </si>
  <si>
    <t>Salt_AdminLoginAnotherInstance</t>
  </si>
  <si>
    <t>URL][UserID][Password</t>
  </si>
  <si>
    <t>CancelledBankTransferPandingBpay</t>
  </si>
  <si>
    <t>CancelBankTransBpay</t>
  </si>
  <si>
    <t>Need only store name</t>
  </si>
  <si>
    <t>ValidateBuyBackOnConfirmationPage</t>
  </si>
  <si>
    <t>ExpiryDays</t>
  </si>
  <si>
    <t>ExpiryDays][Fees][LST_SALT_Admin{Country}</t>
  </si>
  <si>
    <t>Orders</t>
  </si>
  <si>
    <t>NOD_SALT_Confirmation{Order_Number}][Buyback Ref][Orders</t>
  </si>
  <si>
    <t>CancelBPAYBankTransferPending</t>
  </si>
  <si>
    <t>PrintUnpackOrder</t>
  </si>
  <si>
    <t>ChangeIDDetails</t>
  </si>
  <si>
    <t>ChangePickupLocation</t>
  </si>
  <si>
    <t>New Store Name</t>
  </si>
  <si>
    <t>Reason</t>
  </si>
  <si>
    <t>OrderNumber][StoreName][Reason][New Store Name</t>
  </si>
  <si>
    <t>PayFRA</t>
  </si>
  <si>
    <t>LST_SALT_PayFRA{DOB_Day}</t>
  </si>
  <si>
    <t>LST_SALT_PayFRA{DOB_Month}</t>
  </si>
  <si>
    <t>LST_SALT_PayFRA{DOB_Year}</t>
  </si>
  <si>
    <t>LST_SALT_PayFRA{IDExp_Day}</t>
  </si>
  <si>
    <t>LST_SALT_PayFRA{IDExp_Month}</t>
  </si>
  <si>
    <t>LST_SALT_PayFRA{IDExp_Year}</t>
  </si>
  <si>
    <t>EDT_SALT_PayFRA{H_Number}</t>
  </si>
  <si>
    <t>EDT_SALT_PayFRA{Resi_Street}</t>
  </si>
  <si>
    <t>EDT_SALT_PayFRA{Aprt_Number}</t>
  </si>
  <si>
    <t>EDT_SALT_PayFRA{Zip}</t>
  </si>
  <si>
    <t>EDT_SALT_PayFRA{City}</t>
  </si>
  <si>
    <t>LST_SALT_PayFRA{CardExp_Month}</t>
  </si>
  <si>
    <t>LST_SALT_PayFRA{CardExp_Year}</t>
  </si>
  <si>
    <r>
      <t>LST_SALT_PayFRA</t>
    </r>
    <r>
      <rPr>
        <b/>
        <sz val="10"/>
        <color theme="1"/>
        <rFont val="Calibri"/>
        <family val="2"/>
        <scheme val="minor"/>
      </rPr>
      <t>{DOB_Day}</t>
    </r>
  </si>
  <si>
    <r>
      <t>LST_SALT_PayFRA</t>
    </r>
    <r>
      <rPr>
        <b/>
        <sz val="10"/>
        <color theme="1"/>
        <rFont val="Calibri"/>
        <family val="2"/>
        <scheme val="minor"/>
      </rPr>
      <t>{DOB_Month}</t>
    </r>
  </si>
  <si>
    <r>
      <t>LST_SALT_PayFRA</t>
    </r>
    <r>
      <rPr>
        <b/>
        <sz val="10"/>
        <color theme="1"/>
        <rFont val="Calibri"/>
        <family val="2"/>
        <scheme val="minor"/>
      </rPr>
      <t>{DOB_Year}</t>
    </r>
  </si>
  <si>
    <r>
      <t>LST_SALT_PayFRA</t>
    </r>
    <r>
      <rPr>
        <b/>
        <sz val="10"/>
        <color theme="1"/>
        <rFont val="Calibri"/>
        <family val="2"/>
        <scheme val="minor"/>
      </rPr>
      <t>{IDExp_Day}</t>
    </r>
  </si>
  <si>
    <r>
      <t>LST_SALT_PayFRA</t>
    </r>
    <r>
      <rPr>
        <b/>
        <sz val="10"/>
        <color theme="1"/>
        <rFont val="Calibri"/>
        <family val="2"/>
        <scheme val="minor"/>
      </rPr>
      <t>{IDExp_Month}</t>
    </r>
  </si>
  <si>
    <r>
      <t>LST_SALT_PayFRA</t>
    </r>
    <r>
      <rPr>
        <b/>
        <sz val="10"/>
        <color theme="1"/>
        <rFont val="Calibri"/>
        <family val="2"/>
        <scheme val="minor"/>
      </rPr>
      <t>{IDExp_Year}</t>
    </r>
  </si>
  <si>
    <r>
      <t>EDT_SALT_PayFRA</t>
    </r>
    <r>
      <rPr>
        <b/>
        <sz val="10"/>
        <color theme="1"/>
        <rFont val="Calibri"/>
        <family val="2"/>
        <scheme val="minor"/>
      </rPr>
      <t>{H_Number}</t>
    </r>
  </si>
  <si>
    <r>
      <t>EDT_SALT_PayFRA</t>
    </r>
    <r>
      <rPr>
        <b/>
        <sz val="10"/>
        <color theme="1"/>
        <rFont val="Calibri"/>
        <family val="2"/>
        <scheme val="minor"/>
      </rPr>
      <t>{Resi_Street}</t>
    </r>
  </si>
  <si>
    <r>
      <t>EDT_SALT_PayFRA</t>
    </r>
    <r>
      <rPr>
        <b/>
        <sz val="10"/>
        <color theme="1"/>
        <rFont val="Calibri"/>
        <family val="2"/>
        <scheme val="minor"/>
      </rPr>
      <t>{Aprt_Number}</t>
    </r>
  </si>
  <si>
    <r>
      <t>EDT_SALT_PayFRA</t>
    </r>
    <r>
      <rPr>
        <b/>
        <sz val="10"/>
        <color theme="1"/>
        <rFont val="Calibri"/>
        <family val="2"/>
        <scheme val="minor"/>
      </rPr>
      <t>{Zip}</t>
    </r>
  </si>
  <si>
    <r>
      <t>EDT_SALT_PayFRA</t>
    </r>
    <r>
      <rPr>
        <b/>
        <sz val="10"/>
        <color theme="1"/>
        <rFont val="Calibri"/>
        <family val="2"/>
        <scheme val="minor"/>
      </rPr>
      <t>{City}</t>
    </r>
  </si>
  <si>
    <r>
      <t>LST_SALT_PayFRA</t>
    </r>
    <r>
      <rPr>
        <b/>
        <sz val="10"/>
        <color theme="1"/>
        <rFont val="Calibri"/>
        <family val="2"/>
        <scheme val="minor"/>
      </rPr>
      <t>{CardExp_Month}</t>
    </r>
  </si>
  <si>
    <r>
      <t>LST_SALT_PayFRA</t>
    </r>
    <r>
      <rPr>
        <b/>
        <sz val="10"/>
        <color theme="1"/>
        <rFont val="Calibri"/>
        <family val="2"/>
        <scheme val="minor"/>
      </rPr>
      <t>{CardExp_Year}</t>
    </r>
  </si>
  <si>
    <t>Country][Selected_DeliveryCost][NOD_SALT_Confirmation{Order_Number}][EDT_SALT_Pay{Street_Address}][EDT_SALT_Pay{Apartment_Number}][EDT_SALT_Pay{City}][EDT_SALT_Pay{Zip}][Order_Total</t>
  </si>
  <si>
    <t>SearchOrderThroughCallCentre</t>
  </si>
  <si>
    <t>PartnerName][OrderNumber][EDT_SALT_ChangeID{NewCustName}][LST_SALT_ChangeID{IDType}][LST_SALT_ChangeID{Country}][LST_SALT_ChangeID{State}][EDT_SALT_ChangeID{IdNumber}][LST_SALT_ChangeID{ExpiryMonth}][LST_SALT_ChangeID{ExpiryDay}][LST_SALT_ChangeID{ExpiryYear}][LST_SALT_ChangeID{DOBMonth}][LST_SALT_ChangeID{DOBDay}][LST_SALT_ChangeID{DOBYear}][WEA_SALT_ChangeID{Reason}</t>
  </si>
  <si>
    <t>OrderNumber][Country</t>
  </si>
  <si>
    <t>OrderNumber][Spot Rate][Original Rate][Custom rate][Cancellation Fee][Country</t>
  </si>
  <si>
    <t>FromDate</t>
  </si>
  <si>
    <t>ToDate</t>
  </si>
  <si>
    <t>OrderNumber][FromDate][ToDate</t>
  </si>
  <si>
    <t>Country][LST_SALT_Pay{Title}][EDT_SALT_Pay{FirstName}][EDT_SALT_Pay{MiddleName}][EDT_SALT_Pay{LastName}][LST_SALT_PayFRA{DOB_Day}][LST_SALT_PayFRA{DOB_Month}][LST_SALT_PayFRA{DOB_Year}][LST_SALT_Pay{ID_Type}][LST_SALT_Pay{CountryOfIssue}][EDT_SALT_Pay{ID_Number}][EDT_SALT_Pay{Confirm_IDNumber}][LST_SALT_PayFRA{IDExp_Day}][LST_SALT_PayFRA{IDExp_Month}][LST_SALT_PayFRA{IDExp_Year}][EDT_SALT_Pay{Mother_MaidenName}][EDT_SALT_Pay{Cell_Phone}][EDT_SALT_Pay{Home_Phone}][EDT_SALT_Pay{Email_Address}][EDT_SALT_Pay{Confirm_EmailAddress}][EDT_SALT_PayFRA{H_Number}][EDT_SALT_PayFRA{Resi_Street}][EDT_SALT_PayFRA{Aprt_Number}][EDT_SALT_PayFRA{Zip}][EDT_SALT_PayFRA{City}][Payment_Type][LST_SALT_Pay{Card_Type}][EDT_SALT_Pay{Card_Number}][EDT_SALT_Pay{Card_FirstName}][EDT_SALT_Pay{Card_LastName}][EDT_SALT_Pay{Security_Code}][LST_SALT_PayFRA{CardExp_Month}][LST_SALT_PayFRA{CardExp_Year}][CHK_SALT_Pay{Special_Offers}][CHK_SALT_Pay{TermsAndConditions}][Order_Total][Country</t>
  </si>
  <si>
    <t>OrderNumber][ProductTotal][PickupDate][ProductType][Currency][ForeignAmt][DomesticAmt][Country][CashPassportPAN][CustomerName][OrderTotal</t>
  </si>
  <si>
    <r>
      <t>EDT_SALT_Pay</t>
    </r>
    <r>
      <rPr>
        <b/>
        <sz val="10"/>
        <color theme="1"/>
        <rFont val="Calibri"/>
        <family val="2"/>
        <scheme val="minor"/>
      </rPr>
      <t>{MiddleName}</t>
    </r>
  </si>
  <si>
    <t>BuyBack Name][Fees][Country</t>
  </si>
  <si>
    <t>Last Name</t>
  </si>
  <si>
    <t>ID Number</t>
  </si>
  <si>
    <t>Last Name][ID Number][OrderNumber</t>
  </si>
  <si>
    <t>Salt_AdminLogin][Select_Country][Copy_TC_to_TC][RefundDashboardCancellation</t>
  </si>
  <si>
    <t>Rate</t>
  </si>
  <si>
    <t>SecondRate</t>
  </si>
  <si>
    <t>BuyBack Text][BuyBack Name][LST_SALT_Admin{Country}][Rate][SecondRate][Fees</t>
  </si>
  <si>
    <t>Selected_FulfilmentOption][LST_SALT_Pay{Title}][EDT_SALT_Pay{FirstName}][EDT_SALT_Pay{MiddleName}][EDT_SALT_Pay{LastName}][LST_SALT_Pay{DOB_MM}][LST_SALT_Pay{DOB_DD}][LST_SALT_Pay{DOB_YYYY}][EDT_SALT_Pay{Mother_MaidenName}][LST_SALT_Pay{ID_Type}][LST_SALT_Pay{CountryOfIssue}][LST_SALT_Pay{StateOfIssue}][EDT_SALT_Pay{ID_Number}][EDT_SALT_Pay{Confirm_IDNumber}][LST_SALT_Pay{IDExpiry_MM}][LST_SALT_Pay{IDExpiry_DD}][LST_SALT_Pay{IDExpiry_YYYY}][SSN][LST_SALT_Pay{State}][EDT_SALT_Pay{Cell_Phone}][EDT_SALT_Pay{Home_Phone}][EDT_SALT_Pay{Email_Address}][EDT_SALT_Pay{Confirm_EmailAddress}][EDT_SALT_Pay{Street_Address}][EDT_SALT_Pay{Apartment_Number}][EDT_SALT_Pay{City}][Residential_State][EDT_SALT_Pay{Zip}][LST_SALT_Pay{Card_Type}][EDT_SALT_Pay{Card_Number}][EDT_SALT_Pay{Card_FirstName}][EDT_SALT_Pay{Card_LastName}][EDT_SALT_Pay{Security_Code}][LST_SALT_Pay{CardExpiry_MM}][LST_SALT_Pay{CardExpiry_YYYY}][CHK_SALT_Pay{Special_Offers}][CHK_SALT_Pay{TermsAndConditions}][Order_Total</t>
  </si>
  <si>
    <t>CloseAdminCallCentre</t>
  </si>
  <si>
    <t>Salt_Login][EnterFirstOrderDetailForAdmin][EnterShippingLocationForAdmin][SelectFulfilmentOptionForAdmin][DeliveryDateForAdmin][PayCan][ConfirmationForAdmin</t>
  </si>
  <si>
    <t>PreReqUnpack</t>
  </si>
  <si>
    <t>OrdersToUnPackAdmin</t>
  </si>
  <si>
    <t xml:space="preserve"> </t>
  </si>
  <si>
    <t>EditStoreLeadTime</t>
  </si>
  <si>
    <t>ValidatePaymentTypes</t>
  </si>
  <si>
    <t>ValidateLeadTimePaymentPage</t>
  </si>
  <si>
    <t>ValidatePaymentLeadTime</t>
  </si>
  <si>
    <t>ValidateLeadTime</t>
  </si>
  <si>
    <t>AddStoreInAdmin</t>
  </si>
  <si>
    <t>StoreName][StoreType</t>
  </si>
  <si>
    <t>StoreType][BTN_AddStore][EDT_AddStore_{SiteID}][StoreName][EDT_AddStore_{StorePREL}][EDT_AddStore_{StoreFidelity}][LST_AddStore_{StoreOwnPart}][LST_AddStore_{StoreArea}][EDT_AddStore_{StoreAdd1}][EDT_AddStore_{StoreAdd2}][EDT_AddStore_{StoreCity}][LST_AddStore_{StoreState}][EDT_AddStore_{StoreZip}][EDT_AddStore_{StoreLatitude}][EDT_AddStore_{StoreLongitude}][LST_AddStore_{StoreTime}][CHK_AddStore_{StoreLocator}][LST_AddStore_{StoreType}][CHK_AddStore_{StoreATM}][EDT_AddStore_{StoreEmailID}][CHK_AddStore_{StoreATM}][EDT_AddStore_{StorePhoneID}][EDT_AddStore_{StoreFax}][CHK_AddStore_{StorePhNo}][CHK_AddStore_{StoreStatusIsActive}][CHK_AddStore_{StoreOnlineStatus}][LST_AddStore_{StoreHolidayProfile}][CHK_AddStore_{EmailIDDisplay}][LST_SALT_AddStore{AirportName}][LST_SALT_AddStore{AirportLocation}</t>
  </si>
  <si>
    <t>StoreType</t>
  </si>
  <si>
    <t>BTN_AddStore</t>
  </si>
  <si>
    <t>EDT_AddStore_{SiteID}</t>
  </si>
  <si>
    <t>EDT_AddStore_{StorePREL}</t>
  </si>
  <si>
    <t>EDT_AddStore_{StoreFidelity}</t>
  </si>
  <si>
    <t>LST_AddStore_{StoreOwnPart}</t>
  </si>
  <si>
    <t>LST_AddStore_{StoreArea}</t>
  </si>
  <si>
    <t>EDT_AddStore_{StoreAdd1}</t>
  </si>
  <si>
    <t>EDT_AddStore_{StoreAdd2}</t>
  </si>
  <si>
    <t>EDT_AddStore_{StoreCity}</t>
  </si>
  <si>
    <t>LST_AddStore_{StoreState}</t>
  </si>
  <si>
    <t>EDT_AddStore_{StoreZip}</t>
  </si>
  <si>
    <t>EDT_AddStore_{StoreLatitude}</t>
  </si>
  <si>
    <t>EDT_AddStore_{StoreLongitude}</t>
  </si>
  <si>
    <t>LST_AddStore_{StoreTime}</t>
  </si>
  <si>
    <t>CHK_AddStore_{StoreLocator}</t>
  </si>
  <si>
    <t>LST_AddStore_{StoreType}</t>
  </si>
  <si>
    <t>CHK_AddStore_{StoreATM}</t>
  </si>
  <si>
    <t>EDT_AddStore_{StoreEmailID}</t>
  </si>
  <si>
    <t>EDT_AddStore_{StorePhoneID}</t>
  </si>
  <si>
    <t>EDT_AddStore_{StoreFax}</t>
  </si>
  <si>
    <t>CHK_AddStore_{StorePhNo}</t>
  </si>
  <si>
    <t>CHK_AddStore_{StoreStatusIsActive}</t>
  </si>
  <si>
    <t>CHK_AddStore_{StoreOnlineStatus}</t>
  </si>
  <si>
    <t>LST_AddStore_{StoreHolidayProfile}</t>
  </si>
  <si>
    <t>CHK_AddStore_{EmailIDDisplay}</t>
  </si>
  <si>
    <t>LST_SALT_AddStore{AirportName}</t>
  </si>
  <si>
    <t>LST_SALT_AddStore{AirportLocation}</t>
  </si>
  <si>
    <r>
      <t>EDT_AddStore_</t>
    </r>
    <r>
      <rPr>
        <b/>
        <sz val="10"/>
        <color theme="1"/>
        <rFont val="Calibri"/>
        <family val="2"/>
        <scheme val="minor"/>
      </rPr>
      <t>{SiteID}</t>
    </r>
  </si>
  <si>
    <r>
      <t>EDT_AddStore_</t>
    </r>
    <r>
      <rPr>
        <b/>
        <sz val="10"/>
        <color theme="1"/>
        <rFont val="Calibri"/>
        <family val="2"/>
        <scheme val="minor"/>
      </rPr>
      <t>{StorePREL}</t>
    </r>
  </si>
  <si>
    <r>
      <t>EDT_AddStore_</t>
    </r>
    <r>
      <rPr>
        <b/>
        <sz val="10"/>
        <color theme="1"/>
        <rFont val="Calibri"/>
        <family val="2"/>
        <scheme val="minor"/>
      </rPr>
      <t>{StoreFidelity}</t>
    </r>
  </si>
  <si>
    <r>
      <t>LST_AddStore_</t>
    </r>
    <r>
      <rPr>
        <b/>
        <sz val="10"/>
        <color theme="1"/>
        <rFont val="Calibri"/>
        <family val="2"/>
        <scheme val="minor"/>
      </rPr>
      <t>{StoreOwnPart}</t>
    </r>
  </si>
  <si>
    <r>
      <t>LST_AddStore_</t>
    </r>
    <r>
      <rPr>
        <b/>
        <sz val="10"/>
        <color theme="1"/>
        <rFont val="Calibri"/>
        <family val="2"/>
        <scheme val="minor"/>
      </rPr>
      <t>{StoreArea}</t>
    </r>
  </si>
  <si>
    <r>
      <t>EDT_AddStore_</t>
    </r>
    <r>
      <rPr>
        <b/>
        <sz val="10"/>
        <color theme="1"/>
        <rFont val="Calibri"/>
        <family val="2"/>
        <scheme val="minor"/>
      </rPr>
      <t>{StoreAdd1}</t>
    </r>
  </si>
  <si>
    <r>
      <t>EDT_AddStore_</t>
    </r>
    <r>
      <rPr>
        <b/>
        <sz val="10"/>
        <color theme="1"/>
        <rFont val="Calibri"/>
        <family val="2"/>
        <scheme val="minor"/>
      </rPr>
      <t>{StoreAdd2}</t>
    </r>
  </si>
  <si>
    <r>
      <t>EDT_AddStore_</t>
    </r>
    <r>
      <rPr>
        <b/>
        <sz val="10"/>
        <color theme="1"/>
        <rFont val="Calibri"/>
        <family val="2"/>
        <scheme val="minor"/>
      </rPr>
      <t>{StoreCity}</t>
    </r>
  </si>
  <si>
    <r>
      <t>LST_AddStore_</t>
    </r>
    <r>
      <rPr>
        <b/>
        <sz val="10"/>
        <color theme="1"/>
        <rFont val="Calibri"/>
        <family val="2"/>
        <scheme val="minor"/>
      </rPr>
      <t>{StoreState}</t>
    </r>
  </si>
  <si>
    <r>
      <t>EDT_AddStore_</t>
    </r>
    <r>
      <rPr>
        <b/>
        <sz val="10"/>
        <color theme="1"/>
        <rFont val="Calibri"/>
        <family val="2"/>
        <scheme val="minor"/>
      </rPr>
      <t>{StoreZip}</t>
    </r>
  </si>
  <si>
    <r>
      <t>EDT_AddStore_</t>
    </r>
    <r>
      <rPr>
        <b/>
        <sz val="10"/>
        <color theme="1"/>
        <rFont val="Calibri"/>
        <family val="2"/>
        <scheme val="minor"/>
      </rPr>
      <t>{StoreLatitude}</t>
    </r>
  </si>
  <si>
    <r>
      <t>EDT_AddStore_</t>
    </r>
    <r>
      <rPr>
        <b/>
        <sz val="10"/>
        <color theme="1"/>
        <rFont val="Calibri"/>
        <family val="2"/>
        <scheme val="minor"/>
      </rPr>
      <t>{StoreLongitude}</t>
    </r>
  </si>
  <si>
    <r>
      <t>LST_AddStore_</t>
    </r>
    <r>
      <rPr>
        <b/>
        <sz val="10"/>
        <color theme="1"/>
        <rFont val="Calibri"/>
        <family val="2"/>
        <scheme val="minor"/>
      </rPr>
      <t>{StoreTime}</t>
    </r>
  </si>
  <si>
    <r>
      <t>CHK_AddStore_</t>
    </r>
    <r>
      <rPr>
        <b/>
        <sz val="10"/>
        <color theme="1"/>
        <rFont val="Calibri"/>
        <family val="2"/>
        <scheme val="minor"/>
      </rPr>
      <t>{StoreLocator}</t>
    </r>
  </si>
  <si>
    <r>
      <t>LST_AddStore_</t>
    </r>
    <r>
      <rPr>
        <b/>
        <sz val="10"/>
        <color theme="1"/>
        <rFont val="Calibri"/>
        <family val="2"/>
        <scheme val="minor"/>
      </rPr>
      <t>{StoreType}</t>
    </r>
  </si>
  <si>
    <r>
      <t>CHK_AddStore_</t>
    </r>
    <r>
      <rPr>
        <b/>
        <sz val="10"/>
        <color theme="1"/>
        <rFont val="Calibri"/>
        <family val="2"/>
        <scheme val="minor"/>
      </rPr>
      <t>{StoreATM}</t>
    </r>
  </si>
  <si>
    <r>
      <t>EDT_AddStore_</t>
    </r>
    <r>
      <rPr>
        <b/>
        <sz val="10"/>
        <color theme="1"/>
        <rFont val="Calibri"/>
        <family val="2"/>
        <scheme val="minor"/>
      </rPr>
      <t>{StoreEmailID}</t>
    </r>
  </si>
  <si>
    <r>
      <t>EDT_AddStore_</t>
    </r>
    <r>
      <rPr>
        <b/>
        <sz val="10"/>
        <color theme="1"/>
        <rFont val="Calibri"/>
        <family val="2"/>
        <scheme val="minor"/>
      </rPr>
      <t>{StorePhoneID}</t>
    </r>
  </si>
  <si>
    <r>
      <t>EDT_AddStore_</t>
    </r>
    <r>
      <rPr>
        <b/>
        <sz val="10"/>
        <color theme="1"/>
        <rFont val="Calibri"/>
        <family val="2"/>
        <scheme val="minor"/>
      </rPr>
      <t>{StoreFax}</t>
    </r>
  </si>
  <si>
    <r>
      <t>CHK_AddStore_</t>
    </r>
    <r>
      <rPr>
        <b/>
        <sz val="10"/>
        <color theme="1"/>
        <rFont val="Calibri"/>
        <family val="2"/>
        <scheme val="minor"/>
      </rPr>
      <t>{StorePhNo}</t>
    </r>
  </si>
  <si>
    <r>
      <t>CHK_AddStore_</t>
    </r>
    <r>
      <rPr>
        <b/>
        <sz val="10"/>
        <color theme="1"/>
        <rFont val="Calibri"/>
        <family val="2"/>
        <scheme val="minor"/>
      </rPr>
      <t>{StoreStatusIsActive}</t>
    </r>
  </si>
  <si>
    <r>
      <t>CHK_AddStore_</t>
    </r>
    <r>
      <rPr>
        <b/>
        <sz val="10"/>
        <color theme="1"/>
        <rFont val="Calibri"/>
        <family val="2"/>
        <scheme val="minor"/>
      </rPr>
      <t>{StoreOnlineStatus}</t>
    </r>
  </si>
  <si>
    <r>
      <t>LST_AddStore_</t>
    </r>
    <r>
      <rPr>
        <b/>
        <sz val="10"/>
        <color theme="1"/>
        <rFont val="Calibri"/>
        <family val="2"/>
        <scheme val="minor"/>
      </rPr>
      <t>{StoreHolidayProfile}</t>
    </r>
  </si>
  <si>
    <r>
      <t>CHK_AddStore_</t>
    </r>
    <r>
      <rPr>
        <b/>
        <sz val="10"/>
        <color theme="1"/>
        <rFont val="Calibri"/>
        <family val="2"/>
        <scheme val="minor"/>
      </rPr>
      <t>{EmailIDDisplay}</t>
    </r>
  </si>
  <si>
    <r>
      <t>LST_SALT_AddStore</t>
    </r>
    <r>
      <rPr>
        <b/>
        <sz val="10"/>
        <color theme="1"/>
        <rFont val="Calibri"/>
        <family val="2"/>
        <scheme val="minor"/>
      </rPr>
      <t>{AirportName}</t>
    </r>
  </si>
  <si>
    <r>
      <t>LST_SALT_AddStore</t>
    </r>
    <r>
      <rPr>
        <b/>
        <sz val="10"/>
        <color theme="1"/>
        <rFont val="Calibri"/>
        <family val="2"/>
        <scheme val="minor"/>
      </rPr>
      <t>{AirportLocation}</t>
    </r>
  </si>
  <si>
    <t>StoreType][StoreName</t>
  </si>
  <si>
    <t>CancelOrderCallCentre</t>
  </si>
  <si>
    <t>CancelPendingAdminUnpckingStore</t>
  </si>
  <si>
    <t>ChangePickupLocForUnpack</t>
  </si>
  <si>
    <t>StoreName][OrderNumber][StoreName][Reason][New Store Name</t>
  </si>
  <si>
    <t>SearchInActCallCentPartner</t>
  </si>
  <si>
    <t>UI_CurrencyWidget_001_UK</t>
  </si>
  <si>
    <t>UKCountry</t>
  </si>
  <si>
    <t>DefaultCurrency</t>
  </si>
  <si>
    <t>DefaultLocalAmount</t>
  </si>
  <si>
    <t>Verify_Buy_Cash_widget</t>
  </si>
  <si>
    <t>Foreign_Currency</t>
  </si>
  <si>
    <t>Domestic_Currency</t>
  </si>
  <si>
    <t>Currency_Cash</t>
  </si>
  <si>
    <t>Currency_CashPassport</t>
  </si>
  <si>
    <t>Australia - Australian Dollar (AUD)</t>
  </si>
  <si>
    <t>http://www.travelex.co.uk.rgt.salt/gb/purchase</t>
  </si>
  <si>
    <t>UI_CurrencyWidget_001_AUS</t>
  </si>
  <si>
    <t>UI_CurrencyWidget_001_NZ</t>
  </si>
  <si>
    <t>UI_CurrencyWidget_001_USA</t>
  </si>
  <si>
    <t>http://buy.rgt.salt.travelex.com.au/au/purchase</t>
  </si>
  <si>
    <t>NZCountry</t>
  </si>
  <si>
    <t>http://buy.rgt.salt.travelex.co.nz/nz/purchase</t>
  </si>
  <si>
    <t>USACountry</t>
  </si>
  <si>
    <t>http://buy.rgt.salt.travelex.com/us/purchase</t>
  </si>
  <si>
    <t>United Kingdom - United Kingdom, Pound (GBP)</t>
  </si>
  <si>
    <t>500.00</t>
  </si>
  <si>
    <t>300.00</t>
  </si>
  <si>
    <t>Australia - Australia, Dollar (AUD)</t>
  </si>
  <si>
    <t>Verify_Destination_country_Or_currency_dropdown</t>
  </si>
  <si>
    <t>TC_HomePage_Verify_Destination_country_002_UK</t>
  </si>
  <si>
    <t>Y</t>
  </si>
  <si>
    <t>Curncy_Cntry_Name</t>
  </si>
  <si>
    <t>DropDown_Format</t>
  </si>
  <si>
    <t>Canada - Canadian Dollar (CAD)</t>
  </si>
  <si>
    <t>TC_HomePage_Verify_Destination_country_002_AUS</t>
  </si>
  <si>
    <t>TC_HomePage_Verify_Destination_country_002_NZ</t>
  </si>
  <si>
    <t>TC_HomePage_Verify_Destination_country_002_USA</t>
  </si>
  <si>
    <t>Verify_Cash_CashPassport_Radio_button</t>
  </si>
  <si>
    <t>Live_Rates</t>
  </si>
  <si>
    <t>AUD 0.9139;BLR 2.0000;CAD 0.9660;CHF 0.7849;EUR 0.7550;GBP 1.0000;HKD 5.0000;IDR 5.6018;JPY 172.5834;NZD 1.2160;SAR 9.7170;USD 0.9369;</t>
  </si>
  <si>
    <t>Default_Country</t>
  </si>
  <si>
    <t>Australia - Australian Dollar (AUD);Canada - Canadian Dollar (CAD);Euro - (EUR);Hong Kong - Hong Kong Dollar (HKD);Indonesia - Indonesian Rupiah (IDR);United Kingdom - British Pound (GBP);USA - United States of America, Dollar (USD)</t>
  </si>
  <si>
    <t>Change_Cash_CashPassport_Option</t>
  </si>
  <si>
    <t>Country_Name</t>
  </si>
  <si>
    <t>Button_Name</t>
  </si>
  <si>
    <t>Edit
Remove</t>
  </si>
  <si>
    <t>United Kingdom</t>
  </si>
  <si>
    <t>SALT_Login_Fast</t>
  </si>
  <si>
    <t>USA;Australia</t>
  </si>
  <si>
    <t>USA</t>
  </si>
  <si>
    <t>Verify_Help_Tool_Tip</t>
  </si>
  <si>
    <t>Help_Msg</t>
  </si>
  <si>
    <t>Enter the currency you need or if you don't know, simply enter the country that you're travelling to</t>
  </si>
  <si>
    <t>Help_Amount_Msg</t>
  </si>
  <si>
    <t>Rate last updated</t>
  </si>
  <si>
    <t>TC_HomePage_Verify_Help_Tool_Tip_006_UK</t>
  </si>
  <si>
    <t>TC_HomePage_Verify_Help_Tool_Tip_006_AUS</t>
  </si>
  <si>
    <t>TC_HomePage_Verify_Help_Tool_Tip_006_NZ</t>
  </si>
  <si>
    <t>TC_HomePage_Verify_Help_Tool_Tip_006_USA</t>
  </si>
  <si>
    <t>TC_HomePage_Verify_Store_Locator_010_UK</t>
  </si>
  <si>
    <t>Verify_Store_Locator_Page</t>
  </si>
  <si>
    <t>Citi_Name</t>
  </si>
  <si>
    <t>TC_HomePage_Verify_Store_Locator_010_AUS</t>
  </si>
  <si>
    <t>TC_HomePage_Verify_Store_Locator_010_NZ</t>
  </si>
  <si>
    <t>TC_HomePage_Verify_Store_Locator_010_USA</t>
  </si>
  <si>
    <t>TC_HomePage_Currency_Converter_011_UK</t>
  </si>
  <si>
    <t>Check_Currency_Converter_Page</t>
  </si>
  <si>
    <t>TC_HomePage_Currency_Converter_011_AUS</t>
  </si>
  <si>
    <t>TC_HomePage_Currency_Converter_011_NZ</t>
  </si>
  <si>
    <t>TC_HomePage_Currency_Converter_011_USA</t>
  </si>
  <si>
    <t>http://www.travelex.co.uk.uat.salt/gb/Home</t>
  </si>
  <si>
    <t>Euro - (EUR);Australia - Australian Dollar (AUD);Canada - Canadian Dollar (CAD);Hong Kong - Hong Kong Dollar (HKD);Indonesia - Indonesian Rupiah (IDR);United Kingdom - British Pound (GBP);USA - United States of America, Dollar (USD)</t>
  </si>
  <si>
    <t>http://admin.rgt.salt.travelex.com/Default.aspx</t>
  </si>
  <si>
    <t>Working_Hours</t>
  </si>
  <si>
    <t>TC_HomePage_Verify_How_We_Compare_Section_009_UK</t>
  </si>
  <si>
    <t>Verify_How_We_Compare_Section</t>
  </si>
  <si>
    <t>Salt_Login][Verify_How_We_Compare_Section</t>
  </si>
  <si>
    <t>Lable_Name</t>
  </si>
  <si>
    <t>How do we compare</t>
  </si>
  <si>
    <t>Competitor_Names</t>
  </si>
  <si>
    <t>HIGH ST BANK;POST OFFICE;M&amp;S</t>
  </si>
  <si>
    <t>Competitor_Rates</t>
  </si>
  <si>
    <t>Competitors_Name</t>
  </si>
  <si>
    <t>Competitors_Rate</t>
  </si>
  <si>
    <t>Travelex.co.uk;HIGH ST BANK;POST OFFICE;M&amp;S</t>
  </si>
  <si>
    <t>1,320.30;1,178.20;1,222.00;1,199.20</t>
  </si>
  <si>
    <t>Competitors_Admin_Rates</t>
  </si>
  <si>
    <t>Currency_Code</t>
  </si>
  <si>
    <t>EUR;</t>
  </si>
  <si>
    <t>Rate_Help</t>
  </si>
  <si>
    <t>Every day we check the exchange rates of major banks and high street retailers and adjust our rates accordingly to ensure that we give you a highly competitive overall price on your foreign currency.</t>
  </si>
  <si>
    <t>Travelex.co.uk Price Promise
Find a cheaper overall price and we'll refund the difference. Terms apply. [hyperlink to terms popover]</t>
  </si>
  <si>
    <t>Price_Promise</t>
  </si>
  <si>
    <t>1,320.30;1.1782;1.2220;1.1992</t>
  </si>
  <si>
    <t>Admin_UAT</t>
  </si>
  <si>
    <t>https://admin.na.travelex.net.uat.salt/Login.aspx</t>
  </si>
  <si>
    <t>UKCountry_UAT</t>
  </si>
  <si>
    <t>AUSCountry_UAT</t>
  </si>
  <si>
    <t>NZCountry_UAT</t>
  </si>
  <si>
    <t>USACountry_UAT</t>
  </si>
  <si>
    <t>http://buy.travelex.com.au.uat.salt/au/Home</t>
  </si>
  <si>
    <t>http://buy.travelex.co.nz.uat.salt/nz/Home</t>
  </si>
  <si>
    <t>http://buy.travelex.com.uat.salt/us/Home</t>
  </si>
  <si>
    <t>Admin_Pre_Prod</t>
  </si>
  <si>
    <t>https://admin.preprod.salt.travelex.com/Login.aspx</t>
  </si>
  <si>
    <t>http://checkout.travelextest.co.uk/gb/Home</t>
  </si>
  <si>
    <t>http://buy.travelextest.com.au/au/Home</t>
  </si>
  <si>
    <t>http://buy.travelextest.com/us/Home</t>
  </si>
  <si>
    <t>http://buy.travelextest.co.nz/nz/Home</t>
  </si>
  <si>
    <t>UKCountry_Pre_Prod</t>
  </si>
  <si>
    <t>AUSCountry_Pre_Prod</t>
  </si>
  <si>
    <t>NZCountry_Pre_Prod</t>
  </si>
  <si>
    <t>USACountry_Pre_Prod</t>
  </si>
  <si>
    <t>TC_HomePage_Verify_How_We_Compare_Section_009_AUS</t>
  </si>
  <si>
    <t>TC_HomePage_Verify_How_We_Compare_Section_009_NZ</t>
  </si>
  <si>
    <t>TC_HomePage_Verify_How_We_Compare_Section_009_USA</t>
  </si>
  <si>
    <t>Australia - Australia - Dollar - AUD (AUD)</t>
  </si>
  <si>
    <t>Canada - Canada Dollar (CAD)</t>
  </si>
  <si>
    <t>Canada - Canada - Dollar - CAD (CAD)</t>
  </si>
  <si>
    <t>600.00</t>
  </si>
  <si>
    <t>UI_CurrencyWidget_001_GR</t>
  </si>
  <si>
    <t>UI_CurrencyWidget_001_FR</t>
  </si>
  <si>
    <t>TC_HomePage_Verify_Destination_country_002_GR</t>
  </si>
  <si>
    <t>TC_HomePage_Verify_Destination_country_002_FR</t>
  </si>
  <si>
    <t>TC_HomePage_Verify_Help_Tool_Tip_006_GR</t>
  </si>
  <si>
    <t>TC_HomePage_Verify_Help_Tool_Tip_006_FR</t>
  </si>
  <si>
    <t>TC_HomePage_Verify_Store_Locator_010_GR</t>
  </si>
  <si>
    <t>TC_HomePage_Verify_Store_Locator_010_FR</t>
  </si>
  <si>
    <t>TC_HomePage_Currency_Converter_011_GR</t>
  </si>
  <si>
    <t>TC_HomePage_Currency_Converter_011_FR</t>
  </si>
  <si>
    <t>TC_HomePage_Verify_How_We_Compare_Section_009_GR</t>
  </si>
  <si>
    <t>TC_HomePage_Verify_How_We_Compare_Section_009_FR</t>
  </si>
  <si>
    <t>AUD 0.9139;BLR 2.0000;CAD 0.9660;CHF 0.7849;EUR 0.7550;GBP 1.0000;HKD 5.0000;IDR 5.6018;JPY 172.5834;NZD 1.2160;SAR 9.7170;USD 0.9369</t>
  </si>
  <si>
    <t>TC_HomePage_Verify_CASHPassport_Not_Displayed_004_UK</t>
  </si>
  <si>
    <t>No_CashPassport_Radio</t>
  </si>
  <si>
    <t>Cash_Validation_Type</t>
  </si>
  <si>
    <t>Australia;Canada;Euro;Hong Kong;Indonesia;United Kingdom;USA</t>
  </si>
  <si>
    <t>Cash_CashRadio</t>
  </si>
  <si>
    <t>Verify_CASHPassport_Not_Displayed</t>
  </si>
  <si>
    <t>Verify_Country</t>
  </si>
  <si>
    <t>Default_Country][Verify_Country</t>
  </si>
  <si>
    <t>AUD;CAD;Euro;HKD;IDR;GBP;USD</t>
  </si>
  <si>
    <t>Salt_Login][Select_Country][Change_Cash_CashPassport_Option][SALT_Login_Fast][Verify_CASHPassport_Not_Displayed][Salt_Login][Select_Country][Change_Cash_CashPassport_Option</t>
  </si>
  <si>
    <t>GRCountry_ST</t>
  </si>
  <si>
    <t>FRCountry_ST</t>
  </si>
  <si>
    <t>http://www.travelex.co.uk.st.salt/de/purchase</t>
  </si>
  <si>
    <t>http://acheter.travelex.fr.st.salt/fr/purchase</t>
  </si>
  <si>
    <t>Canada - Kanada Dollar CAD (CAD)</t>
  </si>
  <si>
    <t>100,00</t>
  </si>
  <si>
    <t>1000,00</t>
  </si>
  <si>
    <t>Canada - Kanada Dollar CAD (CAD);USA - Vereinigte Staaten, US Dollar (USD);Australia - Australien, Dollar in german (AUD);American Samoa - Vereinigte Staaten, US Dollar (USD);Australia - Australien, Dollar in german (AUD);Bahrain - Bahrain, Dinar (BHD)</t>
  </si>
  <si>
    <t>CAD 1.3480;AUD 1.3843;BRL 2.8029;CHF 9.968;EUR 1.000</t>
  </si>
  <si>
    <t>Admin_ST</t>
  </si>
  <si>
    <t>Germany</t>
  </si>
  <si>
    <t>0:00:30:18</t>
  </si>
  <si>
    <t>Geben Sie die Währung ein, die Sie benötigen - wenn Sie sich nicht sicher sind, welche Währung Sie für Ihre Reise benötigen, geben Sie einfach das Land ein, in das Sie reisen möchten.</t>
  </si>
  <si>
    <t>Der Kurs wurde zuletzt am Montag</t>
  </si>
  <si>
    <t>App_Env_Type</t>
  </si>
  <si>
    <t>GRCountry_Home_ST</t>
  </si>
  <si>
    <t>http://www.travelex.co.uk.st.salt/de/Home</t>
  </si>
  <si>
    <t>Searched_Name</t>
  </si>
  <si>
    <t>Hannover</t>
  </si>
  <si>
    <t>Terminal B</t>
  </si>
  <si>
    <t>Searched_Address</t>
  </si>
  <si>
    <t>Terminal B, Abflug Langenhagen Hannover 30855</t>
  </si>
  <si>
    <t>Öffnungszeiten
Monday
04:02 - 23:01
Tuesday
06:02 - 23:01
Wednesday
02:02 - 20:03
Thursday
03:05 - 23:01
Friday
03:02 - 19:11
Saturday
09:10 - 23:10
Sunday
06:02 - 23:20</t>
  </si>
  <si>
    <t>Exc_Rate_DataSheet</t>
  </si>
  <si>
    <t>1.3480</t>
  </si>
  <si>
    <t>1.3843</t>
  </si>
  <si>
    <t>Specfic_country_Rate</t>
  </si>
  <si>
    <t>TC_HomePage_Verify_CASHPassport_Not_Displayed_004_AUS</t>
  </si>
  <si>
    <t>TC_HomePage_Verify_CASHPassport_Not_Displayed_004_USA</t>
  </si>
  <si>
    <t>TC_HomePage_Verify_CASHPassport_Not_Displayed_004_NZ</t>
  </si>
  <si>
    <t>TC_HomePage_Verify_CASHPassport_Not_Displayed_004_GR</t>
  </si>
  <si>
    <t>TC_HomePage_Verify_CASHPassport_Not_Displayed_004_FR</t>
  </si>
  <si>
    <t>France</t>
  </si>
  <si>
    <t>Australia;Canada;Euro;Switzerland;USA</t>
  </si>
  <si>
    <t>AUD;CAD;Euro;CHF;USD</t>
  </si>
  <si>
    <t>Australia;Canada;Japan;Euro;Hong Kong;Indonesia;New Zealand;Singapore;Switzerland;United Kingdom;USA</t>
  </si>
  <si>
    <t>AUD;CAD;JPY;Euro;HKD;IDR;NZD;SGD;GBP;USD</t>
  </si>
  <si>
    <t>0:00:13:30</t>
  </si>
  <si>
    <t>0:00:11:17</t>
  </si>
  <si>
    <t>0:00:18:22</t>
  </si>
  <si>
    <t>0:00:08:33</t>
  </si>
  <si>
    <t>https://admin.na.travelex.net.st.salt/Login.aspx</t>
  </si>
  <si>
    <t>0:00:21:14</t>
  </si>
  <si>
    <t>SALTSuperAdmin</t>
  </si>
  <si>
    <t>Travelex123</t>
  </si>
  <si>
    <t>Opening hours
Monday
09:30 - 19:30
Tuesday
09:30 - 19:30
Wednesday
09:30 - 19:30
Thursday
09:30 - 19:30
Friday
09:30 - 19:30
Saturday
09:30 - 19:30
Sunday
12:00 - 17:30</t>
  </si>
  <si>
    <t>Opening hours
Monday
09:00 - 17:00
Tuesday
09:00 - 17:00
Wednesday
09:00 - 17:00
Thursday
09:00 - 17:00
Friday
09:00 - 17:00
Saturday
09:00 - 12:30
Sunday
Closed</t>
  </si>
  <si>
    <t>http://www.travelex.co.uk.st.salt/gb/home</t>
  </si>
  <si>
    <t>http://buy.travelex.com.au.st.salt/au/home</t>
  </si>
  <si>
    <t>http://buy.travelex.co.nz.st.salt/nz/home</t>
  </si>
  <si>
    <t>http://buy.travelex.com.st.salt/us/home</t>
  </si>
  <si>
    <t>UKCountry_ST</t>
  </si>
  <si>
    <t>AUSCountry_ST</t>
  </si>
  <si>
    <t>NZCountry_ST</t>
  </si>
  <si>
    <t>USACountry_ST</t>
  </si>
  <si>
    <t>London – Tower of London Store (Tower Hill)</t>
  </si>
  <si>
    <t>0:00:00:00</t>
  </si>
  <si>
    <t>0:00:00:01</t>
  </si>
  <si>
    <t>Get_Store_Opening_Hours</t>
  </si>
  <si>
    <t>http://www.travelex.co.uk.rgt.salt/gb/widget/storelocator</t>
  </si>
  <si>
    <t>Salt_Login][Select_Country][Verify_Store_Locator_Page</t>
  </si>
  <si>
    <t>Travelex UK Ltd Tower Hill London EC3N 4AB</t>
  </si>
  <si>
    <t>Salt_Login][Select_Country][Verify_Buy_Cash_widget</t>
  </si>
  <si>
    <t>Partners_Name</t>
  </si>
  <si>
    <t>Travelex Retail UK</t>
  </si>
  <si>
    <t>Admin_Widgets</t>
  </si>
  <si>
    <t>http://buy.rgt.salt.travelex.com/us/widget/currency</t>
  </si>
  <si>
    <t>http://www.travelex.co.uk.rgt.salt/gb/widget/currency</t>
  </si>
  <si>
    <t>http://buy.rgt.salt.travelex.com.au/au/widget/currency</t>
  </si>
  <si>
    <t>http://buy.rgt.salt.travelex.co.nz/nz/widget/currency</t>
  </si>
  <si>
    <t>Partners_Name][URL</t>
  </si>
  <si>
    <t>Travelex US</t>
  </si>
  <si>
    <t>Travelex Australia</t>
  </si>
  <si>
    <t>Travelex New Zealand</t>
  </si>
  <si>
    <t>TC_HomePage_To_verify_Widget_disclaimer_007_UK</t>
  </si>
  <si>
    <t>Salt_Login][Select_Country][Admin_Widget_Disclaimer</t>
  </si>
  <si>
    <t>Admin_Widget_Disclaimer</t>
  </si>
  <si>
    <t>Validate_UI_Widget_Disclaimer</t>
  </si>
  <si>
    <t>http://www.travelex.co.uk.rgt.salt/de/widget/currency</t>
  </si>
  <si>
    <t>TC_HomePage_To_verify_Widget_disclaimer_007_AU</t>
  </si>
  <si>
    <t>TC_HomePage_To_verify_Widget_disclaimer_007_NZ</t>
  </si>
  <si>
    <t>TC_HomePage_To_verify_Widget_disclaimer_007_USA</t>
  </si>
  <si>
    <t>TC_HomePage_To_verify_Widget_disclaimer_007_GR</t>
  </si>
  <si>
    <t>TC_HomePage_To_verify_Top_Rates_08_UK</t>
  </si>
  <si>
    <t>TC_HomePage_To_verify_Top_Rates_08_AUS</t>
  </si>
  <si>
    <t>TC_HomePage_To_verify_Top_Rates_08_NZ</t>
  </si>
  <si>
    <t>TC_HomePage_To_verify_Top_Rates_08_USA</t>
  </si>
  <si>
    <t>TC_HomePage_To_verify_Top_Rates_08_GR</t>
  </si>
  <si>
    <t>Validate_Top_Rates_Admin</t>
  </si>
  <si>
    <t>Salt_Login][Select_Country][Validate_Top_Rates_Admin</t>
  </si>
  <si>
    <t>Travelex Retail DG</t>
  </si>
  <si>
    <t>UI3_Currency_Widget_Header</t>
  </si>
  <si>
    <t>Lable_Name][Competitors_Name][Competitors_Rate][Competitors_Admin_Rates][Currency_Code][Rate_Help][Price_Promise][UI3_Currency_Widget_Header</t>
  </si>
  <si>
    <t>CompetitorsRatesHeaderLabel</t>
  </si>
  <si>
    <t>Translate_Name</t>
  </si>
  <si>
    <t>English - Great Britain</t>
  </si>
  <si>
    <t>Australian English</t>
  </si>
  <si>
    <t>New Zealand English</t>
  </si>
  <si>
    <t>US English</t>
  </si>
  <si>
    <t>German - Germany</t>
  </si>
  <si>
    <t>Country_Name_Type</t>
  </si>
  <si>
    <t>DefaultCurrency][DefaultLocalAmount][Foreign_Currency][Domestic_Currency][Currency_Cash][Currency_CashPassport][Live_Rates][Default_Country][Partners_Name][URL][Translate_Name][Country_Name_Type</t>
  </si>
  <si>
    <t>Revert_Back_Admin_Changes</t>
  </si>
  <si>
    <t>Lower Hutt</t>
  </si>
  <si>
    <t>West Lakes</t>
  </si>
  <si>
    <t>Dallas, Downtown</t>
  </si>
  <si>
    <t>http://buy.rgt.salt.travelex.com.au/au/widget/storelocator</t>
  </si>
  <si>
    <t>http://buy.rgt.salt.travelex.com/us/widget/storelocator</t>
  </si>
  <si>
    <t>http://buy.rgt.salt.travelex.co.nz/nz/widget/storelocator</t>
  </si>
  <si>
    <t>http://www.travelex.co.uk.rgt.salt/de/widget/storelocator</t>
  </si>
  <si>
    <t>Citi_Name][Working_Hours][Searched_Name][Searched_Address][URL][Country_Name_Type</t>
  </si>
  <si>
    <t>Live_Rates][Default_Country][DropDown_Format][Exc_Rate_DataSheet][Specfic_country_Rate][DefaultLocalAmount][Foreign_Currency][Domestic_Currency][Currency_Cash][Currency_CashPassport][Live_Rates][Default_Country][Partners_Name][URL][Translate_Name][Country_Name_Type</t>
  </si>
  <si>
    <t>Salt_Login][Select_Country][Check_Currency_Converter_Page</t>
  </si>
  <si>
    <t>http://www.travelex.co.uk.rgt.salt/gb/widget/converter</t>
  </si>
  <si>
    <t>http://buy.rgt.salt.travelex.com/us/widget/converter</t>
  </si>
  <si>
    <t>http://buy.rgt.salt.travelex.com.au/au/widget/converter</t>
  </si>
  <si>
    <t>http://buy.rgt.salt.travelex.co.nz/nz/widget/converter</t>
  </si>
  <si>
    <t>http://www.travelex.co.uk.rgt.salt/de/widget/converter</t>
  </si>
  <si>
    <t>Salt_Login][Select_Country][Verify_Help_Tool_Tip</t>
  </si>
  <si>
    <t>Help_Msg][Help_Amount_Msg][App_Env_Type][URL][Country_Name_Type</t>
  </si>
  <si>
    <t>Product_Type</t>
  </si>
  <si>
    <t>Currency_Cash][Currency_CashPassport][Product_Type][Country_Name_Type][URL</t>
  </si>
  <si>
    <t>Validate_CashPassport</t>
  </si>
  <si>
    <t>Change_Cash_Product_Option</t>
  </si>
  <si>
    <t>Country_Name][Button_Name][Cash_Validation_Type][Default_Country][Currency_CashPassport][Product_Type][Country_Name_Type][Product_Type</t>
  </si>
  <si>
    <t>TC_HomePage_Verify_Cash_003_UK</t>
  </si>
  <si>
    <t>TC_HomePage_Verify_Cash_003_AUS</t>
  </si>
  <si>
    <t>TC_HomePage_Verify_Cash_003_NZ</t>
  </si>
  <si>
    <t>TC_HomePage_Verify_Cash_003_USA</t>
  </si>
  <si>
    <t>TC_HomePage_Verify_Cash_003_GR</t>
  </si>
  <si>
    <t>TC_HomePage_Verify_Cash_003_FR</t>
  </si>
  <si>
    <t>TC_HomePage_Verify_CashPassport_003_UK</t>
  </si>
  <si>
    <t>TC_HomePage_Verify_CashPassport_003_AUS</t>
  </si>
  <si>
    <t>TC_HomePage_Verify_CashPassport_003_NZ</t>
  </si>
  <si>
    <t>TC_HomePage_Verify_CashPassport_003_USA</t>
  </si>
  <si>
    <t>TC_HomePage_Verify_CashPassport_003_FR</t>
  </si>
  <si>
    <t>Salt_Login][Select_Country][Verify_Cash_CashPassport_Radio_button][Salt_Login][Select_Country][Change_Cash_Product_Option</t>
  </si>
  <si>
    <t>Country Widgets list currencies should be present in Country Live rates profile.</t>
  </si>
  <si>
    <t>USA currency Should be present in Country Widgets List Item.</t>
  </si>
  <si>
    <t>Help Tool Message should be configured in Admin.</t>
  </si>
  <si>
    <t>Store Should be available in the Admin.</t>
  </si>
  <si>
    <t>Widgets Disclaimer should be configured in Admin.</t>
  </si>
  <si>
    <t>Top Rates section should be enabled in the Partner Or Country Level.</t>
  </si>
  <si>
    <t>CashPassport Option is not available for Germany Country.</t>
  </si>
  <si>
    <t>Purpose of Testcase</t>
  </si>
  <si>
    <t>To verify Buy Cash widget(Names which are present in the Admin widgets List should be present in UI Buy cash widgets list.)</t>
  </si>
  <si>
    <t>To verify Destination country or currency dropdown</t>
  </si>
  <si>
    <t>To verify Cash and Cash Passport Radio button are disabled when 'Disabled in widget' checkbox is checked in Widget list item</t>
  </si>
  <si>
    <t>To verify Cash Radio button are disabled when 'Disabled in widget' checkbox is checked in Widget list item</t>
  </si>
  <si>
    <t>To verify help tool tip(Message that is configured in Admin should be same in UI aslo.)</t>
  </si>
  <si>
    <t>This validating Store locater page in UI.</t>
  </si>
  <si>
    <t>This script is to check the Currency Converter page</t>
  </si>
  <si>
    <t>To verify How we compare section (Competitor Rates)</t>
  </si>
  <si>
    <t>To verify that CASH Passport radio is not displayed when no currency is configured</t>
  </si>
  <si>
    <t>To verify Widget disclaimer</t>
  </si>
  <si>
    <t>To verify Top Rates</t>
  </si>
  <si>
    <t>SaltsuperAdmin1</t>
  </si>
  <si>
    <t>Currency_CashPassport][Curncy_Cntry_Name][DropDown_Format][URL][Partners_Name][Country_Name_Type][Translate_Name</t>
  </si>
  <si>
    <t>Salt_Login][Select_Country][Verify_Destination_country_Or_currency_dropdown][Salt_Login][Select_Country][Revert_Back_Admin_Changes</t>
  </si>
  <si>
    <t>0:00:04:31</t>
  </si>
  <si>
    <t>0:00:02:48</t>
  </si>
  <si>
    <t>0:00:03:30</t>
  </si>
  <si>
    <t>Salt_Login][Select_Country][Validate_CashPassport][Salt_Login][Select_Country][Change_Cash_Product_Option</t>
  </si>
  <si>
    <t>0:00:05:21</t>
  </si>
  <si>
    <t>0:00:05:04</t>
  </si>
  <si>
    <t>0:00:04:59</t>
  </si>
  <si>
    <t>SANITY_EXEC</t>
  </si>
  <si>
    <t>TC_HomePage_Verify_CashPassport_004_UK</t>
  </si>
  <si>
    <t>TC_HomePage_Verify_CashPassport_004_AUS</t>
  </si>
  <si>
    <t>TC_HomePage_Verify_CashPassport_004_NZ</t>
  </si>
  <si>
    <t>TC_HomePage_Verify_CashPassport_004_USA</t>
  </si>
  <si>
    <t>This is adding required widgets list item in admin widgets list.</t>
  </si>
  <si>
    <t>Widgets_List_Country_Names</t>
  </si>
  <si>
    <t>Add_Delete_Admin_Widget_List</t>
  </si>
  <si>
    <t>Salt_Login][Select_Country][Add_Delete_Admin_Widget_List</t>
  </si>
  <si>
    <t>Pre_Req_Admin_Widget_List_UK</t>
  </si>
  <si>
    <t>Pre_Req_Admin_Widget_List_AUS</t>
  </si>
  <si>
    <t>Pre_Req_Admin_Widget_List_NZD</t>
  </si>
  <si>
    <t>Pre_Req_Admin_Widget_List_USA</t>
  </si>
  <si>
    <t>Pre_Req_Admin_Widget_List_DE</t>
  </si>
  <si>
    <t>Australia;USA;Indonesia;Hong Kong;New Zealand;Canada;Euro;United Kingdom</t>
  </si>
  <si>
    <t>Australia;USA;Indonesia;Hong Kong;New Zealand;Canada;Euro;Germany</t>
  </si>
  <si>
    <t>USA;Indonesia;Hong Kong;New Zealand;Canada;Euro;United Kingdom;Germany</t>
  </si>
  <si>
    <t>Australia;USA;Indonesia;Hong Kong;Canada;Euro;United Kingdom;Germany</t>
  </si>
  <si>
    <t>Australia;Indonesia;Hong Kong;New Zealand;Canada;Euro;United Kingdom;Germany</t>
  </si>
  <si>
    <t>0:00:09:19</t>
  </si>
  <si>
    <t>0:00:03:56</t>
  </si>
  <si>
    <t>0:00:04:08</t>
  </si>
  <si>
    <t>0:00:03:44</t>
  </si>
  <si>
    <t>0:00:04:42</t>
  </si>
  <si>
    <t>0:00:02:40</t>
  </si>
  <si>
    <t>0:00:02:53</t>
  </si>
  <si>
    <t>C:\SVN\SALT RunTime\Projects\SALT\Snapshots\TC_HomePage_Verify_How_We_Compare_Section_009_UK_IN-MU-DT-J27064\201593\134855\Iterator_1\</t>
  </si>
  <si>
    <t>The object does not exist. See Additional Information for details.:-:You are trying to call the "Enabled" method or property of an object that does not exist.:-:Verify_How_We_Compare_Section][The object does not exist. See Additional Information for details.:-:You are trying to call the "Enabled" method or property of an object that does not exist.:-:Verify_How_We_Compare_Section</t>
  </si>
  <si>
    <t>0:00:05:27</t>
  </si>
  <si>
    <t>0:00:01:39</t>
  </si>
  <si>
    <t>0:00:01:43</t>
  </si>
  <si>
    <t>0:00:04:58</t>
  </si>
  <si>
    <t>0:00:04:51</t>
  </si>
  <si>
    <t>0:00:04:36</t>
  </si>
  <si>
    <t>0:00:04:37</t>
  </si>
  <si>
    <t>0:00:04:38</t>
  </si>
  <si>
    <t>0:00:02:54</t>
  </si>
  <si>
    <t>0:00:02:45</t>
  </si>
  <si>
    <t>0:00:02:47</t>
  </si>
  <si>
    <t>0:00:05:22</t>
  </si>
  <si>
    <t>0:00:01:37</t>
  </si>
  <si>
    <t>0:00:01:38</t>
  </si>
  <si>
    <t>0:00:04:17</t>
  </si>
  <si>
    <t>0:00:04:02</t>
  </si>
  <si>
    <t>0:00:03:26</t>
  </si>
  <si>
    <t>0:00:05:09</t>
  </si>
  <si>
    <t>0:00:03:29</t>
  </si>
  <si>
    <t>0:00:03:08</t>
  </si>
  <si>
    <t>0:00:04:35</t>
  </si>
  <si>
    <t>C:\SVN\SALT RunTime\Projects\SALT\Snapshots\TC_HomePage_Verify_Cash_003_UK_IN-MU-DT-J27064\201598\104444\Iterator_1\</t>
  </si>
  <si>
    <t>SaltSuperAdmin1</t>
  </si>
  <si>
    <t>Admin_SIT</t>
  </si>
  <si>
    <t>Start_Test</t>
  </si>
  <si>
    <t>http://admin.na.travelex.net.sit.salt/Login.aspx</t>
  </si>
  <si>
    <t>0:00:17:03</t>
  </si>
  <si>
    <t>Pass</t>
  </si>
  <si>
    <t>0:00:15:33</t>
  </si>
  <si>
    <t>0:00:12:04</t>
  </si>
  <si>
    <t>0:00:13:00</t>
  </si>
  <si>
    <t>0:00:10:25</t>
  </si>
  <si>
    <t>0:00:10:21</t>
  </si>
  <si>
    <t>0:00:10:28</t>
  </si>
  <si>
    <t>Domestic amount (GBP) text box is  not displayed 1.000,00  as a default amount configured in Admin :-:Domestic amount (GBP) text box should  display  1.000,00  as a default amount configured in Admin:-:Verify_Buy_Cash_widget][The object does not exist. See Additional Information for details.:-:You are trying to call the "contentText" method or property of an object that does not exist.:-:Verify_Buy_Cash_widget][The object does not exist. See Additional Information for details.:-:You are trying to call the "contentText" method or property of an object that does not exist.:-:Verify_Buy_Cash_widget][Currencies are not displayed in the exact sequence as Configured in Widget List item and are set as TRUE at both Country and Partner level:-:Currencies should be displayed in the exact sequence as Configured in Widget List item and are set as TRUE at both Country and Partner level:-:Verify_Buy_Cash_widget][The object does not exist. See Additional Information for details.:-:You are trying to call the "contentText" method or property of an object that does not exist.:-:Verify_Buy_Cash_widget][The object does not exist. See Additional Information for details.:-:You are trying to call the "contentText" method or property of an object that does not exist.:-:Verify_Buy_Cash_widget][Currencies are not displayed in the exact sequence as Configured in Widget List item and are set as TRUE at both Country and Partner level:-:Currencies should be displayed in the exact sequence as Configured in Widget List item and are set as TRUE at both Country and Partner level:-:Verify_Buy_Cash_widget][Current sale rate from UI  13843 And curren Rate from Admin 10844 both are not matched:-:Current Sale Rate should be matched with the Admin Sale Rate:-:Verify_Buy_Cash_widget][Current sale rate from UI  13843 And curren Rate from Admin 122436050 both are not matched:-:Current Sale Rate should be matched with the Admin Sale Rate:-:Verify_Buy_Cash_widget][Current sale rate from UI  13843 And curren Rate from Admin 79100 both are not matched:-:Current Sale Rate should be matched with the Admin Sale Rate:-:Verify_Buy_Cash_widget][Current sale rate from UI  13843 And curren Rate from Admin 13497 both are not matched:-:Current Sale Rate should be matched with the Admin Sale Rate:-:Verify_Buy_Cash_widget][Current sale rate from UI  13843 And curren Rate from Admin 13480 both are not matched:-:Current Sale Rate should be matched with the Admin Sale Rate:-:Verify_Buy_Cash_widget][Current sale rate from UI  13843 And curren Rate from Admin 10000 both are not matched:-:Current Sale Rate should be matched with the Admin Sale Rate:-:Verify_Buy_Cash_widget][Current sale rate from UI  13843 And curren Rate from Admin 7038 both are not matched:-:Current Sale Rate should be matched with the Admin Sale Rate:-:Verify_Buy_Cash_widget</t>
  </si>
  <si>
    <t>0:00:10:29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</si>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</sst>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&quot;$&quot;* #,##0.00_);_(&quot;$&quot;* \(#,##0.00\);_(&quot;$&quot;* &quot;-&quot;??_);_(@_)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sz val="10"/>
      <name val="Mic Shell Dlg"/>
      <charset val="1"/>
    </font>
    <font>
      <sz val="10"/>
      <name val="Arial"/>
      <family val="2"/>
    </font>
    <font>
      <b/>
      <sz val="10"/>
      <color theme="3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"/>
      <color rgb="FFD9D9D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7">
    <xf numFmtId="0" fontId="0" fillId="0" borderId="0"/>
    <xf numFmtId="0" fontId="1" fillId="0" borderId="0"/>
    <xf numFmtId="0" fontId="2" fillId="0" borderId="0"/>
    <xf numFmtId="0" fontId="2" fillId="0" borderId="0"/>
    <xf numFmtId="0" fontId="4" fillId="0" borderId="0"/>
    <xf numFmtId="0" fontId="5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5" fillId="0" borderId="0"/>
    <xf numFmtId="164" fontId="2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14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1" fillId="3" borderId="0" xfId="1" applyFill="1"/>
    <xf numFmtId="0" fontId="3" fillId="4" borderId="1" xfId="0" applyFont="1" applyFill="1" applyBorder="1" applyAlignment="1">
      <alignment horizontal="right"/>
    </xf>
    <xf numFmtId="0" fontId="0" fillId="0" borderId="1" xfId="0" quotePrefix="1" applyBorder="1"/>
    <xf numFmtId="14" fontId="0" fillId="0" borderId="1" xfId="0" applyNumberFormat="1" applyBorder="1"/>
    <xf numFmtId="0" fontId="9" fillId="0" borderId="1" xfId="0" applyFont="1" applyBorder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8" borderId="0" xfId="0" applyFill="1"/>
    <xf numFmtId="0" fontId="0" fillId="0" borderId="2" xfId="0" quotePrefix="1" applyBorder="1" applyAlignment="1">
      <alignment wrapText="1"/>
    </xf>
    <xf numFmtId="0" fontId="0" fillId="0" borderId="0" xfId="0"/>
    <xf numFmtId="0" fontId="0" fillId="0" borderId="0" xfId="0" quotePrefix="1" applyFill="1"/>
    <xf numFmtId="0" fontId="0" fillId="0" borderId="0" xfId="0" applyFill="1"/>
    <xf numFmtId="0" fontId="3" fillId="4" borderId="4" xfId="0" applyFont="1" applyFill="1" applyBorder="1" applyAlignment="1">
      <alignment horizontal="right"/>
    </xf>
    <xf numFmtId="0" fontId="0" fillId="0" borderId="0" xfId="0" applyFill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1" xfId="0" applyFill="1" applyBorder="1"/>
    <xf numFmtId="0" fontId="0" fillId="0" borderId="5" xfId="0" applyFill="1" applyBorder="1"/>
    <xf numFmtId="0" fontId="0" fillId="0" borderId="0" xfId="0" applyBorder="1" applyAlignment="1">
      <alignment wrapText="1"/>
    </xf>
    <xf numFmtId="0" fontId="0" fillId="0" borderId="0" xfId="0" quotePrefix="1" applyBorder="1" applyAlignment="1">
      <alignment wrapText="1"/>
    </xf>
    <xf numFmtId="22" fontId="0" fillId="0" borderId="0" xfId="0" applyNumberFormat="1" applyAlignment="1">
      <alignment horizontal="left" vertical="top" wrapText="1"/>
    </xf>
    <xf numFmtId="0" fontId="0" fillId="0" borderId="0" xfId="0" quotePrefix="1" applyFill="1" applyAlignment="1">
      <alignment wrapText="1"/>
    </xf>
    <xf numFmtId="0" fontId="0" fillId="0" borderId="1" xfId="0" quotePrefix="1" applyFill="1" applyBorder="1"/>
    <xf numFmtId="0" fontId="14" fillId="0" borderId="1" xfId="0" quotePrefix="1" applyFont="1" applyFill="1" applyBorder="1" applyAlignment="1">
      <alignment wrapText="1"/>
    </xf>
    <xf numFmtId="0" fontId="0" fillId="0" borderId="0" xfId="0" quotePrefix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right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 shrinkToFit="1"/>
    </xf>
    <xf numFmtId="0" fontId="0" fillId="0" borderId="0" xfId="0" applyFill="1" applyAlignment="1">
      <alignment vertical="top"/>
    </xf>
    <xf numFmtId="0" fontId="8" fillId="0" borderId="1" xfId="0" quotePrefix="1" applyFont="1" applyFill="1" applyBorder="1" applyAlignment="1">
      <alignment vertical="top"/>
    </xf>
    <xf numFmtId="0" fontId="0" fillId="0" borderId="0" xfId="0" quotePrefix="1" applyFill="1" applyBorder="1" applyAlignment="1">
      <alignment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shrinkToFit="1"/>
    </xf>
    <xf numFmtId="0" fontId="0" fillId="0" borderId="0" xfId="0" applyAlignment="1">
      <alignment horizontal="right" vertical="top"/>
    </xf>
    <xf numFmtId="0" fontId="6" fillId="5" borderId="1" xfId="0" applyFont="1" applyFill="1" applyBorder="1" applyAlignment="1">
      <alignment horizontal="right" vertical="top"/>
    </xf>
    <xf numFmtId="0" fontId="6" fillId="5" borderId="1" xfId="0" applyFont="1" applyFill="1" applyBorder="1" applyAlignment="1">
      <alignment horizontal="right" vertical="top" wrapText="1"/>
    </xf>
    <xf numFmtId="0" fontId="6" fillId="5" borderId="1" xfId="0" applyFont="1" applyFill="1" applyBorder="1" applyAlignment="1">
      <alignment horizontal="right" vertical="top" shrinkToFit="1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11" fillId="4" borderId="2" xfId="0" applyFont="1" applyFill="1" applyBorder="1" applyAlignment="1">
      <alignment horizontal="right" vertical="top"/>
    </xf>
    <xf numFmtId="0" fontId="3" fillId="4" borderId="1" xfId="0" applyFont="1" applyFill="1" applyBorder="1" applyAlignment="1">
      <alignment horizontal="right" vertical="top"/>
    </xf>
    <xf numFmtId="0" fontId="14" fillId="0" borderId="1" xfId="0" quotePrefix="1" applyFont="1" applyFill="1" applyBorder="1" applyAlignment="1">
      <alignment vertical="top" wrapText="1"/>
    </xf>
    <xf numFmtId="0" fontId="0" fillId="11" borderId="0" xfId="0" quotePrefix="1" applyFill="1"/>
    <xf numFmtId="0" fontId="0" fillId="11" borderId="0" xfId="0" applyFill="1"/>
    <xf numFmtId="0" fontId="3" fillId="4" borderId="2" xfId="0" applyFont="1" applyFill="1" applyBorder="1" applyAlignment="1">
      <alignment horizontal="right" vertical="top" wrapText="1"/>
    </xf>
    <xf numFmtId="0" fontId="0" fillId="0" borderId="0" xfId="0" applyFill="1" applyBorder="1" applyAlignment="1">
      <alignment vertical="top"/>
    </xf>
    <xf numFmtId="0" fontId="0" fillId="0" borderId="0" xfId="0" quotePrefix="1" applyFill="1" applyBorder="1" applyAlignment="1">
      <alignment vertical="top"/>
    </xf>
    <xf numFmtId="0" fontId="0" fillId="0" borderId="0" xfId="0" quotePrefix="1" applyFill="1" applyAlignment="1">
      <alignment vertical="top"/>
    </xf>
    <xf numFmtId="0" fontId="0" fillId="12" borderId="0" xfId="0" applyFill="1" applyAlignment="1">
      <alignment wrapText="1"/>
    </xf>
    <xf numFmtId="0" fontId="0" fillId="0" borderId="0" xfId="0" applyBorder="1" applyAlignment="1">
      <alignment vertical="top"/>
    </xf>
    <xf numFmtId="0" fontId="0" fillId="0" borderId="0" xfId="0"/>
    <xf numFmtId="0" fontId="0" fillId="0" borderId="0" xfId="0" applyAlignment="1">
      <alignment horizontal="left" vertical="top" wrapText="1"/>
    </xf>
    <xf numFmtId="0" fontId="0" fillId="0" borderId="6" xfId="0" applyFill="1" applyBorder="1" applyAlignment="1">
      <alignment horizontal="center" vertical="center"/>
    </xf>
    <xf numFmtId="0" fontId="8" fillId="13" borderId="1" xfId="0" quotePrefix="1" applyFont="1" applyFill="1" applyBorder="1" applyAlignment="1">
      <alignment vertical="top"/>
    </xf>
    <xf numFmtId="0" fontId="0" fillId="13" borderId="6" xfId="0" applyFill="1" applyBorder="1" applyAlignment="1">
      <alignment horizontal="center" vertical="center"/>
    </xf>
    <xf numFmtId="0" fontId="8" fillId="0" borderId="1" xfId="0" quotePrefix="1" applyFont="1" applyFill="1" applyBorder="1" applyAlignment="1">
      <alignment vertical="top" wrapText="1"/>
    </xf>
    <xf numFmtId="0" fontId="0" fillId="0" borderId="1" xfId="0" applyFill="1" applyBorder="1" applyAlignment="1">
      <alignment wrapText="1"/>
    </xf>
    <xf numFmtId="0" fontId="0" fillId="7" borderId="1" xfId="0" applyFill="1" applyBorder="1"/>
    <xf numFmtId="0" fontId="3" fillId="6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49" fontId="3" fillId="6" borderId="12" xfId="0" applyNumberFormat="1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/>
    </xf>
    <xf numFmtId="0" fontId="0" fillId="7" borderId="7" xfId="0" applyFill="1" applyBorder="1"/>
    <xf numFmtId="0" fontId="0" fillId="7" borderId="8" xfId="0" applyFill="1" applyBorder="1"/>
    <xf numFmtId="0" fontId="10" fillId="7" borderId="8" xfId="16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6" xfId="0" applyFill="1" applyBorder="1"/>
    <xf numFmtId="0" fontId="11" fillId="4" borderId="2" xfId="0" quotePrefix="1" applyFont="1" applyFill="1" applyBorder="1" applyAlignment="1">
      <alignment horizontal="right" vertical="top"/>
    </xf>
    <xf numFmtId="0" fontId="0" fillId="0" borderId="0" xfId="0" applyFill="1" applyAlignment="1">
      <alignment horizontal="center" vertical="center"/>
    </xf>
    <xf numFmtId="0" fontId="3" fillId="4" borderId="2" xfId="0" quotePrefix="1" applyFont="1" applyFill="1" applyBorder="1" applyAlignment="1">
      <alignment horizontal="right" vertical="top"/>
    </xf>
    <xf numFmtId="0" fontId="11" fillId="4" borderId="3" xfId="0" applyFont="1" applyFill="1" applyBorder="1" applyAlignment="1">
      <alignment horizontal="right" vertical="top"/>
    </xf>
    <xf numFmtId="0" fontId="11" fillId="4" borderId="1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horizontal="right" vertical="top"/>
    </xf>
    <xf numFmtId="49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 wrapText="1"/>
    </xf>
    <xf numFmtId="49" fontId="3" fillId="4" borderId="2" xfId="0" applyNumberFormat="1" applyFont="1" applyFill="1" applyBorder="1" applyAlignment="1">
      <alignment horizontal="right" vertical="top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5" xfId="0" applyFont="1" applyFill="1" applyBorder="1" applyAlignment="1">
      <alignment horizontal="center" vertical="center"/>
    </xf>
    <xf numFmtId="0" fontId="7" fillId="10" borderId="15" xfId="0" applyFont="1" applyFill="1" applyBorder="1" applyAlignment="1">
      <alignment horizontal="center" vertical="center" wrapText="1"/>
    </xf>
    <xf numFmtId="0" fontId="14" fillId="10" borderId="16" xfId="0" quotePrefix="1" applyFont="1" applyFill="1" applyBorder="1" applyAlignment="1">
      <alignment wrapText="1"/>
    </xf>
    <xf numFmtId="0" fontId="0" fillId="0" borderId="0" xfId="0" quotePrefix="1" applyBorder="1" applyAlignment="1">
      <alignment vertical="top"/>
    </xf>
    <xf numFmtId="0" fontId="0" fillId="14" borderId="17" xfId="0" applyFill="1" applyBorder="1" applyAlignment="1">
      <alignment vertical="top"/>
    </xf>
    <xf numFmtId="0" fontId="0" fillId="9" borderId="0" xfId="0" quotePrefix="1" applyFill="1" applyAlignment="1">
      <alignment horizontal="left" vertical="top"/>
    </xf>
    <xf numFmtId="0" fontId="0" fillId="0" borderId="1" xfId="0" applyFill="1" applyBorder="1" applyAlignment="1">
      <alignment vertical="top"/>
    </xf>
    <xf numFmtId="0" fontId="10" fillId="7" borderId="8" xfId="16" quotePrefix="1" applyFill="1" applyBorder="1"/>
    <xf numFmtId="0" fontId="0" fillId="7" borderId="17" xfId="0" applyFill="1" applyBorder="1"/>
    <xf numFmtId="0" fontId="10" fillId="7" borderId="1" xfId="16" applyFill="1" applyBorder="1"/>
    <xf numFmtId="0" fontId="0" fillId="0" borderId="1" xfId="0" applyFill="1" applyBorder="1" applyAlignment="1">
      <alignment horizontal="center" vertical="center"/>
    </xf>
    <xf numFmtId="0" fontId="0" fillId="0" borderId="1" xfId="0" quotePrefix="1" applyFill="1" applyBorder="1" applyAlignment="1">
      <alignment vertical="top"/>
    </xf>
    <xf numFmtId="0" fontId="0" fillId="0" borderId="18" xfId="0" applyBorder="1" applyAlignment="1">
      <alignment horizontal="right" vertical="top" wrapText="1"/>
    </xf>
    <xf numFmtId="0" fontId="0" fillId="0" borderId="18" xfId="0" applyFill="1" applyBorder="1" applyAlignment="1">
      <alignment vertical="top"/>
    </xf>
    <xf numFmtId="0" fontId="0" fillId="0" borderId="18" xfId="0" quotePrefix="1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10" fillId="0" borderId="18" xfId="16" quotePrefix="1" applyBorder="1" applyAlignment="1">
      <alignment horizontal="left" vertical="top" wrapText="1" shrinkToFit="1"/>
    </xf>
    <xf numFmtId="0" fontId="10" fillId="0" borderId="18" xfId="16" applyBorder="1" applyAlignment="1">
      <alignment horizontal="left" vertical="top" wrapText="1" shrinkToFit="1"/>
    </xf>
    <xf numFmtId="0" fontId="0" fillId="0" borderId="18" xfId="0" applyFill="1" applyBorder="1"/>
    <xf numFmtId="0" fontId="0" fillId="0" borderId="18" xfId="0" applyFill="1" applyBorder="1" applyAlignment="1">
      <alignment horizontal="left" vertical="top" wrapText="1"/>
    </xf>
    <xf numFmtId="0" fontId="0" fillId="0" borderId="18" xfId="0" quotePrefix="1" applyNumberFormat="1" applyBorder="1" applyAlignment="1">
      <alignment horizontal="left" vertical="top" wrapText="1"/>
    </xf>
    <xf numFmtId="0" fontId="0" fillId="0" borderId="0" xfId="0" quotePrefix="1" applyFill="1" applyBorder="1"/>
    <xf numFmtId="0" fontId="10" fillId="0" borderId="0" xfId="16" applyAlignment="1">
      <alignment vertical="center"/>
    </xf>
    <xf numFmtId="0" fontId="0" fillId="0" borderId="1" xfId="0" applyFill="1" applyBorder="1" applyAlignment="1">
      <alignment horizontal="left" vertical="center" wrapText="1"/>
    </xf>
    <xf numFmtId="0" fontId="0" fillId="7" borderId="1" xfId="0" applyFill="1" applyBorder="1"/>
    <xf numFmtId="0" fontId="0" fillId="0" borderId="1" xfId="0" quotePrefix="1" applyFill="1" applyBorder="1" applyAlignment="1">
      <alignment horizontal="left" vertical="center" wrapText="1"/>
    </xf>
    <xf numFmtId="0" fontId="0" fillId="0" borderId="1" xfId="0" applyBorder="1" applyAlignment="1">
      <alignment horizontal="left" vertical="top" wrapText="1"/>
    </xf>
    <xf numFmtId="3" fontId="0" fillId="0" borderId="0" xfId="0" quotePrefix="1" applyNumberFormat="1" applyAlignment="1">
      <alignment horizontal="left" vertical="top" wrapText="1"/>
    </xf>
    <xf numFmtId="0" fontId="0" fillId="7" borderId="19" xfId="0" applyFill="1" applyBorder="1"/>
    <xf numFmtId="0" fontId="10" fillId="7" borderId="19" xfId="16" applyFill="1" applyBorder="1"/>
    <xf numFmtId="0" fontId="11" fillId="4" borderId="4" xfId="0" applyFont="1" applyFill="1" applyBorder="1" applyAlignment="1">
      <alignment horizontal="right" vertical="top"/>
    </xf>
    <xf numFmtId="0" fontId="0" fillId="0" borderId="0" xfId="0" quotePrefix="1" applyAlignment="1">
      <alignment horizontal="left" vertical="top" wrapText="1"/>
    </xf>
    <xf numFmtId="0" fontId="15" fillId="0" borderId="1" xfId="0" applyFont="1" applyFill="1" applyBorder="1" applyAlignment="1">
      <alignment vertical="top"/>
    </xf>
    <xf numFmtId="0" fontId="15" fillId="3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right" vertical="top" wrapText="1"/>
    </xf>
    <xf numFmtId="0" fontId="10" fillId="0" borderId="1" xfId="16" applyBorder="1" applyAlignment="1">
      <alignment horizontal="left" vertical="top" wrapText="1" shrinkToFit="1"/>
    </xf>
    <xf numFmtId="0" fontId="0" fillId="0" borderId="1" xfId="0" quotePrefix="1" applyBorder="1" applyAlignment="1">
      <alignment horizontal="left" vertical="top" wrapText="1"/>
    </xf>
    <xf numFmtId="0" fontId="0" fillId="0" borderId="1" xfId="0" applyFill="1" applyBorder="1" applyAlignment="1">
      <alignment vertical="top" wrapText="1"/>
    </xf>
    <xf numFmtId="0" fontId="15" fillId="3" borderId="1" xfId="0" applyFont="1" applyFill="1" applyBorder="1" applyAlignment="1">
      <alignment vertical="center" wrapText="1"/>
    </xf>
    <xf numFmtId="0" fontId="0" fillId="3" borderId="1" xfId="0" applyFill="1" applyBorder="1" applyAlignment="1">
      <alignment horizontal="left" vertical="center" wrapText="1"/>
    </xf>
    <xf numFmtId="0" fontId="16" fillId="3" borderId="1" xfId="0" applyFont="1" applyFill="1" applyBorder="1" applyAlignment="1">
      <alignment horizontal="left" vertical="center" wrapText="1"/>
    </xf>
    <xf numFmtId="0" fontId="15" fillId="0" borderId="1" xfId="0" applyFont="1" applyFill="1" applyBorder="1" applyAlignment="1">
      <alignment horizontal="left" vertical="center" wrapText="1"/>
    </xf>
    <xf numFmtId="0" fontId="0" fillId="0" borderId="19" xfId="0" applyBorder="1" applyAlignment="1">
      <alignment horizontal="right" vertical="top" wrapText="1"/>
    </xf>
    <xf numFmtId="0" fontId="15" fillId="3" borderId="19" xfId="0" applyFont="1" applyFill="1" applyBorder="1" applyAlignment="1">
      <alignment horizontal="left" vertical="center" wrapText="1"/>
    </xf>
    <xf numFmtId="0" fontId="0" fillId="0" borderId="17" xfId="0" quotePrefix="1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10" fillId="0" borderId="17" xfId="16" quotePrefix="1" applyBorder="1" applyAlignment="1">
      <alignment horizontal="left" vertical="top" wrapText="1" shrinkToFit="1"/>
    </xf>
    <xf numFmtId="0" fontId="10" fillId="0" borderId="17" xfId="16" applyBorder="1" applyAlignment="1">
      <alignment horizontal="left" vertical="top" wrapText="1" shrinkToFit="1"/>
    </xf>
    <xf numFmtId="0" fontId="0" fillId="0" borderId="17" xfId="0" quotePrefix="1" applyNumberFormat="1" applyBorder="1" applyAlignment="1">
      <alignment horizontal="left" vertical="top" wrapText="1"/>
    </xf>
    <xf numFmtId="0" fontId="0" fillId="0" borderId="17" xfId="0" applyFill="1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17" xfId="0" applyFill="1" applyBorder="1"/>
    <xf numFmtId="49" fontId="0" fillId="0" borderId="1" xfId="0" applyNumberFormat="1" applyBorder="1" applyAlignment="1">
      <alignment horizontal="left" vertical="top" wrapText="1"/>
    </xf>
    <xf numFmtId="0" fontId="10" fillId="0" borderId="1" xfId="16" quotePrefix="1" applyBorder="1" applyAlignment="1">
      <alignment horizontal="left" vertical="top" wrapText="1" shrinkToFit="1"/>
    </xf>
    <xf numFmtId="0" fontId="0" fillId="0" borderId="1" xfId="0" quotePrefix="1" applyNumberFormat="1" applyBorder="1" applyAlignment="1">
      <alignment horizontal="left" vertical="top" wrapText="1"/>
    </xf>
    <xf numFmtId="0" fontId="0" fillId="0" borderId="1" xfId="0" applyFill="1" applyBorder="1" applyAlignment="1">
      <alignment horizontal="left" vertical="top" wrapText="1"/>
    </xf>
    <xf numFmtId="22" fontId="0" fillId="0" borderId="1" xfId="0" applyNumberFormat="1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4" xfId="0" quotePrefix="1" applyBorder="1" applyAlignment="1">
      <alignment horizontal="left" vertical="top" wrapText="1"/>
    </xf>
    <xf numFmtId="0" fontId="15" fillId="15" borderId="1" xfId="0" applyFont="1" applyFill="1" applyBorder="1" applyAlignment="1">
      <alignment vertical="top"/>
    </xf>
    <xf numFmtId="0" fontId="0" fillId="7" borderId="18" xfId="0" applyFill="1" applyBorder="1"/>
  </cellXfs>
  <cellStyles count="17">
    <cellStyle name="Currency 2" xfId="15"/>
    <cellStyle name="Hyperlink" xfId="16" builtinId="8"/>
    <cellStyle name="Normal" xfId="0" builtinId="0"/>
    <cellStyle name="Normal 2" xfId="3"/>
    <cellStyle name="Normal 2 2" xfId="8"/>
    <cellStyle name="Normal 2 3" xfId="12"/>
    <cellStyle name="Normal 3" xfId="4"/>
    <cellStyle name="Normal 3 2" xfId="13"/>
    <cellStyle name="Normal 3 3" xfId="6"/>
    <cellStyle name="Normal 4" xfId="1"/>
    <cellStyle name="Normal 5" xfId="9"/>
    <cellStyle name="Normal 6" xfId="5"/>
    <cellStyle name="Normal 6 2" xfId="14"/>
    <cellStyle name="Normal 6 3" xfId="7"/>
    <cellStyle name="Normal 7" xfId="10"/>
    <cellStyle name="Normal 8" xfId="11"/>
    <cellStyle name="Normal 9" xfId="2"/>
  </cellStyles>
  <dxfs count="0"/>
  <tableStyles count="1" defaultTableStyle="TableStyleMedium2" defaultPivotStyle="PivotStyleLight16">
    <tableStyle name="Table Style 1" pivot="0" count="0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-9</xdr:colOff>
          <xdr:row>2</xdr:row>
          <xdr:rowOff>76355</xdr:rowOff>
        </xdr:from>
        <xdr:to>
          <xdr:col>0</xdr:col>
          <xdr:colOff>4048133</xdr:colOff>
          <xdr:row>18</xdr:row>
          <xdr:rowOff>28584</xdr:rowOff>
        </xdr:to>
        <xdr:grpSp>
          <xdr:nvGrpSpPr>
            <xdr:cNvPr id="4" name="Group 3"/>
            <xdr:cNvGrpSpPr>
              <a:grpSpLocks noChangeAspect="1"/>
            </xdr:cNvGrpSpPr>
          </xdr:nvGrpSpPr>
          <xdr:grpSpPr>
            <a:xfrm>
              <a:off x="-9" y="457355"/>
              <a:ext cx="4048142" cy="3000229"/>
              <a:chOff x="-1670153" y="-1012002"/>
              <a:chExt cx="98678" cy="12678"/>
            </a:xfrm>
          </xdr:grpSpPr>
          <xdr:sp macro="" textlink="">
            <xdr:nvSpPr>
              <xdr:cNvPr id="3083" name="CmbBCName" hidden="1">
                <a:extLst>
                  <a:ext uri="{63B3BB69-23CF-44E3-9099-C40C66FF867C}">
                    <a14:compatExt spid="_x0000_s3083"/>
                  </a:ext>
                </a:extLst>
              </xdr:cNvPr>
              <xdr:cNvSpPr/>
            </xdr:nvSpPr>
            <xdr:spPr>
              <a:xfrm>
                <a:off x="-1670153" y="-1010552"/>
                <a:ext cx="94034" cy="1489"/>
              </a:xfrm>
              <a:prstGeom prst="rect">
                <a:avLst/>
              </a:prstGeom>
            </xdr:spPr>
          </xdr:sp>
          <xdr:sp macro="" textlink="">
            <xdr:nvSpPr>
              <xdr:cNvPr id="3084" name="cmdFindTest" hidden="1">
                <a:extLst>
                  <a:ext uri="{63B3BB69-23CF-44E3-9099-C40C66FF867C}">
                    <a14:compatExt spid="_x0000_s3084"/>
                  </a:ext>
                </a:extLst>
              </xdr:cNvPr>
              <xdr:cNvSpPr/>
            </xdr:nvSpPr>
            <xdr:spPr>
              <a:xfrm>
                <a:off x="-1662723" y="-1004394"/>
                <a:ext cx="22522" cy="1247"/>
              </a:xfrm>
              <a:prstGeom prst="rect">
                <a:avLst/>
              </a:prstGeom>
            </xdr:spPr>
          </xdr:sp>
          <xdr:sp macro="" textlink="">
            <xdr:nvSpPr>
              <xdr:cNvPr id="3085" name="cmdFindBC" hidden="1">
                <a:extLst>
                  <a:ext uri="{63B3BB69-23CF-44E3-9099-C40C66FF867C}">
                    <a14:compatExt spid="_x0000_s3085"/>
                  </a:ext>
                </a:extLst>
              </xdr:cNvPr>
              <xdr:cNvSpPr/>
            </xdr:nvSpPr>
            <xdr:spPr>
              <a:xfrm>
                <a:off x="-1605374" y="-1004997"/>
                <a:ext cx="21825" cy="1046"/>
              </a:xfrm>
              <a:prstGeom prst="rect">
                <a:avLst/>
              </a:prstGeom>
            </xdr:spPr>
          </xdr:sp>
          <xdr:sp macro="" textlink="">
            <xdr:nvSpPr>
              <xdr:cNvPr id="3086" name="cmdNext" hidden="1">
                <a:extLst>
                  <a:ext uri="{63B3BB69-23CF-44E3-9099-C40C66FF867C}">
                    <a14:compatExt spid="_x0000_s3086"/>
                  </a:ext>
                </a:extLst>
              </xdr:cNvPr>
              <xdr:cNvSpPr/>
            </xdr:nvSpPr>
            <xdr:spPr>
              <a:xfrm>
                <a:off x="-1607696" y="-1002904"/>
                <a:ext cx="23683" cy="1287"/>
              </a:xfrm>
              <a:prstGeom prst="rect">
                <a:avLst/>
              </a:prstGeom>
            </xdr:spPr>
          </xdr:sp>
          <xdr:sp macro="" textlink="">
            <xdr:nvSpPr>
              <xdr:cNvPr id="3089" name="cmdImportHeaders" hidden="1">
                <a:extLst>
                  <a:ext uri="{63B3BB69-23CF-44E3-9099-C40C66FF867C}">
                    <a14:compatExt spid="_x0000_s3089"/>
                  </a:ext>
                </a:extLst>
              </xdr:cNvPr>
              <xdr:cNvSpPr/>
            </xdr:nvSpPr>
            <xdr:spPr>
              <a:xfrm>
                <a:off x="-1636255" y="-1002743"/>
                <a:ext cx="23915" cy="1126"/>
              </a:xfrm>
              <a:prstGeom prst="rect">
                <a:avLst/>
              </a:prstGeom>
            </xdr:spPr>
          </xdr:sp>
          <xdr:sp macro="" textlink="">
            <xdr:nvSpPr>
              <xdr:cNvPr id="3088" name="cmdShowAllCol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>
              <a:xfrm>
                <a:off x="-1663652" y="-1002623"/>
                <a:ext cx="22522" cy="1287"/>
              </a:xfrm>
              <a:prstGeom prst="rect">
                <a:avLst/>
              </a:prstGeom>
            </xdr:spPr>
          </xdr:sp>
          <xdr:sp macro="" textlink="">
            <xdr:nvSpPr>
              <xdr:cNvPr id="3087" name="cmdPrevious" hidden="1">
                <a:extLst>
                  <a:ext uri="{63B3BB69-23CF-44E3-9099-C40C66FF867C}">
                    <a14:compatExt spid="_x0000_s3087"/>
                  </a:ext>
                </a:extLst>
              </xdr:cNvPr>
              <xdr:cNvSpPr/>
            </xdr:nvSpPr>
            <xdr:spPr>
              <a:xfrm>
                <a:off x="-1595158" y="-1000853"/>
                <a:ext cx="23683" cy="1529"/>
              </a:xfrm>
              <a:prstGeom prst="rect">
                <a:avLst/>
              </a:prstGeom>
            </xdr:spPr>
          </xdr:sp>
          <xdr:sp macro="" textlink="">
            <xdr:nvSpPr>
              <xdr:cNvPr id="3082" name="cmbTestCase" hidden="1">
                <a:extLst>
                  <a:ext uri="{63B3BB69-23CF-44E3-9099-C40C66FF867C}">
                    <a14:compatExt spid="_x0000_s3082"/>
                  </a:ext>
                </a:extLst>
              </xdr:cNvPr>
              <xdr:cNvSpPr/>
            </xdr:nvSpPr>
            <xdr:spPr>
              <a:xfrm>
                <a:off x="-1670153" y="-1012002"/>
                <a:ext cx="94730" cy="1368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1266825</xdr:colOff>
          <xdr:row>16</xdr:row>
          <xdr:rowOff>47625</xdr:rowOff>
        </xdr:from>
        <xdr:to>
          <xdr:col>0</xdr:col>
          <xdr:colOff>2952750</xdr:colOff>
          <xdr:row>18</xdr:row>
          <xdr:rowOff>104775</xdr:rowOff>
        </xdr:to>
        <xdr:sp macro="" textlink="">
          <xdr:nvSpPr>
            <xdr:cNvPr id="3090" name="cmdDeletedCol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13230</xdr:rowOff>
    </xdr:from>
    <xdr:to>
      <xdr:col>0</xdr:col>
      <xdr:colOff>3644152</xdr:colOff>
      <xdr:row>2</xdr:row>
      <xdr:rowOff>35008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230"/>
          <a:ext cx="3644152" cy="4027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342900</xdr:colOff>
          <xdr:row>16</xdr:row>
          <xdr:rowOff>57150</xdr:rowOff>
        </xdr:from>
        <xdr:to>
          <xdr:col>0</xdr:col>
          <xdr:colOff>1181100</xdr:colOff>
          <xdr:row>17</xdr:row>
          <xdr:rowOff>152400</xdr:rowOff>
        </xdr:to>
        <xdr:sp macro="" textlink="">
          <xdr:nvSpPr>
            <xdr:cNvPr id="3094" name="cmdTCExecutionTime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866775</xdr:colOff>
          <xdr:row>0</xdr:row>
          <xdr:rowOff>76200</xdr:rowOff>
        </xdr:from>
        <xdr:to>
          <xdr:col>2</xdr:col>
          <xdr:colOff>1209675</xdr:colOff>
          <xdr:row>12</xdr:row>
          <xdr:rowOff>47625</xdr:rowOff>
        </xdr:to>
        <xdr:sp macro="" textlink="">
          <xdr:nvSpPr>
            <xdr:cNvPr id="7171" name="cmdDone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hajekarr/AppData/Local/Microsoft/Windows/Temporary%20Internet%20Files/Content.Outlook/NV9AT0DG/Datasheet_Salt_Two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Application_Environment"/>
      <sheetName val="DataSheet"/>
      <sheetName val="Mapping"/>
      <sheetName val="TabData"/>
      <sheetName val="Version Control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H2" t="str">
            <v>Settle</v>
          </cell>
        </row>
        <row r="3">
          <cell r="H3" t="str">
            <v>Reject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admin.rgt.salt.travelex.com/Default.aspx" TargetMode="External"/><Relationship Id="rId13" Type="http://schemas.openxmlformats.org/officeDocument/2006/relationships/hyperlink" Target="https://admin.preprod.salt.travelex.com/Login.aspx" TargetMode="External"/><Relationship Id="rId18" Type="http://schemas.openxmlformats.org/officeDocument/2006/relationships/hyperlink" Target="http://www.travelex.co.uk.rgt.salt/gb/purchase" TargetMode="External"/><Relationship Id="rId26" Type="http://schemas.openxmlformats.org/officeDocument/2006/relationships/hyperlink" Target="http://buy.travelex.com.au.st.salt/au/home" TargetMode="External"/><Relationship Id="rId3" Type="http://schemas.openxmlformats.org/officeDocument/2006/relationships/printerSettings" Target="../printerSettings/printerSettings8.bin"/><Relationship Id="rId21" Type="http://schemas.openxmlformats.org/officeDocument/2006/relationships/hyperlink" Target="http://www.travelex.co.uk.st.salt/de/Home" TargetMode="External"/><Relationship Id="rId7" Type="http://schemas.openxmlformats.org/officeDocument/2006/relationships/hyperlink" Target="http://buy.rgt.salt.travelex.com/us/purchase" TargetMode="External"/><Relationship Id="rId12" Type="http://schemas.openxmlformats.org/officeDocument/2006/relationships/hyperlink" Target="http://buy.travelex.com.uat.salt/us/Home" TargetMode="External"/><Relationship Id="rId17" Type="http://schemas.openxmlformats.org/officeDocument/2006/relationships/hyperlink" Target="http://buy.travelextest.co.nz/nz/Home" TargetMode="External"/><Relationship Id="rId25" Type="http://schemas.openxmlformats.org/officeDocument/2006/relationships/hyperlink" Target="http://www.travelex.co.uk.st.salt/gb/home" TargetMode="External"/><Relationship Id="rId2" Type="http://schemas.openxmlformats.org/officeDocument/2006/relationships/printerSettings" Target="../printerSettings/printerSettings7.bin"/><Relationship Id="rId16" Type="http://schemas.openxmlformats.org/officeDocument/2006/relationships/hyperlink" Target="http://buy.travelextest.com.au/au/Home" TargetMode="External"/><Relationship Id="rId20" Type="http://schemas.openxmlformats.org/officeDocument/2006/relationships/hyperlink" Target="http://acheter.travelex.fr.st.salt/fr/purchase" TargetMode="External"/><Relationship Id="rId29" Type="http://schemas.openxmlformats.org/officeDocument/2006/relationships/hyperlink" Target="http://admin.na.travelex.net.sit.salt/Login.aspx" TargetMode="External"/><Relationship Id="rId1" Type="http://schemas.openxmlformats.org/officeDocument/2006/relationships/printerSettings" Target="../printerSettings/printerSettings6.bin"/><Relationship Id="rId6" Type="http://schemas.openxmlformats.org/officeDocument/2006/relationships/hyperlink" Target="http://buy.rgt.salt.travelex.co.nz/nz/purchase" TargetMode="External"/><Relationship Id="rId11" Type="http://schemas.openxmlformats.org/officeDocument/2006/relationships/hyperlink" Target="http://buy.travelex.com.au.uat.salt/au/Home" TargetMode="External"/><Relationship Id="rId24" Type="http://schemas.openxmlformats.org/officeDocument/2006/relationships/hyperlink" Target="mailto:Password@12345" TargetMode="External"/><Relationship Id="rId5" Type="http://schemas.openxmlformats.org/officeDocument/2006/relationships/hyperlink" Target="mailto:Password@12345" TargetMode="External"/><Relationship Id="rId15" Type="http://schemas.openxmlformats.org/officeDocument/2006/relationships/hyperlink" Target="http://buy.travelextest.com/us/Home" TargetMode="External"/><Relationship Id="rId23" Type="http://schemas.openxmlformats.org/officeDocument/2006/relationships/hyperlink" Target="mailto:Password@12345" TargetMode="External"/><Relationship Id="rId28" Type="http://schemas.openxmlformats.org/officeDocument/2006/relationships/hyperlink" Target="http://buy.travelex.com.st.salt/us/home" TargetMode="External"/><Relationship Id="rId10" Type="http://schemas.openxmlformats.org/officeDocument/2006/relationships/hyperlink" Target="http://www.travelex.co.uk.uat.salt/gb/Home" TargetMode="External"/><Relationship Id="rId19" Type="http://schemas.openxmlformats.org/officeDocument/2006/relationships/hyperlink" Target="http://www.travelex.co.uk.st.salt/de/purchase" TargetMode="External"/><Relationship Id="rId4" Type="http://schemas.openxmlformats.org/officeDocument/2006/relationships/printerSettings" Target="../printerSettings/printerSettings9.bin"/><Relationship Id="rId9" Type="http://schemas.openxmlformats.org/officeDocument/2006/relationships/hyperlink" Target="https://admin.na.travelex.net.uat.salt/Login.aspx" TargetMode="External"/><Relationship Id="rId14" Type="http://schemas.openxmlformats.org/officeDocument/2006/relationships/hyperlink" Target="http://checkout.travelextest.co.uk/gb/Home" TargetMode="External"/><Relationship Id="rId22" Type="http://schemas.openxmlformats.org/officeDocument/2006/relationships/hyperlink" Target="mailto:Password@12345" TargetMode="External"/><Relationship Id="rId27" Type="http://schemas.openxmlformats.org/officeDocument/2006/relationships/hyperlink" Target="http://buy.travelex.co.nz.st.salt/nz/home" TargetMode="External"/><Relationship Id="rId30" Type="http://schemas.openxmlformats.org/officeDocument/2006/relationships/printerSettings" Target="../printerSettings/printerSettings1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ontrol" Target="../activeX/activeX3.xml"/><Relationship Id="rId18" Type="http://schemas.openxmlformats.org/officeDocument/2006/relationships/image" Target="../media/image5.emf"/><Relationship Id="rId26" Type="http://schemas.openxmlformats.org/officeDocument/2006/relationships/image" Target="../media/image9.emf"/><Relationship Id="rId3" Type="http://schemas.openxmlformats.org/officeDocument/2006/relationships/printerSettings" Target="../printerSettings/printerSettings13.bin"/><Relationship Id="rId21" Type="http://schemas.openxmlformats.org/officeDocument/2006/relationships/control" Target="../activeX/activeX7.xml"/><Relationship Id="rId7" Type="http://schemas.openxmlformats.org/officeDocument/2006/relationships/drawing" Target="../drawings/drawing1.xml"/><Relationship Id="rId12" Type="http://schemas.openxmlformats.org/officeDocument/2006/relationships/image" Target="../media/image2.emf"/><Relationship Id="rId17" Type="http://schemas.openxmlformats.org/officeDocument/2006/relationships/control" Target="../activeX/activeX5.xml"/><Relationship Id="rId25" Type="http://schemas.openxmlformats.org/officeDocument/2006/relationships/control" Target="../activeX/activeX9.xml"/><Relationship Id="rId2" Type="http://schemas.openxmlformats.org/officeDocument/2006/relationships/printerSettings" Target="../printerSettings/printerSettings12.bin"/><Relationship Id="rId16" Type="http://schemas.openxmlformats.org/officeDocument/2006/relationships/image" Target="../media/image4.emf"/><Relationship Id="rId20" Type="http://schemas.openxmlformats.org/officeDocument/2006/relationships/image" Target="../media/image6.emf"/><Relationship Id="rId29" Type="http://schemas.openxmlformats.org/officeDocument/2006/relationships/comments" Target="../comments1.xml"/><Relationship Id="rId1" Type="http://schemas.openxmlformats.org/officeDocument/2006/relationships/printerSettings" Target="../printerSettings/printerSettings11.bin"/><Relationship Id="rId6" Type="http://schemas.openxmlformats.org/officeDocument/2006/relationships/printerSettings" Target="../printerSettings/printerSettings15.bin"/><Relationship Id="rId11" Type="http://schemas.openxmlformats.org/officeDocument/2006/relationships/control" Target="../activeX/activeX2.xml"/><Relationship Id="rId24" Type="http://schemas.openxmlformats.org/officeDocument/2006/relationships/image" Target="../media/image8.emf"/><Relationship Id="rId5" Type="http://schemas.openxmlformats.org/officeDocument/2006/relationships/hyperlink" Target="http://acheter.travelex.fr.st.salt/fr/purchase" TargetMode="External"/><Relationship Id="rId15" Type="http://schemas.openxmlformats.org/officeDocument/2006/relationships/control" Target="../activeX/activeX4.xml"/><Relationship Id="rId23" Type="http://schemas.openxmlformats.org/officeDocument/2006/relationships/control" Target="../activeX/activeX8.xml"/><Relationship Id="rId28" Type="http://schemas.openxmlformats.org/officeDocument/2006/relationships/image" Target="../media/image10.emf"/><Relationship Id="rId10" Type="http://schemas.openxmlformats.org/officeDocument/2006/relationships/image" Target="../media/image1.emf"/><Relationship Id="rId19" Type="http://schemas.openxmlformats.org/officeDocument/2006/relationships/control" Target="../activeX/activeX6.xml"/><Relationship Id="rId4" Type="http://schemas.openxmlformats.org/officeDocument/2006/relationships/printerSettings" Target="../printerSettings/printerSettings14.bin"/><Relationship Id="rId9" Type="http://schemas.openxmlformats.org/officeDocument/2006/relationships/control" Target="../activeX/activeX1.xml"/><Relationship Id="rId14" Type="http://schemas.openxmlformats.org/officeDocument/2006/relationships/image" Target="../media/image3.emf"/><Relationship Id="rId22" Type="http://schemas.openxmlformats.org/officeDocument/2006/relationships/image" Target="../media/image7.emf"/><Relationship Id="rId27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9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printerSettings" Target="../printerSettings/printerSettings23.bin"/><Relationship Id="rId7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4.bin"/><Relationship Id="rId9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Relationship Id="rId5" Type="http://schemas.openxmlformats.org/officeDocument/2006/relationships/printerSettings" Target="../printerSettings/printerSettings30.bin"/><Relationship Id="rId4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45"/>
  <sheetViews>
    <sheetView topLeftCell="A4" zoomScaleNormal="100" workbookViewId="0">
      <selection activeCell="C11" sqref="C11"/>
    </sheetView>
  </sheetViews>
  <sheetFormatPr defaultRowHeight="15"/>
  <cols>
    <col min="1" max="1" width="9.140625" style="15"/>
    <col min="2" max="2" width="55.85546875" style="15" customWidth="1"/>
    <col min="3" max="3" width="7.5703125" style="74" bestFit="1" customWidth="1"/>
    <col min="4" max="4" width="11.140625" style="74" bestFit="1" customWidth="1"/>
    <col min="5" max="5" width="47" style="17" customWidth="1"/>
    <col min="6" max="6" width="46.28515625" style="15" customWidth="1"/>
    <col min="7" max="7" width="36.5703125" style="26" bestFit="1" customWidth="1"/>
    <col min="8" max="8" width="9.140625" style="15"/>
    <col min="9" max="9" width="25" style="15" customWidth="1"/>
    <col min="10" max="16384" width="9.140625" style="15"/>
  </cols>
  <sheetData>
    <row r="1" spans="1:7">
      <c r="A1" s="82" t="s">
        <v>14</v>
      </c>
      <c r="B1" s="83" t="s">
        <v>15</v>
      </c>
      <c r="C1" s="83" t="s">
        <v>638</v>
      </c>
      <c r="D1" s="83" t="s">
        <v>1140</v>
      </c>
      <c r="E1" s="84" t="s">
        <v>201</v>
      </c>
      <c r="F1" s="84" t="s">
        <v>1118</v>
      </c>
      <c r="G1" s="85"/>
    </row>
    <row r="2" spans="1:7" s="32" customFormat="1" ht="30">
      <c r="A2" s="89"/>
      <c r="B2" s="89" t="s">
        <v>1149</v>
      </c>
      <c r="C2" s="93"/>
      <c r="D2" s="93" t="s">
        <v>861</v>
      </c>
      <c r="E2" s="120"/>
      <c r="F2" s="106" t="s">
        <v>1145</v>
      </c>
    </row>
    <row r="3" spans="1:7" s="32" customFormat="1" ht="30">
      <c r="A3" s="89"/>
      <c r="B3" s="89" t="s">
        <v>1150</v>
      </c>
      <c r="C3" s="93"/>
      <c r="D3" s="93" t="s">
        <v>861</v>
      </c>
      <c r="E3" s="120"/>
      <c r="F3" s="106" t="s">
        <v>1145</v>
      </c>
    </row>
    <row r="4" spans="1:7" s="32" customFormat="1" ht="30">
      <c r="A4" s="89"/>
      <c r="B4" s="89" t="s">
        <v>1151</v>
      </c>
      <c r="C4" s="93"/>
      <c r="D4" s="93" t="s">
        <v>861</v>
      </c>
      <c r="E4" s="120"/>
      <c r="F4" s="106" t="s">
        <v>1145</v>
      </c>
    </row>
    <row r="5" spans="1:7" s="32" customFormat="1" ht="30">
      <c r="A5" s="89"/>
      <c r="B5" s="89" t="s">
        <v>1152</v>
      </c>
      <c r="C5" s="93"/>
      <c r="D5" s="93" t="s">
        <v>861</v>
      </c>
      <c r="E5" s="120"/>
      <c r="F5" s="106" t="s">
        <v>1145</v>
      </c>
    </row>
    <row r="6" spans="1:7" s="32" customFormat="1" ht="30">
      <c r="A6" s="89"/>
      <c r="B6" s="89" t="s">
        <v>1153</v>
      </c>
      <c r="C6" s="93"/>
      <c r="D6" s="93" t="s">
        <v>861</v>
      </c>
      <c r="E6" s="120"/>
      <c r="F6" s="106" t="s">
        <v>1145</v>
      </c>
    </row>
    <row r="7" spans="1:7" s="32" customFormat="1" ht="45">
      <c r="A7" s="89">
        <v>1</v>
      </c>
      <c r="B7" s="89" t="s">
        <v>836</v>
      </c>
      <c r="C7" s="93" t="s">
        <v>861</v>
      </c>
      <c r="D7" s="93" t="s">
        <v>861</v>
      </c>
      <c r="E7" s="120" t="s">
        <v>1111</v>
      </c>
      <c r="F7" s="106" t="s">
        <v>1119</v>
      </c>
    </row>
    <row r="8" spans="1:7" s="32" customFormat="1" ht="45">
      <c r="A8" s="89">
        <v>2</v>
      </c>
      <c r="B8" s="89" t="s">
        <v>847</v>
      </c>
      <c r="C8" s="93" t="s">
        <v>861</v>
      </c>
      <c r="D8" s="93" t="s">
        <v>861</v>
      </c>
      <c r="E8" s="120" t="s">
        <v>1111</v>
      </c>
      <c r="F8" s="106" t="s">
        <v>1119</v>
      </c>
    </row>
    <row r="9" spans="1:7" s="32" customFormat="1" ht="45">
      <c r="A9" s="89">
        <v>3</v>
      </c>
      <c r="B9" s="89" t="s">
        <v>848</v>
      </c>
      <c r="C9" s="93" t="s">
        <v>861</v>
      </c>
      <c r="D9" s="93" t="s">
        <v>861</v>
      </c>
      <c r="E9" s="120" t="s">
        <v>1111</v>
      </c>
      <c r="F9" s="106" t="s">
        <v>1119</v>
      </c>
    </row>
    <row r="10" spans="1:7" s="32" customFormat="1" ht="45">
      <c r="A10" s="89">
        <v>4</v>
      </c>
      <c r="B10" s="89" t="s">
        <v>849</v>
      </c>
      <c r="C10" s="93" t="s">
        <v>861</v>
      </c>
      <c r="D10" s="93" t="s">
        <v>861</v>
      </c>
      <c r="E10" s="120" t="s">
        <v>1111</v>
      </c>
      <c r="F10" s="106" t="s">
        <v>1119</v>
      </c>
    </row>
    <row r="11" spans="1:7" s="32" customFormat="1" ht="45">
      <c r="A11" s="89">
        <v>5</v>
      </c>
      <c r="B11" s="89" t="s">
        <v>951</v>
      </c>
      <c r="C11" s="93" t="s">
        <v>861</v>
      </c>
      <c r="D11" s="93" t="s">
        <v>861</v>
      </c>
      <c r="E11" s="120" t="s">
        <v>1111</v>
      </c>
      <c r="F11" s="106" t="s">
        <v>1119</v>
      </c>
    </row>
    <row r="12" spans="1:7" s="32" customFormat="1">
      <c r="A12" s="89">
        <v>6</v>
      </c>
      <c r="B12" s="89" t="s">
        <v>952</v>
      </c>
      <c r="C12" s="93"/>
      <c r="D12" s="93"/>
      <c r="E12" s="120"/>
      <c r="F12" s="120"/>
    </row>
    <row r="13" spans="1:7" s="32" customFormat="1" ht="30">
      <c r="A13" s="89">
        <v>7</v>
      </c>
      <c r="B13" s="89" t="s">
        <v>860</v>
      </c>
      <c r="C13" s="93"/>
      <c r="D13" s="93"/>
      <c r="E13" s="120" t="s">
        <v>1111</v>
      </c>
      <c r="F13" s="106" t="s">
        <v>1120</v>
      </c>
    </row>
    <row r="14" spans="1:7" s="32" customFormat="1" ht="30">
      <c r="A14" s="89">
        <v>8</v>
      </c>
      <c r="B14" s="89" t="s">
        <v>865</v>
      </c>
      <c r="C14" s="93"/>
      <c r="D14" s="93"/>
      <c r="E14" s="120" t="s">
        <v>1111</v>
      </c>
      <c r="F14" s="106" t="s">
        <v>1120</v>
      </c>
    </row>
    <row r="15" spans="1:7" s="32" customFormat="1" ht="30">
      <c r="A15" s="89">
        <v>9</v>
      </c>
      <c r="B15" s="89" t="s">
        <v>866</v>
      </c>
      <c r="C15" s="93"/>
      <c r="D15" s="93"/>
      <c r="E15" s="120" t="s">
        <v>1111</v>
      </c>
      <c r="F15" s="106" t="s">
        <v>1120</v>
      </c>
    </row>
    <row r="16" spans="1:7" s="32" customFormat="1" ht="30">
      <c r="A16" s="89">
        <v>10</v>
      </c>
      <c r="B16" s="89" t="s">
        <v>867</v>
      </c>
      <c r="C16" s="93"/>
      <c r="D16" s="93"/>
      <c r="E16" s="120" t="s">
        <v>1111</v>
      </c>
      <c r="F16" s="106" t="s">
        <v>1120</v>
      </c>
    </row>
    <row r="17" spans="1:6" s="32" customFormat="1" ht="30">
      <c r="A17" s="89">
        <v>11</v>
      </c>
      <c r="B17" s="89" t="s">
        <v>953</v>
      </c>
      <c r="C17" s="93"/>
      <c r="D17" s="93"/>
      <c r="E17" s="120" t="s">
        <v>1111</v>
      </c>
      <c r="F17" s="106" t="s">
        <v>1120</v>
      </c>
    </row>
    <row r="18" spans="1:6" s="32" customFormat="1">
      <c r="A18" s="89">
        <v>12</v>
      </c>
      <c r="B18" s="89" t="s">
        <v>954</v>
      </c>
      <c r="C18" s="93"/>
      <c r="D18" s="93"/>
      <c r="E18" s="120"/>
      <c r="F18" s="120"/>
    </row>
    <row r="19" spans="1:6" s="32" customFormat="1" ht="45">
      <c r="A19" s="89">
        <v>13</v>
      </c>
      <c r="B19" s="142" t="s">
        <v>1099</v>
      </c>
      <c r="C19" s="93"/>
      <c r="D19" s="93"/>
      <c r="E19" s="120" t="s">
        <v>1112</v>
      </c>
      <c r="F19" s="106" t="s">
        <v>1121</v>
      </c>
    </row>
    <row r="20" spans="1:6" s="32" customFormat="1" ht="45">
      <c r="A20" s="89">
        <v>14</v>
      </c>
      <c r="B20" s="142" t="s">
        <v>1100</v>
      </c>
      <c r="C20" s="93"/>
      <c r="D20" s="93"/>
      <c r="E20" s="120" t="s">
        <v>1112</v>
      </c>
      <c r="F20" s="106" t="s">
        <v>1121</v>
      </c>
    </row>
    <row r="21" spans="1:6" s="32" customFormat="1" ht="45">
      <c r="A21" s="89">
        <v>15</v>
      </c>
      <c r="B21" s="142" t="s">
        <v>1101</v>
      </c>
      <c r="C21" s="93"/>
      <c r="D21" s="93"/>
      <c r="E21" s="120" t="s">
        <v>1112</v>
      </c>
      <c r="F21" s="106" t="s">
        <v>1121</v>
      </c>
    </row>
    <row r="22" spans="1:6" s="32" customFormat="1" ht="45">
      <c r="A22" s="89">
        <v>16</v>
      </c>
      <c r="B22" s="142" t="s">
        <v>1102</v>
      </c>
      <c r="C22" s="93"/>
      <c r="D22" s="93"/>
      <c r="E22" s="120" t="s">
        <v>1112</v>
      </c>
      <c r="F22" s="106" t="s">
        <v>1121</v>
      </c>
    </row>
    <row r="23" spans="1:6" s="32" customFormat="1" ht="45">
      <c r="A23" s="89">
        <v>17</v>
      </c>
      <c r="B23" s="142" t="s">
        <v>1103</v>
      </c>
      <c r="C23" s="93"/>
      <c r="D23" s="93"/>
      <c r="E23" s="120" t="s">
        <v>1112</v>
      </c>
      <c r="F23" s="106" t="s">
        <v>1122</v>
      </c>
    </row>
    <row r="24" spans="1:6" s="32" customFormat="1">
      <c r="A24" s="89">
        <v>18</v>
      </c>
      <c r="B24" s="89" t="s">
        <v>1104</v>
      </c>
      <c r="C24" s="93"/>
      <c r="D24" s="93"/>
      <c r="E24" s="120"/>
      <c r="F24" s="120"/>
    </row>
    <row r="25" spans="1:6" s="32" customFormat="1" ht="30">
      <c r="A25" s="89">
        <v>19</v>
      </c>
      <c r="B25" s="89" t="s">
        <v>886</v>
      </c>
      <c r="C25" s="93"/>
      <c r="D25" s="93"/>
      <c r="E25" s="120" t="s">
        <v>1113</v>
      </c>
      <c r="F25" s="106" t="s">
        <v>1123</v>
      </c>
    </row>
    <row r="26" spans="1:6" s="32" customFormat="1" ht="30">
      <c r="A26" s="89">
        <v>20</v>
      </c>
      <c r="B26" s="89" t="s">
        <v>887</v>
      </c>
      <c r="C26" s="93"/>
      <c r="D26" s="93"/>
      <c r="E26" s="120" t="s">
        <v>1113</v>
      </c>
      <c r="F26" s="106" t="s">
        <v>1123</v>
      </c>
    </row>
    <row r="27" spans="1:6" s="32" customFormat="1" ht="30">
      <c r="A27" s="89">
        <v>21</v>
      </c>
      <c r="B27" s="89" t="s">
        <v>888</v>
      </c>
      <c r="C27" s="93"/>
      <c r="D27" s="93"/>
      <c r="E27" s="120" t="s">
        <v>1113</v>
      </c>
      <c r="F27" s="106" t="s">
        <v>1123</v>
      </c>
    </row>
    <row r="28" spans="1:6" s="32" customFormat="1" ht="30">
      <c r="A28" s="89">
        <v>22</v>
      </c>
      <c r="B28" s="89" t="s">
        <v>889</v>
      </c>
      <c r="C28" s="93"/>
      <c r="D28" s="93"/>
      <c r="E28" s="120" t="s">
        <v>1113</v>
      </c>
      <c r="F28" s="106" t="s">
        <v>1123</v>
      </c>
    </row>
    <row r="29" spans="1:6" s="32" customFormat="1" ht="30">
      <c r="A29" s="89">
        <v>23</v>
      </c>
      <c r="B29" s="89" t="s">
        <v>955</v>
      </c>
      <c r="C29" s="93"/>
      <c r="D29" s="93"/>
      <c r="E29" s="120" t="s">
        <v>1113</v>
      </c>
      <c r="F29" s="106" t="s">
        <v>1123</v>
      </c>
    </row>
    <row r="30" spans="1:6" s="32" customFormat="1">
      <c r="A30" s="89">
        <v>24</v>
      </c>
      <c r="B30" s="89" t="s">
        <v>956</v>
      </c>
      <c r="C30" s="93"/>
      <c r="D30" s="93"/>
      <c r="E30" s="120"/>
      <c r="F30" s="120"/>
    </row>
    <row r="31" spans="1:6" s="32" customFormat="1">
      <c r="A31" s="89">
        <v>25</v>
      </c>
      <c r="B31" s="106" t="s">
        <v>890</v>
      </c>
      <c r="C31" s="93"/>
      <c r="D31" s="93" t="s">
        <v>861</v>
      </c>
      <c r="E31" s="120" t="s">
        <v>1114</v>
      </c>
      <c r="F31" s="120" t="s">
        <v>1124</v>
      </c>
    </row>
    <row r="32" spans="1:6" s="32" customFormat="1">
      <c r="A32" s="89">
        <v>26</v>
      </c>
      <c r="B32" s="106" t="s">
        <v>893</v>
      </c>
      <c r="C32" s="93"/>
      <c r="D32" s="93" t="s">
        <v>861</v>
      </c>
      <c r="E32" s="120" t="s">
        <v>1114</v>
      </c>
      <c r="F32" s="120" t="s">
        <v>1124</v>
      </c>
    </row>
    <row r="33" spans="1:6" s="32" customFormat="1">
      <c r="A33" s="89">
        <v>27</v>
      </c>
      <c r="B33" s="106" t="s">
        <v>894</v>
      </c>
      <c r="C33" s="93"/>
      <c r="D33" s="93" t="s">
        <v>861</v>
      </c>
      <c r="E33" s="120" t="s">
        <v>1114</v>
      </c>
      <c r="F33" s="120" t="s">
        <v>1124</v>
      </c>
    </row>
    <row r="34" spans="1:6" s="32" customFormat="1">
      <c r="A34" s="89">
        <v>28</v>
      </c>
      <c r="B34" s="106" t="s">
        <v>895</v>
      </c>
      <c r="C34" s="93"/>
      <c r="D34" s="93" t="s">
        <v>861</v>
      </c>
      <c r="E34" s="120" t="s">
        <v>1114</v>
      </c>
      <c r="F34" s="120" t="s">
        <v>1124</v>
      </c>
    </row>
    <row r="35" spans="1:6" s="32" customFormat="1">
      <c r="A35" s="89">
        <v>29</v>
      </c>
      <c r="B35" s="106" t="s">
        <v>957</v>
      </c>
      <c r="C35" s="93"/>
      <c r="D35" s="93" t="s">
        <v>861</v>
      </c>
      <c r="E35" s="120" t="s">
        <v>1114</v>
      </c>
      <c r="F35" s="120" t="s">
        <v>1124</v>
      </c>
    </row>
    <row r="36" spans="1:6" s="32" customFormat="1">
      <c r="A36" s="89">
        <v>30</v>
      </c>
      <c r="B36" s="106" t="s">
        <v>958</v>
      </c>
      <c r="C36" s="93"/>
      <c r="D36" s="93"/>
      <c r="E36" s="120"/>
      <c r="F36" s="120"/>
    </row>
    <row r="37" spans="1:6" s="32" customFormat="1" ht="30">
      <c r="A37" s="89">
        <v>31</v>
      </c>
      <c r="B37" s="106" t="s">
        <v>896</v>
      </c>
      <c r="C37" s="93"/>
      <c r="D37" s="93"/>
      <c r="E37" s="120" t="s">
        <v>1111</v>
      </c>
      <c r="F37" s="121" t="s">
        <v>1125</v>
      </c>
    </row>
    <row r="38" spans="1:6" s="32" customFormat="1" ht="30">
      <c r="A38" s="89">
        <v>32</v>
      </c>
      <c r="B38" s="106" t="s">
        <v>898</v>
      </c>
      <c r="C38" s="93"/>
      <c r="D38" s="93"/>
      <c r="E38" s="120" t="s">
        <v>1111</v>
      </c>
      <c r="F38" s="121" t="s">
        <v>1125</v>
      </c>
    </row>
    <row r="39" spans="1:6" s="32" customFormat="1" ht="30">
      <c r="A39" s="89">
        <v>33</v>
      </c>
      <c r="B39" s="106" t="s">
        <v>899</v>
      </c>
      <c r="C39" s="93"/>
      <c r="D39" s="93"/>
      <c r="E39" s="120" t="s">
        <v>1111</v>
      </c>
      <c r="F39" s="121" t="s">
        <v>1125</v>
      </c>
    </row>
    <row r="40" spans="1:6" s="32" customFormat="1" ht="30">
      <c r="A40" s="89">
        <v>34</v>
      </c>
      <c r="B40" s="106" t="s">
        <v>900</v>
      </c>
      <c r="C40" s="93"/>
      <c r="D40" s="93"/>
      <c r="E40" s="120" t="s">
        <v>1111</v>
      </c>
      <c r="F40" s="121" t="s">
        <v>1125</v>
      </c>
    </row>
    <row r="41" spans="1:6" s="32" customFormat="1" ht="30">
      <c r="A41" s="89">
        <v>35</v>
      </c>
      <c r="B41" s="106" t="s">
        <v>959</v>
      </c>
      <c r="C41" s="93"/>
      <c r="D41" s="93"/>
      <c r="E41" s="120" t="s">
        <v>1111</v>
      </c>
      <c r="F41" s="121" t="s">
        <v>1125</v>
      </c>
    </row>
    <row r="42" spans="1:6" s="32" customFormat="1">
      <c r="A42" s="89">
        <v>36</v>
      </c>
      <c r="B42" s="106" t="s">
        <v>960</v>
      </c>
      <c r="C42" s="93"/>
      <c r="D42" s="93"/>
      <c r="E42" s="120"/>
      <c r="F42" s="120"/>
    </row>
    <row r="43" spans="1:6" s="32" customFormat="1" ht="30">
      <c r="A43" s="89">
        <v>37</v>
      </c>
      <c r="B43" s="106" t="s">
        <v>905</v>
      </c>
      <c r="C43" s="93"/>
      <c r="D43" s="93"/>
      <c r="E43" s="120" t="s">
        <v>1111</v>
      </c>
      <c r="F43" s="122" t="s">
        <v>1126</v>
      </c>
    </row>
    <row r="44" spans="1:6" s="32" customFormat="1" ht="30">
      <c r="A44" s="89">
        <v>38</v>
      </c>
      <c r="B44" s="106" t="s">
        <v>944</v>
      </c>
      <c r="C44" s="93"/>
      <c r="D44" s="93"/>
      <c r="E44" s="120" t="s">
        <v>1111</v>
      </c>
      <c r="F44" s="122" t="s">
        <v>1126</v>
      </c>
    </row>
    <row r="45" spans="1:6" s="32" customFormat="1" ht="30">
      <c r="A45" s="89">
        <v>39</v>
      </c>
      <c r="B45" s="106" t="s">
        <v>945</v>
      </c>
      <c r="C45" s="93"/>
      <c r="D45" s="93"/>
      <c r="E45" s="120" t="s">
        <v>1111</v>
      </c>
      <c r="F45" s="122" t="s">
        <v>1126</v>
      </c>
    </row>
    <row r="46" spans="1:6" s="32" customFormat="1" ht="30">
      <c r="A46" s="89">
        <v>40</v>
      </c>
      <c r="B46" s="106" t="s">
        <v>946</v>
      </c>
      <c r="C46" s="93"/>
      <c r="D46" s="93"/>
      <c r="E46" s="120" t="s">
        <v>1111</v>
      </c>
      <c r="F46" s="122" t="s">
        <v>1126</v>
      </c>
    </row>
    <row r="47" spans="1:6" s="32" customFormat="1" ht="30">
      <c r="A47" s="89">
        <v>41</v>
      </c>
      <c r="B47" s="106" t="s">
        <v>961</v>
      </c>
      <c r="C47" s="93"/>
      <c r="D47" s="93"/>
      <c r="E47" s="120" t="s">
        <v>1111</v>
      </c>
      <c r="F47" s="122" t="s">
        <v>1126</v>
      </c>
    </row>
    <row r="48" spans="1:6" s="32" customFormat="1">
      <c r="A48" s="89">
        <v>42</v>
      </c>
      <c r="B48" s="106" t="s">
        <v>962</v>
      </c>
      <c r="C48" s="93"/>
      <c r="D48" s="93"/>
      <c r="E48" s="120"/>
      <c r="F48" s="120"/>
    </row>
    <row r="49" spans="1:7" s="32" customFormat="1" ht="30">
      <c r="A49" s="89">
        <v>43</v>
      </c>
      <c r="B49" s="106" t="s">
        <v>964</v>
      </c>
      <c r="C49" s="93"/>
      <c r="D49" s="93"/>
      <c r="E49" s="120" t="s">
        <v>1112</v>
      </c>
      <c r="F49" s="123" t="s">
        <v>1127</v>
      </c>
    </row>
    <row r="50" spans="1:7" ht="30">
      <c r="A50" s="89">
        <v>44</v>
      </c>
      <c r="B50" s="106" t="s">
        <v>1001</v>
      </c>
      <c r="C50" s="93"/>
      <c r="D50" s="93"/>
      <c r="E50" s="120" t="s">
        <v>1112</v>
      </c>
      <c r="F50" s="123" t="s">
        <v>1127</v>
      </c>
      <c r="G50" s="15"/>
    </row>
    <row r="51" spans="1:7" ht="30">
      <c r="A51" s="89">
        <v>45</v>
      </c>
      <c r="B51" s="106" t="s">
        <v>1003</v>
      </c>
      <c r="C51" s="93"/>
      <c r="D51" s="93"/>
      <c r="E51" s="120" t="s">
        <v>1112</v>
      </c>
      <c r="F51" s="123" t="s">
        <v>1127</v>
      </c>
      <c r="G51" s="15"/>
    </row>
    <row r="52" spans="1:7" ht="30">
      <c r="A52" s="89">
        <v>46</v>
      </c>
      <c r="B52" s="106" t="s">
        <v>1002</v>
      </c>
      <c r="C52" s="93"/>
      <c r="D52" s="93"/>
      <c r="E52" s="120" t="s">
        <v>1112</v>
      </c>
      <c r="F52" s="123" t="s">
        <v>1127</v>
      </c>
      <c r="G52" s="15"/>
    </row>
    <row r="53" spans="1:7" ht="30">
      <c r="A53" s="89">
        <v>47</v>
      </c>
      <c r="B53" s="106" t="s">
        <v>1004</v>
      </c>
      <c r="C53" s="93"/>
      <c r="D53" s="93"/>
      <c r="E53" s="120" t="s">
        <v>1117</v>
      </c>
      <c r="F53" s="60"/>
      <c r="G53" s="15"/>
    </row>
    <row r="54" spans="1:7" ht="30">
      <c r="A54" s="89">
        <v>48</v>
      </c>
      <c r="B54" s="106" t="s">
        <v>1005</v>
      </c>
      <c r="C54" s="93"/>
      <c r="D54" s="93"/>
      <c r="E54" s="60"/>
      <c r="F54" s="60"/>
      <c r="G54" s="15"/>
    </row>
    <row r="55" spans="1:7" ht="30">
      <c r="A55" s="115">
        <v>49</v>
      </c>
      <c r="B55" s="116" t="s">
        <v>1048</v>
      </c>
      <c r="C55" s="93"/>
      <c r="D55" s="93"/>
      <c r="E55" s="120" t="s">
        <v>1115</v>
      </c>
      <c r="F55" s="124" t="s">
        <v>1128</v>
      </c>
      <c r="G55" s="15"/>
    </row>
    <row r="56" spans="1:7" ht="30">
      <c r="A56" s="115">
        <v>50</v>
      </c>
      <c r="B56" s="116" t="s">
        <v>1053</v>
      </c>
      <c r="C56" s="93"/>
      <c r="D56" s="93"/>
      <c r="E56" s="120" t="s">
        <v>1115</v>
      </c>
      <c r="F56" s="124" t="s">
        <v>1128</v>
      </c>
      <c r="G56" s="15"/>
    </row>
    <row r="57" spans="1:7" ht="30">
      <c r="A57" s="115">
        <v>51</v>
      </c>
      <c r="B57" s="116" t="s">
        <v>1054</v>
      </c>
      <c r="C57" s="93"/>
      <c r="D57" s="93"/>
      <c r="E57" s="120" t="s">
        <v>1115</v>
      </c>
      <c r="F57" s="124" t="s">
        <v>1128</v>
      </c>
      <c r="G57" s="15"/>
    </row>
    <row r="58" spans="1:7" ht="30">
      <c r="A58" s="115">
        <v>52</v>
      </c>
      <c r="B58" s="116" t="s">
        <v>1055</v>
      </c>
      <c r="C58" s="93"/>
      <c r="D58" s="93"/>
      <c r="E58" s="120" t="s">
        <v>1115</v>
      </c>
      <c r="F58" s="124" t="s">
        <v>1128</v>
      </c>
      <c r="G58" s="15"/>
    </row>
    <row r="59" spans="1:7" ht="30">
      <c r="A59" s="115">
        <v>53</v>
      </c>
      <c r="B59" s="116" t="s">
        <v>1056</v>
      </c>
      <c r="C59" s="93"/>
      <c r="D59" s="93"/>
      <c r="E59" s="120" t="s">
        <v>1115</v>
      </c>
      <c r="F59" s="124" t="s">
        <v>1128</v>
      </c>
      <c r="G59" s="15"/>
    </row>
    <row r="60" spans="1:7" ht="30">
      <c r="A60" s="115">
        <v>54</v>
      </c>
      <c r="B60" s="116" t="s">
        <v>1057</v>
      </c>
      <c r="C60" s="93"/>
      <c r="D60" s="93" t="s">
        <v>861</v>
      </c>
      <c r="E60" s="120" t="s">
        <v>1116</v>
      </c>
      <c r="F60" s="122" t="s">
        <v>1129</v>
      </c>
      <c r="G60" s="15"/>
    </row>
    <row r="61" spans="1:7" ht="30">
      <c r="A61" s="115">
        <v>55</v>
      </c>
      <c r="B61" s="116" t="s">
        <v>1058</v>
      </c>
      <c r="C61" s="93"/>
      <c r="D61" s="93" t="s">
        <v>861</v>
      </c>
      <c r="E61" s="120" t="s">
        <v>1116</v>
      </c>
      <c r="F61" s="122" t="s">
        <v>1129</v>
      </c>
      <c r="G61" s="15"/>
    </row>
    <row r="62" spans="1:7" ht="30">
      <c r="A62" s="115">
        <v>56</v>
      </c>
      <c r="B62" s="116" t="s">
        <v>1059</v>
      </c>
      <c r="C62" s="93"/>
      <c r="D62" s="93" t="s">
        <v>861</v>
      </c>
      <c r="E62" s="120" t="s">
        <v>1116</v>
      </c>
      <c r="F62" s="122" t="s">
        <v>1129</v>
      </c>
      <c r="G62" s="15"/>
    </row>
    <row r="63" spans="1:7" ht="30">
      <c r="A63" s="115">
        <v>57</v>
      </c>
      <c r="B63" s="116" t="s">
        <v>1060</v>
      </c>
      <c r="C63" s="93"/>
      <c r="D63" s="93" t="s">
        <v>861</v>
      </c>
      <c r="E63" s="120" t="s">
        <v>1116</v>
      </c>
      <c r="F63" s="122" t="s">
        <v>1129</v>
      </c>
      <c r="G63" s="15"/>
    </row>
    <row r="64" spans="1:7" ht="30">
      <c r="A64" s="115">
        <v>58</v>
      </c>
      <c r="B64" s="116" t="s">
        <v>1061</v>
      </c>
      <c r="C64" s="93"/>
      <c r="D64" s="93" t="s">
        <v>861</v>
      </c>
      <c r="E64" s="120" t="s">
        <v>1116</v>
      </c>
      <c r="F64" s="122" t="s">
        <v>1129</v>
      </c>
      <c r="G64" s="15"/>
    </row>
    <row r="65" spans="1:7" ht="30">
      <c r="A65" s="115">
        <v>59</v>
      </c>
      <c r="B65" s="89" t="s">
        <v>1141</v>
      </c>
      <c r="C65" s="93"/>
      <c r="D65" s="93"/>
      <c r="E65" s="120" t="s">
        <v>1112</v>
      </c>
      <c r="F65" s="116" t="s">
        <v>1127</v>
      </c>
      <c r="G65" s="15"/>
    </row>
    <row r="66" spans="1:7" ht="30">
      <c r="A66" s="115">
        <v>60</v>
      </c>
      <c r="B66" s="89" t="s">
        <v>1142</v>
      </c>
      <c r="C66" s="93"/>
      <c r="D66" s="93"/>
      <c r="E66" s="120" t="s">
        <v>1112</v>
      </c>
      <c r="F66" s="116" t="s">
        <v>1127</v>
      </c>
      <c r="G66" s="15"/>
    </row>
    <row r="67" spans="1:7" ht="30">
      <c r="A67" s="115">
        <v>61</v>
      </c>
      <c r="B67" s="89" t="s">
        <v>1143</v>
      </c>
      <c r="C67" s="93"/>
      <c r="D67" s="93"/>
      <c r="E67" s="120" t="s">
        <v>1112</v>
      </c>
      <c r="F67" s="116" t="s">
        <v>1127</v>
      </c>
      <c r="G67" s="15"/>
    </row>
    <row r="68" spans="1:7" ht="30">
      <c r="A68" s="115">
        <v>62</v>
      </c>
      <c r="B68" s="89" t="s">
        <v>1144</v>
      </c>
      <c r="C68" s="93"/>
      <c r="D68" s="93"/>
      <c r="E68" s="120" t="s">
        <v>1112</v>
      </c>
      <c r="F68" s="116" t="s">
        <v>1127</v>
      </c>
      <c r="G68" s="15"/>
    </row>
    <row r="69" spans="1:7">
      <c r="A69" s="115">
        <v>64</v>
      </c>
      <c r="B69" s="89" t="s">
        <v>1109</v>
      </c>
      <c r="C69" s="93"/>
      <c r="D69" s="93"/>
      <c r="E69" s="60"/>
      <c r="F69" s="19"/>
      <c r="G69" s="15"/>
    </row>
    <row r="70" spans="1:7">
      <c r="A70" s="115"/>
      <c r="B70" s="19"/>
      <c r="C70" s="93"/>
      <c r="D70" s="93"/>
      <c r="E70" s="60"/>
      <c r="F70" s="19"/>
      <c r="G70" s="15"/>
    </row>
    <row r="71" spans="1:7">
      <c r="G71" s="15"/>
    </row>
    <row r="72" spans="1:7">
      <c r="G72" s="15"/>
    </row>
    <row r="73" spans="1:7">
      <c r="G73" s="15"/>
    </row>
    <row r="74" spans="1:7">
      <c r="G74" s="15"/>
    </row>
    <row r="75" spans="1:7">
      <c r="G75" s="15"/>
    </row>
    <row r="76" spans="1:7">
      <c r="G76" s="15"/>
    </row>
    <row r="77" spans="1:7">
      <c r="G77" s="15"/>
    </row>
    <row r="78" spans="1:7">
      <c r="G78" s="15"/>
    </row>
    <row r="79" spans="1:7">
      <c r="G79" s="15"/>
    </row>
    <row r="80" spans="1:7">
      <c r="G80" s="15"/>
    </row>
    <row r="81" spans="7:7">
      <c r="G81" s="15"/>
    </row>
    <row r="82" spans="7:7">
      <c r="G82" s="15"/>
    </row>
    <row r="83" spans="7:7">
      <c r="G83" s="15"/>
    </row>
    <row r="84" spans="7:7">
      <c r="G84" s="15"/>
    </row>
    <row r="85" spans="7:7">
      <c r="G85" s="15"/>
    </row>
    <row r="86" spans="7:7">
      <c r="G86" s="15"/>
    </row>
    <row r="87" spans="7:7">
      <c r="G87" s="15"/>
    </row>
    <row r="88" spans="7:7">
      <c r="G88" s="15"/>
    </row>
    <row r="89" spans="7:7">
      <c r="G89" s="15"/>
    </row>
    <row r="90" spans="7:7">
      <c r="G90" s="15"/>
    </row>
    <row r="91" spans="7:7">
      <c r="G91" s="15"/>
    </row>
    <row r="92" spans="7:7">
      <c r="G92" s="15"/>
    </row>
    <row r="93" spans="7:7">
      <c r="G93" s="15"/>
    </row>
    <row r="94" spans="7:7">
      <c r="G94" s="15"/>
    </row>
    <row r="95" spans="7:7">
      <c r="G95" s="15"/>
    </row>
    <row r="96" spans="7:7">
      <c r="G96" s="15"/>
    </row>
    <row r="97" spans="7:7">
      <c r="G97" s="15"/>
    </row>
    <row r="98" spans="7:7">
      <c r="G98" s="15"/>
    </row>
    <row r="99" spans="7:7">
      <c r="G99" s="15"/>
    </row>
    <row r="100" spans="7:7">
      <c r="G100" s="15"/>
    </row>
    <row r="101" spans="7:7">
      <c r="G101" s="15"/>
    </row>
    <row r="102" spans="7:7">
      <c r="G102" s="15"/>
    </row>
    <row r="103" spans="7:7">
      <c r="G103" s="15"/>
    </row>
    <row r="104" spans="7:7">
      <c r="G104" s="15"/>
    </row>
    <row r="105" spans="7:7">
      <c r="G105" s="15"/>
    </row>
    <row r="106" spans="7:7">
      <c r="G106" s="15"/>
    </row>
    <row r="107" spans="7:7">
      <c r="G107" s="15"/>
    </row>
    <row r="108" spans="7:7">
      <c r="G108" s="15"/>
    </row>
    <row r="109" spans="7:7">
      <c r="G109" s="15"/>
    </row>
    <row r="110" spans="7:7">
      <c r="G110" s="15"/>
    </row>
    <row r="111" spans="7:7">
      <c r="G111" s="15"/>
    </row>
    <row r="112" spans="7:7">
      <c r="G112" s="15"/>
    </row>
    <row r="113" spans="7:7">
      <c r="G113" s="15"/>
    </row>
    <row r="114" spans="7:7">
      <c r="G114" s="15"/>
    </row>
    <row r="115" spans="7:7">
      <c r="G115" s="15"/>
    </row>
    <row r="116" spans="7:7">
      <c r="G116" s="15"/>
    </row>
    <row r="117" spans="7:7">
      <c r="G117" s="15"/>
    </row>
    <row r="118" spans="7:7">
      <c r="G118" s="15"/>
    </row>
    <row r="119" spans="7:7">
      <c r="G119" s="15"/>
    </row>
    <row r="120" spans="7:7">
      <c r="G120" s="15"/>
    </row>
    <row r="121" spans="7:7">
      <c r="G121" s="15"/>
    </row>
    <row r="122" spans="7:7">
      <c r="G122" s="15"/>
    </row>
    <row r="123" spans="7:7">
      <c r="G123" s="15"/>
    </row>
    <row r="124" spans="7:7">
      <c r="G124" s="15"/>
    </row>
    <row r="125" spans="7:7">
      <c r="G125" s="15"/>
    </row>
    <row r="126" spans="7:7">
      <c r="G126" s="15"/>
    </row>
    <row r="127" spans="7:7">
      <c r="G127" s="15"/>
    </row>
    <row r="128" spans="7:7">
      <c r="G128" s="15"/>
    </row>
    <row r="129" spans="7:7">
      <c r="G129" s="15"/>
    </row>
    <row r="130" spans="7:7">
      <c r="G130" s="15"/>
    </row>
    <row r="131" spans="7:7">
      <c r="G131" s="15"/>
    </row>
    <row r="132" spans="7:7">
      <c r="G132" s="15"/>
    </row>
    <row r="133" spans="7:7">
      <c r="G133" s="15"/>
    </row>
    <row r="134" spans="7:7">
      <c r="G134" s="15"/>
    </row>
    <row r="135" spans="7:7">
      <c r="G135" s="15"/>
    </row>
    <row r="136" spans="7:7">
      <c r="G136" s="15"/>
    </row>
    <row r="137" spans="7:7">
      <c r="G137" s="15"/>
    </row>
    <row r="138" spans="7:7">
      <c r="G138" s="15"/>
    </row>
    <row r="139" spans="7:7">
      <c r="G139" s="15"/>
    </row>
    <row r="140" spans="7:7">
      <c r="G140" s="15"/>
    </row>
    <row r="141" spans="7:7">
      <c r="G141" s="15"/>
    </row>
    <row r="142" spans="7:7">
      <c r="G142" s="15"/>
    </row>
    <row r="143" spans="7:7">
      <c r="G143" s="15"/>
    </row>
    <row r="144" spans="7:7">
      <c r="G144" s="15"/>
    </row>
    <row r="145" spans="7:7">
      <c r="G145" s="15"/>
    </row>
    <row r="146" spans="7:7">
      <c r="G146" s="15"/>
    </row>
    <row r="147" spans="7:7">
      <c r="G147" s="15"/>
    </row>
    <row r="148" spans="7:7">
      <c r="G148" s="15"/>
    </row>
    <row r="149" spans="7:7">
      <c r="G149" s="15"/>
    </row>
    <row r="150" spans="7:7">
      <c r="G150" s="15"/>
    </row>
    <row r="151" spans="7:7">
      <c r="G151" s="15"/>
    </row>
    <row r="152" spans="7:7">
      <c r="G152" s="15"/>
    </row>
    <row r="153" spans="7:7">
      <c r="G153" s="15"/>
    </row>
    <row r="154" spans="7:7">
      <c r="G154" s="15"/>
    </row>
    <row r="155" spans="7:7">
      <c r="G155" s="15"/>
    </row>
    <row r="156" spans="7:7">
      <c r="G156" s="15"/>
    </row>
    <row r="157" spans="7:7">
      <c r="G157" s="15"/>
    </row>
    <row r="158" spans="7:7">
      <c r="G158" s="15"/>
    </row>
    <row r="159" spans="7:7">
      <c r="G159" s="15"/>
    </row>
    <row r="160" spans="7:7">
      <c r="G160" s="15"/>
    </row>
    <row r="161" spans="7:7">
      <c r="G161" s="15"/>
    </row>
    <row r="162" spans="7:7">
      <c r="G162" s="15"/>
    </row>
    <row r="163" spans="7:7">
      <c r="G163" s="15"/>
    </row>
    <row r="164" spans="7:7">
      <c r="G164" s="15"/>
    </row>
    <row r="165" spans="7:7">
      <c r="G165" s="15"/>
    </row>
    <row r="166" spans="7:7">
      <c r="G166" s="15"/>
    </row>
    <row r="167" spans="7:7">
      <c r="G167" s="15"/>
    </row>
    <row r="168" spans="7:7">
      <c r="G168" s="15"/>
    </row>
    <row r="169" spans="7:7">
      <c r="G169" s="15"/>
    </row>
    <row r="170" spans="7:7">
      <c r="G170" s="15"/>
    </row>
    <row r="171" spans="7:7">
      <c r="G171" s="15"/>
    </row>
    <row r="172" spans="7:7">
      <c r="G172" s="15"/>
    </row>
    <row r="173" spans="7:7">
      <c r="G173" s="15"/>
    </row>
    <row r="174" spans="7:7">
      <c r="G174" s="15"/>
    </row>
    <row r="175" spans="7:7">
      <c r="G175" s="15"/>
    </row>
    <row r="176" spans="7:7">
      <c r="G176" s="15"/>
    </row>
    <row r="177" spans="7:7">
      <c r="G177" s="15"/>
    </row>
    <row r="178" spans="7:7">
      <c r="G178" s="15"/>
    </row>
    <row r="179" spans="7:7">
      <c r="G179" s="15"/>
    </row>
    <row r="180" spans="7:7">
      <c r="G180" s="15"/>
    </row>
    <row r="181" spans="7:7">
      <c r="G181" s="15"/>
    </row>
    <row r="182" spans="7:7">
      <c r="G182" s="15"/>
    </row>
    <row r="183" spans="7:7">
      <c r="G183" s="15"/>
    </row>
    <row r="184" spans="7:7">
      <c r="G184" s="15"/>
    </row>
    <row r="185" spans="7:7">
      <c r="G185" s="15"/>
    </row>
    <row r="186" spans="7:7">
      <c r="G186" s="15"/>
    </row>
    <row r="187" spans="7:7">
      <c r="G187" s="15"/>
    </row>
    <row r="188" spans="7:7">
      <c r="G188" s="15"/>
    </row>
    <row r="189" spans="7:7">
      <c r="G189" s="15"/>
    </row>
    <row r="190" spans="7:7">
      <c r="G190" s="15"/>
    </row>
    <row r="191" spans="7:7">
      <c r="G191" s="15"/>
    </row>
    <row r="192" spans="7:7">
      <c r="G192" s="15"/>
    </row>
    <row r="193" spans="7:7">
      <c r="G193" s="15"/>
    </row>
    <row r="194" spans="7:7">
      <c r="G194" s="15"/>
    </row>
    <row r="195" spans="7:7">
      <c r="G195" s="15"/>
    </row>
    <row r="196" spans="7:7">
      <c r="G196" s="15"/>
    </row>
    <row r="197" spans="7:7">
      <c r="G197" s="15"/>
    </row>
    <row r="198" spans="7:7">
      <c r="G198" s="15"/>
    </row>
    <row r="199" spans="7:7">
      <c r="G199" s="15"/>
    </row>
    <row r="200" spans="7:7">
      <c r="G200" s="15"/>
    </row>
    <row r="201" spans="7:7">
      <c r="G201" s="15"/>
    </row>
    <row r="202" spans="7:7">
      <c r="G202" s="15"/>
    </row>
    <row r="203" spans="7:7">
      <c r="G203" s="15"/>
    </row>
    <row r="204" spans="7:7">
      <c r="G204" s="15"/>
    </row>
    <row r="205" spans="7:7">
      <c r="G205" s="15"/>
    </row>
    <row r="206" spans="7:7">
      <c r="G206" s="15"/>
    </row>
    <row r="207" spans="7:7">
      <c r="G207" s="15"/>
    </row>
    <row r="208" spans="7:7">
      <c r="G208" s="15"/>
    </row>
    <row r="209" spans="7:7">
      <c r="G209" s="15"/>
    </row>
    <row r="210" spans="7:7">
      <c r="G210" s="15"/>
    </row>
    <row r="211" spans="7:7">
      <c r="G211" s="15"/>
    </row>
    <row r="212" spans="7:7">
      <c r="G212" s="15"/>
    </row>
    <row r="213" spans="7:7">
      <c r="G213" s="15"/>
    </row>
    <row r="214" spans="7:7">
      <c r="G214" s="15"/>
    </row>
    <row r="215" spans="7:7">
      <c r="G215" s="15"/>
    </row>
    <row r="216" spans="7:7">
      <c r="G216" s="15"/>
    </row>
    <row r="217" spans="7:7">
      <c r="G217" s="15"/>
    </row>
    <row r="218" spans="7:7">
      <c r="G218" s="15"/>
    </row>
    <row r="219" spans="7:7">
      <c r="G219" s="15"/>
    </row>
    <row r="220" spans="7:7">
      <c r="G220" s="15"/>
    </row>
    <row r="221" spans="7:7">
      <c r="G221" s="15"/>
    </row>
    <row r="222" spans="7:7">
      <c r="G222" s="15"/>
    </row>
    <row r="223" spans="7:7">
      <c r="G223" s="15"/>
    </row>
    <row r="224" spans="7:7">
      <c r="G224" s="15"/>
    </row>
    <row r="225" spans="7:7">
      <c r="G225" s="15"/>
    </row>
    <row r="226" spans="7:7">
      <c r="G226" s="15"/>
    </row>
    <row r="227" spans="7:7">
      <c r="G227" s="15"/>
    </row>
    <row r="228" spans="7:7">
      <c r="G228" s="15"/>
    </row>
    <row r="229" spans="7:7">
      <c r="G229" s="15"/>
    </row>
    <row r="230" spans="7:7">
      <c r="G230" s="15"/>
    </row>
    <row r="231" spans="7:7">
      <c r="G231" s="15"/>
    </row>
    <row r="232" spans="7:7">
      <c r="G232" s="15"/>
    </row>
    <row r="233" spans="7:7">
      <c r="G233" s="15"/>
    </row>
    <row r="234" spans="7:7">
      <c r="G234" s="15"/>
    </row>
    <row r="235" spans="7:7">
      <c r="G235" s="15"/>
    </row>
    <row r="236" spans="7:7">
      <c r="G236" s="15"/>
    </row>
    <row r="237" spans="7:7">
      <c r="G237" s="15"/>
    </row>
    <row r="238" spans="7:7">
      <c r="G238" s="15"/>
    </row>
    <row r="239" spans="7:7">
      <c r="G239" s="15"/>
    </row>
    <row r="240" spans="7:7">
      <c r="G240" s="15"/>
    </row>
    <row r="241" spans="7:7">
      <c r="G241" s="15"/>
    </row>
    <row r="242" spans="7:7">
      <c r="G242" s="15"/>
    </row>
    <row r="243" spans="7:7">
      <c r="G243" s="15"/>
    </row>
    <row r="244" spans="7:7">
      <c r="G244" s="15"/>
    </row>
    <row r="245" spans="7:7">
      <c r="G245" s="15"/>
    </row>
  </sheetData>
  <protectedRanges>
    <protectedRange sqref="A1:D6" name="Range1_1"/>
  </protectedRanges>
  <dataConsolidate/>
  <customSheetViews>
    <customSheetView guid="{D354225D-2C82-4417-8BA4-5EFA1D96D332}" topLeftCell="A22">
      <selection activeCell="B48" sqref="B48"/>
      <pageMargins left="0.7" right="0.7" top="0.75" bottom="0.75" header="0.3" footer="0.3"/>
      <pageSetup orientation="portrait" r:id="rId1"/>
    </customSheetView>
    <customSheetView guid="{A8F9189F-30EC-448E-8FA3-1F1B01D22A46}" topLeftCell="A33">
      <selection activeCell="C35" sqref="C35"/>
      <pageMargins left="0.7" right="0.7" top="0.75" bottom="0.75" header="0.3" footer="0.3"/>
      <pageSetup orientation="portrait" r:id="rId2"/>
    </customSheetView>
    <customSheetView guid="{CF42ED2D-1073-4AB2-96F1-563C90B8192E}">
      <selection activeCell="B34" sqref="B34"/>
      <pageMargins left="0.7" right="0.7" top="0.75" bottom="0.75" header="0.3" footer="0.3"/>
      <pageSetup orientation="portrait" r:id="rId3"/>
    </customSheetView>
    <customSheetView guid="{038EA038-5A0E-4BA1-B2F5-E3A3B7AA82FA}" topLeftCell="A4">
      <selection activeCell="H23" sqref="H23"/>
      <pageMargins left="0.7" right="0.7" top="0.75" bottom="0.75" header="0.3" footer="0.3"/>
      <pageSetup orientation="portrait" r:id="rId4"/>
    </customSheetView>
  </customSheetViews>
  <pageMargins left="0.7" right="0.7" top="0.75" bottom="0.75" header="0.3" footer="0.3"/>
  <pageSetup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0"/>
  <sheetViews>
    <sheetView topLeftCell="A31" workbookViewId="0">
      <selection activeCell="C36" sqref="C36:C40"/>
    </sheetView>
  </sheetViews>
  <sheetFormatPr defaultRowHeight="15"/>
  <cols>
    <col min="1" max="1" width="9.7109375" style="13" bestFit="1" customWidth="1"/>
    <col min="2" max="2" width="22.7109375" style="13" customWidth="1"/>
    <col min="3" max="3" width="46.85546875" style="13" customWidth="1"/>
    <col min="4" max="4" width="7.5703125" style="13" bestFit="1" customWidth="1"/>
    <col min="5" max="5" width="8.28515625" style="13" bestFit="1" customWidth="1"/>
    <col min="6" max="6" width="7.85546875" style="13" bestFit="1" customWidth="1"/>
    <col min="7" max="7" width="12.42578125" style="13" bestFit="1" customWidth="1"/>
    <col min="8" max="8" width="10.28515625" style="13" bestFit="1" customWidth="1"/>
    <col min="9" max="9" width="13.7109375" style="13" bestFit="1" customWidth="1"/>
    <col min="10" max="16384" width="9.140625" style="13"/>
  </cols>
  <sheetData>
    <row r="1" spans="1:9" ht="15.75" thickBot="1">
      <c r="A1" s="62" t="s">
        <v>12</v>
      </c>
      <c r="B1" s="63" t="s">
        <v>10</v>
      </c>
      <c r="C1" s="64" t="s">
        <v>16</v>
      </c>
      <c r="D1" s="65" t="s">
        <v>17</v>
      </c>
      <c r="E1" s="63" t="s">
        <v>13</v>
      </c>
      <c r="F1" s="63" t="s">
        <v>18</v>
      </c>
      <c r="G1" s="63" t="s">
        <v>19</v>
      </c>
      <c r="H1" s="63" t="s">
        <v>20</v>
      </c>
      <c r="I1" s="66" t="s">
        <v>21</v>
      </c>
    </row>
    <row r="2" spans="1:9" s="15" customFormat="1" ht="12.75" customHeight="1">
      <c r="A2" s="67" t="s">
        <v>58</v>
      </c>
      <c r="B2" s="68" t="s">
        <v>95</v>
      </c>
      <c r="C2" s="69" t="s">
        <v>903</v>
      </c>
      <c r="D2" s="68">
        <v>0</v>
      </c>
      <c r="E2" s="68" t="s">
        <v>22</v>
      </c>
      <c r="F2" s="68" t="s">
        <v>1130</v>
      </c>
      <c r="G2" s="69" t="s">
        <v>1018</v>
      </c>
      <c r="H2" s="68" t="s">
        <v>23</v>
      </c>
      <c r="I2" s="70" t="s">
        <v>221</v>
      </c>
    </row>
    <row r="3" spans="1:9" s="54" customFormat="1" ht="15.75" thickBot="1">
      <c r="A3" s="71" t="s">
        <v>58</v>
      </c>
      <c r="B3" s="61" t="s">
        <v>837</v>
      </c>
      <c r="C3" s="105" t="s">
        <v>846</v>
      </c>
      <c r="D3" s="61">
        <v>0</v>
      </c>
      <c r="E3" s="61" t="s">
        <v>22</v>
      </c>
      <c r="F3" s="61"/>
      <c r="G3" s="61"/>
      <c r="H3" s="61" t="s">
        <v>23</v>
      </c>
      <c r="I3" s="72" t="s">
        <v>221</v>
      </c>
    </row>
    <row r="4" spans="1:9" ht="15.75" thickBot="1">
      <c r="A4" s="71" t="s">
        <v>58</v>
      </c>
      <c r="B4" s="61" t="s">
        <v>346</v>
      </c>
      <c r="C4" s="90" t="s">
        <v>850</v>
      </c>
      <c r="D4" s="61">
        <v>0</v>
      </c>
      <c r="E4" s="61" t="s">
        <v>22</v>
      </c>
      <c r="F4" s="61"/>
      <c r="G4" s="61"/>
      <c r="H4" s="61" t="s">
        <v>23</v>
      </c>
      <c r="I4" s="72" t="s">
        <v>221</v>
      </c>
    </row>
    <row r="5" spans="1:9">
      <c r="A5" s="71" t="s">
        <v>58</v>
      </c>
      <c r="B5" s="91" t="s">
        <v>851</v>
      </c>
      <c r="C5" s="90" t="s">
        <v>852</v>
      </c>
      <c r="D5" s="61">
        <v>0</v>
      </c>
      <c r="E5" s="61" t="s">
        <v>22</v>
      </c>
      <c r="F5" s="61"/>
      <c r="G5" s="61"/>
      <c r="H5" s="61" t="s">
        <v>23</v>
      </c>
      <c r="I5" s="72" t="s">
        <v>221</v>
      </c>
    </row>
    <row r="6" spans="1:9" ht="15.75" thickBot="1">
      <c r="A6" s="61" t="s">
        <v>58</v>
      </c>
      <c r="B6" s="61" t="s">
        <v>853</v>
      </c>
      <c r="C6" s="92" t="s">
        <v>854</v>
      </c>
      <c r="D6" s="61">
        <v>0</v>
      </c>
      <c r="E6" s="61" t="s">
        <v>22</v>
      </c>
      <c r="F6" s="61"/>
      <c r="G6" s="61"/>
      <c r="H6" s="61" t="s">
        <v>23</v>
      </c>
      <c r="I6" s="61" t="s">
        <v>221</v>
      </c>
    </row>
    <row r="7" spans="1:9">
      <c r="A7" s="107" t="s">
        <v>58</v>
      </c>
      <c r="B7" s="68" t="s">
        <v>925</v>
      </c>
      <c r="C7" s="92" t="s">
        <v>926</v>
      </c>
      <c r="D7" s="107">
        <v>0</v>
      </c>
      <c r="E7" s="107" t="s">
        <v>22</v>
      </c>
      <c r="F7" s="68" t="s">
        <v>1017</v>
      </c>
      <c r="G7" s="69" t="s">
        <v>1018</v>
      </c>
      <c r="H7" s="68" t="s">
        <v>23</v>
      </c>
      <c r="I7" s="70" t="s">
        <v>221</v>
      </c>
    </row>
    <row r="8" spans="1:9">
      <c r="A8" s="71" t="s">
        <v>58</v>
      </c>
      <c r="B8" s="107" t="s">
        <v>927</v>
      </c>
      <c r="C8" s="92" t="s">
        <v>901</v>
      </c>
      <c r="D8" s="107">
        <v>0</v>
      </c>
      <c r="E8" s="107" t="s">
        <v>22</v>
      </c>
      <c r="F8" s="107"/>
      <c r="G8" s="107"/>
      <c r="H8" s="107" t="s">
        <v>23</v>
      </c>
      <c r="I8" s="72" t="s">
        <v>221</v>
      </c>
    </row>
    <row r="9" spans="1:9">
      <c r="A9" s="71" t="s">
        <v>58</v>
      </c>
      <c r="B9" s="107" t="s">
        <v>928</v>
      </c>
      <c r="C9" s="92" t="s">
        <v>931</v>
      </c>
      <c r="D9" s="107">
        <v>0</v>
      </c>
      <c r="E9" s="107" t="s">
        <v>22</v>
      </c>
      <c r="F9" s="107"/>
      <c r="G9" s="107"/>
      <c r="H9" s="107" t="s">
        <v>23</v>
      </c>
      <c r="I9" s="72" t="s">
        <v>221</v>
      </c>
    </row>
    <row r="10" spans="1:9">
      <c r="A10" s="71" t="s">
        <v>58</v>
      </c>
      <c r="B10" s="91" t="s">
        <v>929</v>
      </c>
      <c r="C10" s="92" t="s">
        <v>932</v>
      </c>
      <c r="D10" s="107">
        <v>0</v>
      </c>
      <c r="E10" s="107" t="s">
        <v>22</v>
      </c>
      <c r="F10" s="107"/>
      <c r="G10" s="107"/>
      <c r="H10" s="107" t="s">
        <v>23</v>
      </c>
      <c r="I10" s="72" t="s">
        <v>221</v>
      </c>
    </row>
    <row r="11" spans="1:9" ht="15.75" thickBot="1">
      <c r="A11" s="107" t="s">
        <v>58</v>
      </c>
      <c r="B11" s="107" t="s">
        <v>930</v>
      </c>
      <c r="C11" s="92" t="s">
        <v>933</v>
      </c>
      <c r="D11" s="107">
        <v>0</v>
      </c>
      <c r="E11" s="107" t="s">
        <v>22</v>
      </c>
      <c r="F11" s="107"/>
      <c r="G11" s="107"/>
      <c r="H11" s="107" t="s">
        <v>23</v>
      </c>
      <c r="I11" s="107" t="s">
        <v>221</v>
      </c>
    </row>
    <row r="12" spans="1:9">
      <c r="A12" s="107" t="s">
        <v>58</v>
      </c>
      <c r="B12" s="68" t="s">
        <v>934</v>
      </c>
      <c r="C12" s="92" t="s">
        <v>935</v>
      </c>
      <c r="D12" s="68">
        <v>0</v>
      </c>
      <c r="E12" s="68" t="s">
        <v>22</v>
      </c>
      <c r="F12" s="68" t="s">
        <v>1017</v>
      </c>
      <c r="G12" s="69" t="s">
        <v>1018</v>
      </c>
      <c r="H12" s="68" t="s">
        <v>23</v>
      </c>
      <c r="I12" s="70" t="s">
        <v>221</v>
      </c>
    </row>
    <row r="13" spans="1:9">
      <c r="A13" s="71" t="s">
        <v>58</v>
      </c>
      <c r="B13" s="107" t="s">
        <v>940</v>
      </c>
      <c r="C13" s="92" t="s">
        <v>936</v>
      </c>
      <c r="D13" s="107">
        <v>0</v>
      </c>
      <c r="E13" s="107" t="s">
        <v>22</v>
      </c>
      <c r="F13" s="107"/>
      <c r="G13" s="107"/>
      <c r="H13" s="107" t="s">
        <v>23</v>
      </c>
      <c r="I13" s="72" t="s">
        <v>221</v>
      </c>
    </row>
    <row r="14" spans="1:9">
      <c r="A14" s="71" t="s">
        <v>58</v>
      </c>
      <c r="B14" s="107" t="s">
        <v>941</v>
      </c>
      <c r="C14" s="92" t="s">
        <v>937</v>
      </c>
      <c r="D14" s="107">
        <v>0</v>
      </c>
      <c r="E14" s="107" t="s">
        <v>22</v>
      </c>
      <c r="F14" s="107"/>
      <c r="G14" s="107"/>
      <c r="H14" s="107" t="s">
        <v>23</v>
      </c>
      <c r="I14" s="72" t="s">
        <v>221</v>
      </c>
    </row>
    <row r="15" spans="1:9">
      <c r="A15" s="71" t="s">
        <v>58</v>
      </c>
      <c r="B15" s="91" t="s">
        <v>942</v>
      </c>
      <c r="C15" s="92" t="s">
        <v>939</v>
      </c>
      <c r="D15" s="107">
        <v>0</v>
      </c>
      <c r="E15" s="107" t="s">
        <v>22</v>
      </c>
      <c r="F15" s="107"/>
      <c r="G15" s="107"/>
      <c r="H15" s="107" t="s">
        <v>23</v>
      </c>
      <c r="I15" s="72" t="s">
        <v>221</v>
      </c>
    </row>
    <row r="16" spans="1:9">
      <c r="A16" s="107" t="s">
        <v>58</v>
      </c>
      <c r="B16" s="107" t="s">
        <v>943</v>
      </c>
      <c r="C16" s="92" t="s">
        <v>938</v>
      </c>
      <c r="D16" s="107">
        <v>0</v>
      </c>
      <c r="E16" s="107" t="s">
        <v>22</v>
      </c>
      <c r="F16" s="107"/>
      <c r="G16" s="107"/>
      <c r="H16" s="107" t="s">
        <v>23</v>
      </c>
      <c r="I16" s="107" t="s">
        <v>221</v>
      </c>
    </row>
    <row r="17" spans="1:9" s="54" customFormat="1">
      <c r="A17" s="107" t="s">
        <v>58</v>
      </c>
      <c r="B17" s="107" t="s">
        <v>974</v>
      </c>
      <c r="C17" s="92" t="s">
        <v>976</v>
      </c>
      <c r="D17" s="107">
        <v>0</v>
      </c>
      <c r="E17" s="107" t="s">
        <v>22</v>
      </c>
      <c r="F17" s="107"/>
      <c r="G17" s="107"/>
      <c r="H17" s="107" t="s">
        <v>23</v>
      </c>
      <c r="I17" s="107" t="s">
        <v>221</v>
      </c>
    </row>
    <row r="18" spans="1:9" s="54" customFormat="1" ht="15.75" thickBot="1">
      <c r="A18" s="107" t="s">
        <v>58</v>
      </c>
      <c r="B18" s="107" t="s">
        <v>975</v>
      </c>
      <c r="C18" s="92" t="s">
        <v>977</v>
      </c>
      <c r="D18" s="107">
        <v>0</v>
      </c>
      <c r="E18" s="107" t="s">
        <v>22</v>
      </c>
      <c r="F18" s="107"/>
      <c r="G18" s="107"/>
      <c r="H18" s="107" t="s">
        <v>23</v>
      </c>
      <c r="I18" s="107" t="s">
        <v>221</v>
      </c>
    </row>
    <row r="19" spans="1:9" s="54" customFormat="1">
      <c r="A19" s="107" t="s">
        <v>58</v>
      </c>
      <c r="B19" s="107" t="s">
        <v>983</v>
      </c>
      <c r="C19" s="92" t="s">
        <v>1015</v>
      </c>
      <c r="D19" s="107">
        <v>0</v>
      </c>
      <c r="E19" s="107" t="s">
        <v>22</v>
      </c>
      <c r="F19" s="68" t="s">
        <v>1017</v>
      </c>
      <c r="G19" s="69" t="s">
        <v>1018</v>
      </c>
      <c r="H19" s="107" t="s">
        <v>23</v>
      </c>
      <c r="I19" s="107" t="s">
        <v>221</v>
      </c>
    </row>
    <row r="20" spans="1:9">
      <c r="A20" s="111" t="s">
        <v>58</v>
      </c>
      <c r="B20" s="111" t="s">
        <v>989</v>
      </c>
      <c r="C20" s="112" t="s">
        <v>990</v>
      </c>
      <c r="D20" s="111">
        <v>0</v>
      </c>
      <c r="E20" s="111" t="s">
        <v>22</v>
      </c>
      <c r="F20" s="107"/>
      <c r="G20" s="107"/>
      <c r="H20" s="111" t="s">
        <v>23</v>
      </c>
      <c r="I20" s="111" t="s">
        <v>221</v>
      </c>
    </row>
    <row r="21" spans="1:9">
      <c r="A21" s="107" t="s">
        <v>58</v>
      </c>
      <c r="B21" s="107" t="s">
        <v>1025</v>
      </c>
      <c r="C21" s="92" t="s">
        <v>1021</v>
      </c>
      <c r="D21" s="107">
        <v>0</v>
      </c>
      <c r="E21" s="107" t="s">
        <v>22</v>
      </c>
      <c r="F21" s="107"/>
      <c r="G21" s="107"/>
      <c r="H21" s="107" t="s">
        <v>23</v>
      </c>
      <c r="I21" s="107" t="s">
        <v>221</v>
      </c>
    </row>
    <row r="22" spans="1:9">
      <c r="A22" s="107" t="s">
        <v>58</v>
      </c>
      <c r="B22" s="107" t="s">
        <v>1026</v>
      </c>
      <c r="C22" s="92" t="s">
        <v>1022</v>
      </c>
      <c r="D22" s="107">
        <v>0</v>
      </c>
      <c r="E22" s="107" t="s">
        <v>22</v>
      </c>
      <c r="F22" s="107"/>
      <c r="G22" s="107"/>
      <c r="H22" s="107" t="s">
        <v>23</v>
      </c>
      <c r="I22" s="107" t="s">
        <v>221</v>
      </c>
    </row>
    <row r="23" spans="1:9">
      <c r="A23" s="107" t="s">
        <v>58</v>
      </c>
      <c r="B23" s="107" t="s">
        <v>1027</v>
      </c>
      <c r="C23" s="92" t="s">
        <v>1023</v>
      </c>
      <c r="D23" s="107">
        <v>0</v>
      </c>
      <c r="E23" s="107" t="s">
        <v>22</v>
      </c>
      <c r="F23" s="107"/>
      <c r="G23" s="107"/>
      <c r="H23" s="107" t="s">
        <v>23</v>
      </c>
      <c r="I23" s="107" t="s">
        <v>221</v>
      </c>
    </row>
    <row r="24" spans="1:9">
      <c r="A24" s="107" t="s">
        <v>58</v>
      </c>
      <c r="B24" s="107" t="s">
        <v>1028</v>
      </c>
      <c r="C24" s="92" t="s">
        <v>1024</v>
      </c>
      <c r="D24" s="107">
        <v>0</v>
      </c>
      <c r="E24" s="107" t="s">
        <v>22</v>
      </c>
      <c r="F24" s="107"/>
      <c r="G24" s="107"/>
      <c r="H24" s="107" t="s">
        <v>23</v>
      </c>
      <c r="I24" s="107" t="s">
        <v>221</v>
      </c>
    </row>
    <row r="25" spans="1:9">
      <c r="A25" s="107" t="s">
        <v>58</v>
      </c>
      <c r="B25" s="107" t="s">
        <v>1191</v>
      </c>
      <c r="C25" s="92" t="s">
        <v>1193</v>
      </c>
      <c r="D25" s="107">
        <v>0</v>
      </c>
      <c r="E25" s="107" t="s">
        <v>22</v>
      </c>
      <c r="F25" s="107" t="s">
        <v>1190</v>
      </c>
      <c r="G25" s="107" t="s">
        <v>1018</v>
      </c>
      <c r="H25" s="107" t="s">
        <v>23</v>
      </c>
      <c r="I25" s="107" t="s">
        <v>221</v>
      </c>
    </row>
    <row r="26" spans="1:9" ht="30">
      <c r="C26" s="98" t="s">
        <v>1041</v>
      </c>
    </row>
    <row r="27" spans="1:9" ht="30">
      <c r="C27" s="55" t="s">
        <v>1042</v>
      </c>
    </row>
    <row r="28" spans="1:9" ht="30">
      <c r="C28" s="98" t="s">
        <v>1043</v>
      </c>
    </row>
    <row r="29" spans="1:9" ht="30">
      <c r="C29" s="98" t="s">
        <v>1040</v>
      </c>
    </row>
    <row r="30" spans="1:9" ht="30">
      <c r="C30" s="55" t="s">
        <v>1052</v>
      </c>
    </row>
    <row r="31" spans="1:9" ht="30">
      <c r="C31" s="98" t="s">
        <v>1033</v>
      </c>
    </row>
    <row r="32" spans="1:9" ht="30">
      <c r="C32" s="98" t="s">
        <v>1080</v>
      </c>
    </row>
    <row r="33" spans="3:3" ht="30">
      <c r="C33" s="98" t="s">
        <v>1082</v>
      </c>
    </row>
    <row r="34" spans="3:3" ht="30">
      <c r="C34" s="98" t="s">
        <v>1081</v>
      </c>
    </row>
    <row r="35" spans="3:3" ht="30">
      <c r="C35" s="98" t="s">
        <v>1083</v>
      </c>
    </row>
    <row r="36" spans="3:3" ht="30">
      <c r="C36" s="98" t="s">
        <v>1087</v>
      </c>
    </row>
    <row r="37" spans="3:3" ht="30">
      <c r="C37" s="98" t="s">
        <v>1089</v>
      </c>
    </row>
    <row r="38" spans="3:3" ht="30">
      <c r="C38" s="98" t="s">
        <v>1090</v>
      </c>
    </row>
    <row r="39" spans="3:3" ht="30">
      <c r="C39" s="98" t="s">
        <v>1088</v>
      </c>
    </row>
    <row r="40" spans="3:3" ht="30">
      <c r="C40" s="98" t="s">
        <v>1091</v>
      </c>
    </row>
  </sheetData>
  <dataConsolidate/>
  <customSheetViews>
    <customSheetView guid="{D354225D-2C82-4417-8BA4-5EFA1D96D332}">
      <selection activeCell="C26" sqref="C26"/>
      <pageMargins left="0.7" right="0.7" top="0.75" bottom="0.75" header="0.3" footer="0.3"/>
      <pageSetup paperSize="157" orientation="portrait" horizontalDpi="203" verticalDpi="203" r:id="rId1"/>
    </customSheetView>
    <customSheetView guid="{A8F9189F-30EC-448E-8FA3-1F1B01D22A46}">
      <selection activeCell="C21" sqref="C21"/>
      <pageMargins left="0.7" right="0.7" top="0.75" bottom="0.75" header="0.3" footer="0.3"/>
      <pageSetup paperSize="157" orientation="portrait" horizontalDpi="203" verticalDpi="203" r:id="rId2"/>
    </customSheetView>
    <customSheetView guid="{CF42ED2D-1073-4AB2-96F1-563C90B8192E}">
      <selection activeCell="E21" sqref="E21"/>
      <pageMargins left="0.7" right="0.7" top="0.75" bottom="0.75" header="0.3" footer="0.3"/>
      <pageSetup paperSize="157" orientation="portrait" horizontalDpi="203" verticalDpi="203" r:id="rId3"/>
    </customSheetView>
    <customSheetView guid="{038EA038-5A0E-4BA1-B2F5-E3A3B7AA82FA}">
      <selection activeCell="C19" sqref="C19"/>
      <pageMargins left="0.7" right="0.7" top="0.75" bottom="0.75" header="0.3" footer="0.3"/>
      <pageSetup paperSize="157" orientation="portrait" horizontalDpi="203" verticalDpi="203" r:id="rId4"/>
    </customSheetView>
  </customSheetViews>
  <hyperlinks>
    <hyperlink ref="G2" r:id="rId5" display="Password@12345"/>
    <hyperlink ref="C5" r:id="rId6"/>
    <hyperlink ref="C6" r:id="rId7"/>
    <hyperlink ref="C2" r:id="rId8"/>
    <hyperlink ref="C7" r:id="rId9"/>
    <hyperlink ref="C8" r:id="rId10"/>
    <hyperlink ref="C9" r:id="rId11"/>
    <hyperlink ref="C11" r:id="rId12"/>
    <hyperlink ref="C12" r:id="rId13"/>
    <hyperlink ref="C13" r:id="rId14"/>
    <hyperlink ref="C16" r:id="rId15"/>
    <hyperlink ref="C14" r:id="rId16"/>
    <hyperlink ref="C15" r:id="rId17"/>
    <hyperlink ref="C3" r:id="rId18"/>
    <hyperlink ref="C17" r:id="rId19"/>
    <hyperlink ref="C18" r:id="rId20"/>
    <hyperlink ref="C20" r:id="rId21"/>
    <hyperlink ref="G7" r:id="rId22" display="Password@12345"/>
    <hyperlink ref="G12" r:id="rId23" display="Password@12345"/>
    <hyperlink ref="G19" r:id="rId24" display="Password@12345"/>
    <hyperlink ref="C21" r:id="rId25"/>
    <hyperlink ref="C22" r:id="rId26"/>
    <hyperlink ref="C23" r:id="rId27"/>
    <hyperlink ref="C24" r:id="rId28"/>
    <hyperlink ref="C25" r:id="rId29"/>
  </hyperlinks>
  <pageMargins left="0.7" right="0.7" top="0.75" bottom="0.75" header="0.3" footer="0.3"/>
  <pageSetup paperSize="157" orientation="portrait" horizontalDpi="203" verticalDpi="203" r:id="rId3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N71"/>
  <sheetViews>
    <sheetView tabSelected="1" zoomScaleNormal="100" workbookViewId="0">
      <pane xSplit="1" topLeftCell="D1" activePane="topRight" state="frozen"/>
      <selection pane="topRight" activeCell="F8" sqref="F8"/>
    </sheetView>
  </sheetViews>
  <sheetFormatPr defaultRowHeight="15"/>
  <cols>
    <col min="1" max="1" width="62.85546875" style="28" customWidth="1"/>
    <col min="2" max="2" width="9" style="29" customWidth="1"/>
    <col min="3" max="3" width="60.7109375" style="30" customWidth="1"/>
    <col min="4" max="4" width="13.5703125" style="18" customWidth="1"/>
    <col min="5" max="5" width="12.7109375" style="18" customWidth="1"/>
    <col min="6" max="6" width="14.140625" style="31" customWidth="1"/>
    <col min="7" max="7" width="14.28515625" style="31" customWidth="1"/>
    <col min="8" max="8" width="9.140625" style="18" customWidth="1"/>
    <col min="9" max="9" width="14.28515625" style="18" customWidth="1"/>
    <col min="10" max="10" width="15.140625" style="18" customWidth="1"/>
    <col min="11" max="11" width="14.85546875" style="18" customWidth="1"/>
    <col min="12" max="12" width="11.42578125" style="18" customWidth="1"/>
    <col min="13" max="13" width="16.7109375" style="18" customWidth="1"/>
    <col min="14" max="14" width="4" style="18" customWidth="1"/>
    <col min="15" max="15" width="14.7109375" style="18" customWidth="1"/>
    <col min="16" max="16" width="11.28515625" style="18" customWidth="1"/>
    <col min="17" max="17" width="16.28515625" style="18" customWidth="1"/>
    <col min="18" max="18" width="14.85546875" style="18" customWidth="1"/>
    <col min="19" max="19" width="18" style="18" customWidth="1"/>
    <col min="20" max="20" width="17.42578125" style="18" customWidth="1"/>
    <col min="21" max="21" width="23" style="18" customWidth="1"/>
    <col min="22" max="22" width="15.28515625" style="18" customWidth="1"/>
    <col min="23" max="23" width="20.85546875" style="18" customWidth="1"/>
    <col min="24" max="24" width="22.42578125" style="18" customWidth="1"/>
    <col min="25" max="25" width="8" style="18" customWidth="1"/>
    <col min="26" max="26" width="7.42578125" style="18" customWidth="1"/>
    <col min="27" max="27" width="12.7109375" style="18" customWidth="1"/>
    <col min="28" max="28" width="35.85546875" style="18" customWidth="1"/>
    <col min="29" max="29" width="32.85546875" style="18" customWidth="1"/>
    <col min="30" max="30" width="38.42578125" style="18" customWidth="1"/>
    <col min="31" max="31" width="39.7109375" style="18" customWidth="1"/>
    <col min="32" max="32" width="15.85546875" style="18" customWidth="1"/>
    <col min="33" max="33" width="34.140625" style="18" customWidth="1"/>
    <col min="34" max="34" width="31.140625" style="18" customWidth="1"/>
    <col min="35" max="35" width="36.5703125" style="18" customWidth="1"/>
    <col min="36" max="36" width="17" style="18" customWidth="1"/>
    <col min="37" max="37" width="20.140625" style="18" customWidth="1"/>
    <col min="38" max="38" width="11.5703125" style="18" customWidth="1"/>
    <col min="39" max="39" width="11.85546875" style="18" customWidth="1"/>
    <col min="40" max="40" width="9.85546875" style="18" customWidth="1"/>
    <col min="41" max="41" width="6" style="18" customWidth="1"/>
    <col min="42" max="42" width="11" style="18" customWidth="1"/>
    <col min="43" max="43" width="9.7109375" style="18" customWidth="1"/>
    <col min="44" max="44" width="10.85546875" style="18" customWidth="1"/>
    <col min="45" max="45" width="10.28515625" style="18" customWidth="1"/>
    <col min="46" max="46" width="11.7109375" style="18" customWidth="1"/>
    <col min="47" max="47" width="14.85546875" style="18" customWidth="1"/>
    <col min="48" max="48" width="13.5703125" style="18" customWidth="1"/>
    <col min="49" max="49" width="9.5703125" style="80" customWidth="1"/>
    <col min="50" max="50" width="5.140625" style="18" customWidth="1"/>
    <col min="51" max="51" width="8.85546875" style="18" customWidth="1"/>
    <col min="52" max="52" width="9.28515625" style="18" customWidth="1"/>
    <col min="53" max="53" width="9.5703125" style="18" customWidth="1"/>
    <col min="54" max="54" width="14" style="18" customWidth="1"/>
    <col min="55" max="55" width="13.42578125" style="18" customWidth="1"/>
    <col min="56" max="56" width="19" style="18" customWidth="1"/>
    <col min="57" max="57" width="11.28515625" style="18" customWidth="1"/>
    <col min="58" max="58" width="10.7109375" style="18" customWidth="1"/>
    <col min="59" max="59" width="8" style="18" customWidth="1"/>
    <col min="60" max="60" width="15.7109375" style="18" customWidth="1"/>
    <col min="61" max="61" width="11.7109375" style="18" customWidth="1"/>
    <col min="62" max="62" width="12.140625" style="18" customWidth="1"/>
    <col min="63" max="63" width="11.28515625" style="18" customWidth="1"/>
    <col min="64" max="64" width="15.140625" style="18" customWidth="1"/>
    <col min="65" max="65" width="9.140625" style="18" customWidth="1"/>
    <col min="66" max="66" width="11.5703125" style="18" customWidth="1"/>
    <col min="67" max="67" width="10.7109375" style="18" customWidth="1"/>
    <col min="68" max="68" width="13.42578125" style="18" customWidth="1"/>
    <col min="69" max="69" width="9.42578125" style="18" customWidth="1"/>
    <col min="70" max="70" width="11.7109375" style="18" customWidth="1"/>
    <col min="71" max="71" width="11.85546875" style="18" customWidth="1"/>
    <col min="72" max="72" width="24.5703125" style="18" customWidth="1"/>
    <col min="73" max="73" width="25.5703125" style="18" customWidth="1"/>
    <col min="74" max="74" width="11.140625" style="18" customWidth="1"/>
    <col min="75" max="75" width="9.42578125" style="18" customWidth="1"/>
    <col min="76" max="76" width="22.7109375" style="18" customWidth="1"/>
    <col min="77" max="77" width="12.140625" style="18" customWidth="1"/>
    <col min="78" max="78" width="17.140625" style="18" customWidth="1"/>
    <col min="79" max="79" width="19.140625" style="18" customWidth="1"/>
    <col min="80" max="80" width="16.7109375" style="18" customWidth="1"/>
    <col min="81" max="81" width="16.28515625" style="18" customWidth="1"/>
    <col min="82" max="82" width="15.42578125" style="18" customWidth="1"/>
    <col min="83" max="83" width="17.28515625" style="18" customWidth="1"/>
    <col min="84" max="84" width="20" style="18" customWidth="1"/>
    <col min="85" max="85" width="26.5703125" style="18" customWidth="1"/>
    <col min="86" max="86" width="16.7109375" style="18" customWidth="1"/>
    <col min="87" max="87" width="15" style="18" customWidth="1"/>
    <col min="88" max="88" width="21" style="18" customWidth="1"/>
    <col min="89" max="89" width="18" style="18" customWidth="1"/>
    <col min="90" max="90" width="24.42578125" style="18" customWidth="1"/>
    <col min="91" max="91" width="19.28515625" style="18" customWidth="1"/>
    <col min="92" max="92" width="18.42578125" style="18" customWidth="1"/>
    <col min="93" max="93" width="20.140625" style="18" customWidth="1"/>
    <col min="94" max="94" width="12.7109375" style="18" customWidth="1"/>
    <col min="95" max="95" width="21.28515625" style="18" customWidth="1"/>
    <col min="96" max="96" width="25.42578125" style="18" customWidth="1"/>
    <col min="97" max="97" width="11.7109375" style="18" customWidth="1"/>
    <col min="98" max="98" width="13" style="18" customWidth="1"/>
    <col min="99" max="99" width="11" style="18" customWidth="1"/>
    <col min="100" max="100" width="17.140625" style="18" customWidth="1"/>
    <col min="101" max="101" width="20" style="18" customWidth="1"/>
    <col min="102" max="102" width="21.7109375" style="18" customWidth="1"/>
    <col min="103" max="103" width="21.42578125" style="18" customWidth="1"/>
    <col min="104" max="104" width="20.140625" style="18" customWidth="1"/>
    <col min="105" max="105" width="21.42578125" style="18" customWidth="1"/>
    <col min="106" max="106" width="22.28515625" style="18" customWidth="1"/>
    <col min="107" max="107" width="26.5703125" style="18" customWidth="1"/>
    <col min="108" max="108" width="20.5703125" style="18" customWidth="1"/>
    <col min="109" max="109" width="27" style="18" customWidth="1"/>
    <col min="110" max="111" width="28.28515625" style="18" customWidth="1"/>
    <col min="112" max="112" width="23.85546875" style="18" customWidth="1"/>
    <col min="113" max="113" width="26.5703125" style="18" customWidth="1"/>
    <col min="114" max="114" width="29.85546875" style="18" customWidth="1"/>
    <col min="115" max="115" width="17.5703125" style="18" customWidth="1"/>
    <col min="116" max="116" width="13.28515625" style="18" customWidth="1"/>
    <col min="117" max="117" width="18.140625" style="18" customWidth="1"/>
    <col min="118" max="118" width="17.85546875" style="18" customWidth="1"/>
    <col min="119" max="119" width="12" style="18" customWidth="1"/>
    <col min="120" max="120" width="14" style="18" customWidth="1"/>
    <col min="121" max="121" width="12.7109375" style="18" customWidth="1"/>
    <col min="122" max="122" width="26.42578125" style="18" customWidth="1"/>
    <col min="123" max="123" width="22.28515625" style="18" customWidth="1"/>
    <col min="124" max="124" width="11.5703125" style="18" customWidth="1"/>
    <col min="125" max="125" width="23.5703125" style="18" customWidth="1"/>
    <col min="126" max="126" width="11.42578125" style="18" customWidth="1"/>
    <col min="127" max="127" width="9.7109375" style="18" customWidth="1"/>
    <col min="128" max="128" width="18.140625" style="18" customWidth="1"/>
    <col min="129" max="129" width="12.28515625" style="18" customWidth="1"/>
    <col min="130" max="130" width="9.85546875" style="18" customWidth="1"/>
    <col min="131" max="131" width="24.140625" style="18" customWidth="1"/>
    <col min="132" max="132" width="22.7109375" style="18" customWidth="1"/>
    <col min="133" max="133" width="26.28515625" style="18" customWidth="1"/>
    <col min="134" max="134" width="20.5703125" style="18" customWidth="1"/>
    <col min="135" max="135" width="22" style="18" customWidth="1"/>
    <col min="136" max="136" width="19.140625" style="18" customWidth="1"/>
    <col min="137" max="137" width="9.28515625" style="18" customWidth="1"/>
    <col min="138" max="138" width="10.28515625" style="18" customWidth="1"/>
    <col min="139" max="139" width="6.42578125" style="18" customWidth="1"/>
    <col min="140" max="140" width="10.7109375" style="18" customWidth="1"/>
    <col min="141" max="141" width="8.7109375" style="18" customWidth="1"/>
    <col min="142" max="142" width="9.28515625" style="18" customWidth="1"/>
    <col min="143" max="143" width="6.140625" style="18" customWidth="1"/>
    <col min="144" max="144" width="8.42578125" style="18" customWidth="1"/>
    <col min="145" max="145" width="15.28515625" style="18" customWidth="1"/>
    <col min="146" max="146" width="17.85546875" style="18" customWidth="1"/>
    <col min="147" max="147" width="16" style="18" customWidth="1"/>
    <col min="148" max="148" width="16.140625" style="18" customWidth="1"/>
    <col min="149" max="149" width="18.7109375" style="18" customWidth="1"/>
    <col min="150" max="150" width="16.85546875" style="18" customWidth="1"/>
    <col min="151" max="151" width="16.7109375" style="18" customWidth="1"/>
    <col min="152" max="152" width="17.28515625" style="18" customWidth="1"/>
    <col min="153" max="153" width="19.28515625" style="18" customWidth="1"/>
    <col min="154" max="154" width="10.28515625" style="18" customWidth="1"/>
    <col min="155" max="155" width="11" style="18" customWidth="1"/>
    <col min="156" max="156" width="20.7109375" style="18" customWidth="1"/>
    <col min="157" max="157" width="19" style="18" customWidth="1"/>
    <col min="158" max="158" width="11.140625" style="18" customWidth="1"/>
    <col min="159" max="159" width="12.42578125" style="18" customWidth="1"/>
    <col min="160" max="160" width="4.5703125" style="18" customWidth="1"/>
    <col min="161" max="161" width="10.140625" style="18" customWidth="1"/>
    <col min="162" max="162" width="4.5703125" style="18" customWidth="1"/>
    <col min="163" max="163" width="11.7109375" style="18" customWidth="1"/>
    <col min="164" max="164" width="8.5703125" style="18" customWidth="1"/>
    <col min="165" max="165" width="8.85546875" style="18" customWidth="1"/>
    <col min="166" max="166" width="6.5703125" style="18" customWidth="1"/>
    <col min="167" max="167" width="12.42578125" style="18" customWidth="1"/>
    <col min="168" max="168" width="11.42578125" style="18" customWidth="1"/>
    <col min="169" max="169" width="15" style="18" customWidth="1"/>
    <col min="170" max="170" width="17.140625" style="18" customWidth="1"/>
    <col min="171" max="171" width="18.42578125" style="18" customWidth="1"/>
    <col min="172" max="172" width="15" style="18" customWidth="1"/>
    <col min="173" max="174" width="15.42578125" style="18" customWidth="1"/>
    <col min="175" max="175" width="14.28515625" style="18" customWidth="1"/>
    <col min="176" max="176" width="15.42578125" style="18" customWidth="1"/>
    <col min="177" max="177" width="13.5703125" style="18" customWidth="1"/>
    <col min="178" max="178" width="18" style="18" customWidth="1"/>
    <col min="179" max="179" width="19.28515625" style="18" customWidth="1"/>
    <col min="180" max="180" width="15.140625" style="18" customWidth="1"/>
    <col min="181" max="181" width="17.28515625" style="18" customWidth="1"/>
    <col min="182" max="182" width="15" style="18" customWidth="1"/>
    <col min="183" max="183" width="14.85546875" style="18" customWidth="1"/>
    <col min="184" max="184" width="17.140625" style="18" customWidth="1"/>
    <col min="185" max="185" width="18" style="18" customWidth="1"/>
    <col min="186" max="186" width="13.85546875" style="18" customWidth="1"/>
    <col min="187" max="187" width="15.5703125" style="18" customWidth="1"/>
    <col min="188" max="188" width="22.42578125" style="18" customWidth="1"/>
    <col min="189" max="189" width="21.5703125" style="18" customWidth="1"/>
    <col min="190" max="190" width="22.42578125" style="18" customWidth="1"/>
    <col min="191" max="191" width="18.28515625" style="18" customWidth="1"/>
    <col min="192" max="192" width="19.28515625" style="18" customWidth="1"/>
    <col min="193" max="193" width="21.28515625" style="18" customWidth="1"/>
    <col min="194" max="194" width="9" customWidth="1"/>
    <col min="195" max="195" width="21" style="18" customWidth="1"/>
    <col min="196" max="196" width="14.28515625" style="18" customWidth="1"/>
    <col min="197" max="197" width="15.28515625" style="18" customWidth="1"/>
    <col min="198" max="198" width="13.140625" style="18" customWidth="1"/>
    <col min="199" max="199" width="17.140625" style="18" customWidth="1"/>
    <col min="200" max="200" width="19.140625" style="18" customWidth="1"/>
    <col min="201" max="201" width="16.5703125" style="18" customWidth="1"/>
    <col min="202" max="202" width="17.42578125" style="18" customWidth="1"/>
    <col min="203" max="203" width="17.85546875" style="18" customWidth="1"/>
    <col min="204" max="204" width="15.28515625" style="18" customWidth="1"/>
    <col min="205" max="205" width="16" style="18" customWidth="1"/>
    <col min="206" max="206" width="14.5703125" style="18" customWidth="1"/>
    <col min="207" max="207" width="17.85546875" style="18" customWidth="1"/>
    <col min="208" max="208" width="19.42578125" style="18" customWidth="1"/>
    <col min="209" max="209" width="8.5703125" style="18" customWidth="1"/>
    <col min="210" max="210" width="11" style="18" customWidth="1"/>
    <col min="211" max="211" width="10.7109375" style="18" customWidth="1"/>
    <col min="212" max="212" width="13.85546875" style="18" customWidth="1"/>
    <col min="213" max="213" width="17.5703125" style="18" customWidth="1"/>
    <col min="214" max="214" width="8.140625" style="18" customWidth="1"/>
    <col min="215" max="215" width="10.5703125" style="18" customWidth="1"/>
    <col min="216" max="216" width="14" style="18" customWidth="1"/>
    <col min="217" max="217" width="13.7109375" style="18" customWidth="1"/>
    <col min="218" max="218" width="12.28515625" style="18" customWidth="1"/>
    <col min="219" max="219" width="10" style="18" customWidth="1"/>
    <col min="220" max="220" width="6.5703125" style="18" customWidth="1"/>
    <col min="221" max="221" width="14.7109375" style="18" customWidth="1"/>
    <col min="222" max="222" width="14.28515625" style="18" customWidth="1"/>
    <col min="223" max="223" width="13.42578125" style="18" customWidth="1"/>
    <col min="224" max="224" width="15.140625" style="18" customWidth="1"/>
    <col min="225" max="225" width="17.28515625" style="18" customWidth="1"/>
    <col min="226" max="226" width="16.28515625" style="18" customWidth="1"/>
    <col min="227" max="227" width="18.140625" style="18" customWidth="1"/>
    <col min="228" max="228" width="10.85546875" style="18" customWidth="1"/>
    <col min="229" max="229" width="19.28515625" style="18" customWidth="1"/>
    <col min="230" max="230" width="20.140625" style="18" customWidth="1"/>
    <col min="231" max="231" width="10.85546875" style="18" customWidth="1"/>
    <col min="232" max="232" width="21.42578125" style="18" customWidth="1"/>
    <col min="233" max="233" width="16.85546875" style="18" customWidth="1"/>
    <col min="234" max="234" width="20.7109375" style="18" customWidth="1"/>
    <col min="235" max="235" width="25.5703125" style="18" customWidth="1"/>
    <col min="236" max="236" width="18.7109375" style="18" customWidth="1"/>
    <col min="237" max="237" width="7.28515625" style="18" customWidth="1"/>
    <col min="238" max="238" width="19.28515625" style="18" customWidth="1"/>
    <col min="239" max="240" width="17.28515625" style="18" customWidth="1"/>
    <col min="241" max="241" width="19.140625" style="18" customWidth="1"/>
    <col min="242" max="242" width="27" style="18" customWidth="1"/>
    <col min="243" max="243" width="13.5703125" style="18" customWidth="1"/>
    <col min="244" max="244" width="15" style="18" customWidth="1"/>
    <col min="245" max="245" width="18.140625" style="18" customWidth="1"/>
    <col min="246" max="246" width="17.5703125" style="18" customWidth="1"/>
    <col min="247" max="247" width="23.140625" style="18" customWidth="1"/>
    <col min="248" max="248" width="15.42578125" style="18" customWidth="1"/>
    <col min="249" max="249" width="21" style="18" customWidth="1"/>
    <col min="250" max="250" width="22.5703125" style="18" customWidth="1"/>
    <col min="251" max="251" width="17.42578125" style="18" customWidth="1"/>
    <col min="252" max="252" width="12.140625" style="18" customWidth="1"/>
    <col min="253" max="253" width="10.85546875" style="18" customWidth="1"/>
    <col min="254" max="254" width="12.28515625" style="18" customWidth="1"/>
    <col min="255" max="255" width="19.42578125" style="18" customWidth="1"/>
    <col min="256" max="256" width="20.5703125" style="18" customWidth="1"/>
    <col min="257" max="257" width="22.7109375" style="18" customWidth="1"/>
    <col min="258" max="258" width="22.42578125" style="18" customWidth="1"/>
    <col min="259" max="259" width="18.7109375" style="18" customWidth="1"/>
    <col min="260" max="260" width="19" style="18" customWidth="1"/>
    <col min="261" max="261" width="10.140625" style="18" customWidth="1"/>
    <col min="262" max="262" width="15" style="18" customWidth="1"/>
    <col min="263" max="263" width="17.140625" style="18" customWidth="1"/>
    <col min="264" max="264" width="14.7109375" style="18" customWidth="1"/>
    <col min="265" max="265" width="15" style="18" customWidth="1"/>
    <col min="266" max="266" width="17.5703125" style="18" customWidth="1"/>
    <col min="267" max="267" width="15.7109375" style="18" customWidth="1"/>
    <col min="268" max="268" width="13" style="18" customWidth="1"/>
    <col min="269" max="269" width="19" style="18" customWidth="1"/>
    <col min="270" max="270" width="24.7109375" style="18" customWidth="1"/>
    <col min="271" max="271" width="15.85546875" style="18" customWidth="1"/>
    <col min="272" max="272" width="22.42578125" style="18" customWidth="1"/>
    <col min="273" max="273" width="18" style="18" customWidth="1"/>
    <col min="274" max="274" width="20.42578125" style="18" customWidth="1"/>
    <col min="275" max="275" width="18.7109375" style="18" customWidth="1"/>
    <col min="276" max="276" width="24.5703125" style="18" customWidth="1"/>
    <col min="277" max="277" width="15.5703125" style="18" customWidth="1"/>
    <col min="278" max="278" width="17.5703125" style="18" customWidth="1"/>
    <col min="279" max="279" width="18.28515625" style="18" customWidth="1"/>
    <col min="280" max="280" width="24.7109375" style="18" customWidth="1"/>
    <col min="281" max="281" width="19.140625" style="18" customWidth="1"/>
    <col min="282" max="282" width="13.42578125" style="18" customWidth="1"/>
    <col min="283" max="283" width="9.7109375" style="18" customWidth="1"/>
    <col min="284" max="284" width="9" style="18" customWidth="1"/>
    <col min="285" max="285" width="12.5703125" style="18" customWidth="1"/>
    <col min="286" max="286" width="15" style="18" customWidth="1"/>
    <col min="287" max="287" width="18" style="18" customWidth="1"/>
    <col min="288" max="288" width="19.5703125" style="18" customWidth="1"/>
    <col min="289" max="289" width="19.28515625" style="18" customWidth="1"/>
    <col min="290" max="290" width="18.140625" style="18" customWidth="1"/>
    <col min="291" max="291" width="22.5703125" style="18" customWidth="1"/>
    <col min="292" max="292" width="20.7109375" style="18" customWidth="1"/>
    <col min="293" max="293" width="20.28515625" style="18" customWidth="1"/>
    <col min="294" max="294" width="24.85546875" style="18" customWidth="1"/>
    <col min="295" max="295" width="19" style="18" customWidth="1"/>
    <col min="296" max="296" width="16.28515625" style="18" customWidth="1"/>
    <col min="297" max="297" width="21.28515625" style="18" customWidth="1"/>
    <col min="298" max="298" width="20.5703125" style="18" customWidth="1"/>
    <col min="299" max="299" width="18" style="18" customWidth="1"/>
    <col min="300" max="300" width="23.42578125" style="18" customWidth="1"/>
    <col min="301" max="301" width="10.42578125" style="18" customWidth="1"/>
    <col min="302" max="302" width="21.85546875" style="18" customWidth="1"/>
    <col min="303" max="303" width="23.28515625" style="18" customWidth="1"/>
    <col min="304" max="304" width="5.28515625" style="18" customWidth="1"/>
    <col min="305" max="305" width="30.42578125" style="18" customWidth="1"/>
    <col min="306" max="306" width="17.28515625" style="18" customWidth="1"/>
    <col min="307" max="307" width="19.28515625" style="18" customWidth="1"/>
    <col min="308" max="308" width="44.28515625" style="18" customWidth="1"/>
    <col min="309" max="309" width="32" style="18" customWidth="1"/>
    <col min="310" max="310" width="27.140625" style="18" customWidth="1"/>
    <col min="311" max="311" width="12.85546875" style="18" customWidth="1"/>
    <col min="312" max="312" width="180.5703125" style="18" customWidth="1"/>
    <col min="313" max="313" width="18.5703125" style="18" customWidth="1"/>
    <col min="314" max="314" width="22.7109375" style="18" customWidth="1"/>
    <col min="315" max="315" width="44.42578125" style="18" customWidth="1"/>
    <col min="316" max="316" width="17.28515625" style="18" customWidth="1"/>
    <col min="317" max="317" width="14.85546875" style="18" customWidth="1"/>
    <col min="318" max="318" width="16.28515625" style="18" customWidth="1"/>
    <col min="319" max="319" width="17.28515625" style="18" customWidth="1"/>
    <col min="320" max="320" width="168.28515625" style="18" customWidth="1"/>
    <col min="321" max="321" width="32" style="18" customWidth="1"/>
    <col min="322" max="322" width="13.5703125" style="18" customWidth="1"/>
    <col min="323" max="323" width="40.85546875" style="18" customWidth="1"/>
    <col min="324" max="324" width="41.28515625" style="18" customWidth="1"/>
    <col min="325" max="325" width="14.85546875" style="18" customWidth="1"/>
    <col min="326" max="326" width="13.85546875" style="18" customWidth="1"/>
    <col min="327" max="327" width="45" style="18" customWidth="1"/>
    <col min="328" max="328" width="42.85546875" style="18" customWidth="1"/>
    <col min="329" max="329" width="13.140625" style="18" customWidth="1"/>
    <col min="330" max="330" width="12" style="18" customWidth="1"/>
    <col min="331" max="331" width="22.7109375" style="18" customWidth="1"/>
    <col min="332" max="332" width="127.28515625" style="55" customWidth="1"/>
    <col min="333" max="333" width="230.7109375" style="55" customWidth="1"/>
    <col min="334" max="334" width="34" style="18" customWidth="1"/>
    <col min="335" max="335" width="17" style="18" customWidth="1"/>
    <col min="336" max="336" width="17.85546875" style="18" customWidth="1"/>
    <col min="337" max="338" width="15.85546875" style="18" customWidth="1"/>
    <col min="339" max="339" width="18.28515625" style="18" customWidth="1"/>
    <col min="340" max="340" width="20.85546875" style="18" customWidth="1"/>
    <col min="341" max="341" width="28.5703125" style="18" customWidth="1"/>
    <col min="342" max="342" width="20.28515625" style="18" customWidth="1"/>
    <col min="343" max="343" width="9.7109375" style="18" customWidth="1"/>
    <col min="344" max="344" width="7.7109375" style="18" customWidth="1"/>
    <col min="345" max="345" width="8.28515625" style="18" customWidth="1"/>
    <col min="346" max="346" width="15.42578125" style="18" customWidth="1"/>
    <col min="347" max="347" width="77.5703125" style="18" customWidth="1"/>
    <col min="348" max="348" width="12.42578125" style="18" bestFit="1" customWidth="1"/>
    <col min="349" max="349" width="19.42578125" style="18" bestFit="1" customWidth="1"/>
    <col min="350" max="350" width="12.7109375" style="18" bestFit="1" customWidth="1"/>
    <col min="351" max="351" width="17.7109375" style="18" customWidth="1"/>
    <col min="352" max="352" width="55" style="18" customWidth="1"/>
    <col min="353" max="16384" width="9.140625" style="18"/>
  </cols>
  <sheetData>
    <row r="1" spans="1:352" s="35" customFormat="1">
      <c r="A1" s="28"/>
      <c r="C1" s="30"/>
      <c r="F1" s="36"/>
      <c r="G1" s="36"/>
      <c r="AW1" s="79"/>
      <c r="IG1" s="18"/>
    </row>
    <row r="2" spans="1:352" s="35" customFormat="1">
      <c r="A2" s="28"/>
      <c r="B2" s="37"/>
      <c r="C2" s="30"/>
      <c r="F2" s="36"/>
      <c r="G2" s="36"/>
      <c r="AW2" s="79"/>
      <c r="IG2" s="18"/>
    </row>
    <row r="3" spans="1:352" s="35" customFormat="1">
      <c r="A3" s="88" t="s">
        <v>9</v>
      </c>
      <c r="B3" s="38" t="s">
        <v>4</v>
      </c>
      <c r="C3" s="39" t="s">
        <v>51</v>
      </c>
      <c r="D3" s="38" t="s">
        <v>5</v>
      </c>
      <c r="E3" s="38" t="s">
        <v>6</v>
      </c>
      <c r="F3" s="40" t="s">
        <v>7</v>
      </c>
      <c r="G3" s="40" t="s">
        <v>8</v>
      </c>
      <c r="H3" s="41" t="s">
        <v>38</v>
      </c>
      <c r="I3" s="42" t="s">
        <v>39</v>
      </c>
      <c r="J3" s="42" t="s">
        <v>42</v>
      </c>
      <c r="K3" s="42" t="s">
        <v>43</v>
      </c>
      <c r="L3" s="42" t="s">
        <v>54</v>
      </c>
      <c r="M3" s="43" t="s">
        <v>170</v>
      </c>
      <c r="N3" s="42" t="s">
        <v>354</v>
      </c>
      <c r="O3" s="42" t="s">
        <v>159</v>
      </c>
      <c r="P3" s="42" t="s">
        <v>604</v>
      </c>
      <c r="Q3" s="42" t="s">
        <v>376</v>
      </c>
      <c r="R3" s="42" t="s">
        <v>377</v>
      </c>
      <c r="S3" s="42" t="s">
        <v>378</v>
      </c>
      <c r="T3" s="42" t="s">
        <v>379</v>
      </c>
      <c r="U3" s="42" t="s">
        <v>380</v>
      </c>
      <c r="V3" s="42" t="s">
        <v>381</v>
      </c>
      <c r="W3" s="42" t="s">
        <v>382</v>
      </c>
      <c r="X3" s="42" t="s">
        <v>383</v>
      </c>
      <c r="Y3" s="42" t="s">
        <v>268</v>
      </c>
      <c r="Z3" s="42" t="s">
        <v>269</v>
      </c>
      <c r="AA3" s="42" t="s">
        <v>270</v>
      </c>
      <c r="AB3" s="43" t="s">
        <v>292</v>
      </c>
      <c r="AC3" s="43" t="s">
        <v>293</v>
      </c>
      <c r="AD3" s="43" t="s">
        <v>294</v>
      </c>
      <c r="AE3" s="43" t="s">
        <v>295</v>
      </c>
      <c r="AF3" s="42" t="s">
        <v>274</v>
      </c>
      <c r="AG3" s="43" t="s">
        <v>296</v>
      </c>
      <c r="AH3" s="43" t="s">
        <v>297</v>
      </c>
      <c r="AI3" s="43" t="s">
        <v>298</v>
      </c>
      <c r="AJ3" s="42" t="s">
        <v>278</v>
      </c>
      <c r="AK3" s="42" t="s">
        <v>279</v>
      </c>
      <c r="AL3" s="42" t="s">
        <v>280</v>
      </c>
      <c r="AM3" s="42" t="s">
        <v>281</v>
      </c>
      <c r="AN3" s="42" t="s">
        <v>282</v>
      </c>
      <c r="AO3" s="42" t="s">
        <v>0</v>
      </c>
      <c r="AP3" s="42" t="s">
        <v>286</v>
      </c>
      <c r="AQ3" s="42" t="s">
        <v>284</v>
      </c>
      <c r="AR3" s="42" t="s">
        <v>194</v>
      </c>
      <c r="AS3" s="42" t="s">
        <v>679</v>
      </c>
      <c r="AT3" s="42" t="s">
        <v>680</v>
      </c>
      <c r="AU3" s="42" t="s">
        <v>285</v>
      </c>
      <c r="AV3" s="42" t="s">
        <v>283</v>
      </c>
      <c r="AW3" s="81" t="s">
        <v>193</v>
      </c>
      <c r="AX3" s="42" t="s">
        <v>287</v>
      </c>
      <c r="AY3" s="42" t="s">
        <v>288</v>
      </c>
      <c r="AZ3" s="42" t="s">
        <v>755</v>
      </c>
      <c r="BA3" s="42" t="s">
        <v>756</v>
      </c>
      <c r="BB3" s="42" t="s">
        <v>386</v>
      </c>
      <c r="BC3" s="42" t="s">
        <v>195</v>
      </c>
      <c r="BD3" s="42" t="s">
        <v>387</v>
      </c>
      <c r="BE3" s="42" t="s">
        <v>388</v>
      </c>
      <c r="BF3" s="42" t="s">
        <v>400</v>
      </c>
      <c r="BG3" s="42" t="s">
        <v>401</v>
      </c>
      <c r="BH3" s="42" t="s">
        <v>439</v>
      </c>
      <c r="BI3" s="42" t="s">
        <v>440</v>
      </c>
      <c r="BJ3" s="42" t="s">
        <v>445</v>
      </c>
      <c r="BK3" s="42" t="s">
        <v>446</v>
      </c>
      <c r="BL3" s="42" t="s">
        <v>447</v>
      </c>
      <c r="BM3" s="42" t="s">
        <v>448</v>
      </c>
      <c r="BN3" s="42" t="s">
        <v>453</v>
      </c>
      <c r="BO3" s="42" t="s">
        <v>458</v>
      </c>
      <c r="BP3" s="42" t="s">
        <v>459</v>
      </c>
      <c r="BQ3" s="42" t="s">
        <v>460</v>
      </c>
      <c r="BR3" s="42" t="s">
        <v>461</v>
      </c>
      <c r="BS3" s="42" t="s">
        <v>465</v>
      </c>
      <c r="BT3" s="43" t="s">
        <v>468</v>
      </c>
      <c r="BU3" s="43" t="s">
        <v>469</v>
      </c>
      <c r="BV3" s="42" t="s">
        <v>595</v>
      </c>
      <c r="BW3" s="42" t="s">
        <v>464</v>
      </c>
      <c r="BX3" s="42" t="s">
        <v>584</v>
      </c>
      <c r="BY3" s="43" t="s">
        <v>577</v>
      </c>
      <c r="BZ3" s="43" t="s">
        <v>530</v>
      </c>
      <c r="CA3" s="43" t="s">
        <v>531</v>
      </c>
      <c r="CB3" s="43" t="s">
        <v>532</v>
      </c>
      <c r="CC3" s="43" t="s">
        <v>533</v>
      </c>
      <c r="CD3" s="43" t="s">
        <v>534</v>
      </c>
      <c r="CE3" s="43" t="s">
        <v>535</v>
      </c>
      <c r="CF3" s="43" t="s">
        <v>536</v>
      </c>
      <c r="CG3" s="43" t="s">
        <v>537</v>
      </c>
      <c r="CH3" s="43" t="s">
        <v>538</v>
      </c>
      <c r="CI3" s="43" t="s">
        <v>539</v>
      </c>
      <c r="CJ3" s="43" t="s">
        <v>540</v>
      </c>
      <c r="CK3" s="43" t="s">
        <v>541</v>
      </c>
      <c r="CL3" s="43" t="s">
        <v>542</v>
      </c>
      <c r="CM3" s="43" t="s">
        <v>543</v>
      </c>
      <c r="CN3" s="43" t="s">
        <v>544</v>
      </c>
      <c r="CO3" s="43" t="s">
        <v>545</v>
      </c>
      <c r="CP3" s="43" t="s">
        <v>546</v>
      </c>
      <c r="CQ3" s="43" t="s">
        <v>547</v>
      </c>
      <c r="CR3" s="43" t="s">
        <v>548</v>
      </c>
      <c r="CS3" s="43" t="s">
        <v>549</v>
      </c>
      <c r="CT3" s="43" t="s">
        <v>550</v>
      </c>
      <c r="CU3" s="43" t="s">
        <v>551</v>
      </c>
      <c r="CV3" s="43" t="s">
        <v>552</v>
      </c>
      <c r="CW3" s="43" t="s">
        <v>553</v>
      </c>
      <c r="CX3" s="43" t="s">
        <v>554</v>
      </c>
      <c r="CY3" s="43" t="s">
        <v>555</v>
      </c>
      <c r="CZ3" s="43" t="s">
        <v>556</v>
      </c>
      <c r="DA3" s="43" t="s">
        <v>557</v>
      </c>
      <c r="DB3" s="43" t="s">
        <v>558</v>
      </c>
      <c r="DC3" s="43" t="s">
        <v>559</v>
      </c>
      <c r="DD3" s="43" t="s">
        <v>560</v>
      </c>
      <c r="DE3" s="43" t="s">
        <v>561</v>
      </c>
      <c r="DF3" s="43" t="s">
        <v>562</v>
      </c>
      <c r="DG3" s="43" t="s">
        <v>563</v>
      </c>
      <c r="DH3" s="43" t="s">
        <v>564</v>
      </c>
      <c r="DI3" s="43" t="s">
        <v>565</v>
      </c>
      <c r="DJ3" s="43" t="s">
        <v>566</v>
      </c>
      <c r="DK3" s="43" t="s">
        <v>591</v>
      </c>
      <c r="DL3" s="43" t="s">
        <v>589</v>
      </c>
      <c r="DM3" s="43" t="s">
        <v>567</v>
      </c>
      <c r="DN3" s="43" t="s">
        <v>568</v>
      </c>
      <c r="DO3" s="43" t="s">
        <v>569</v>
      </c>
      <c r="DP3" s="43" t="s">
        <v>570</v>
      </c>
      <c r="DQ3" s="43" t="s">
        <v>571</v>
      </c>
      <c r="DR3" s="43" t="s">
        <v>572</v>
      </c>
      <c r="DS3" s="43" t="s">
        <v>573</v>
      </c>
      <c r="DT3" s="42" t="s">
        <v>528</v>
      </c>
      <c r="DU3" s="43" t="s">
        <v>574</v>
      </c>
      <c r="DV3" s="42" t="s">
        <v>579</v>
      </c>
      <c r="DW3" s="42" t="s">
        <v>580</v>
      </c>
      <c r="DX3" s="42" t="s">
        <v>582</v>
      </c>
      <c r="DY3" s="42" t="s">
        <v>613</v>
      </c>
      <c r="DZ3" s="42" t="s">
        <v>620</v>
      </c>
      <c r="EA3" s="43" t="s">
        <v>631</v>
      </c>
      <c r="EB3" s="43" t="s">
        <v>632</v>
      </c>
      <c r="EC3" s="43" t="s">
        <v>633</v>
      </c>
      <c r="ED3" s="43" t="s">
        <v>634</v>
      </c>
      <c r="EE3" s="43" t="s">
        <v>635</v>
      </c>
      <c r="EF3" s="43" t="s">
        <v>636</v>
      </c>
      <c r="EG3" s="42" t="s">
        <v>705</v>
      </c>
      <c r="EH3" s="42" t="s">
        <v>693</v>
      </c>
      <c r="EI3" s="42" t="s">
        <v>707</v>
      </c>
      <c r="EJ3" s="42" t="s">
        <v>696</v>
      </c>
      <c r="EK3" s="42" t="s">
        <v>697</v>
      </c>
      <c r="EL3" s="42" t="s">
        <v>698</v>
      </c>
      <c r="EM3" s="42" t="s">
        <v>18</v>
      </c>
      <c r="EN3" s="42" t="s">
        <v>19</v>
      </c>
      <c r="EO3" s="43" t="s">
        <v>730</v>
      </c>
      <c r="EP3" s="43" t="s">
        <v>731</v>
      </c>
      <c r="EQ3" s="43" t="s">
        <v>732</v>
      </c>
      <c r="ER3" s="43" t="s">
        <v>733</v>
      </c>
      <c r="ES3" s="43" t="s">
        <v>734</v>
      </c>
      <c r="ET3" s="43" t="s">
        <v>735</v>
      </c>
      <c r="EU3" s="43" t="s">
        <v>736</v>
      </c>
      <c r="EV3" s="43" t="s">
        <v>737</v>
      </c>
      <c r="EW3" s="43" t="s">
        <v>738</v>
      </c>
      <c r="EX3" s="43" t="s">
        <v>739</v>
      </c>
      <c r="EY3" s="43" t="s">
        <v>740</v>
      </c>
      <c r="EZ3" s="43" t="s">
        <v>741</v>
      </c>
      <c r="FA3" s="77" t="s">
        <v>742</v>
      </c>
      <c r="FB3" s="41" t="s">
        <v>694</v>
      </c>
      <c r="FC3" s="42" t="s">
        <v>695</v>
      </c>
      <c r="FD3" s="42" t="s">
        <v>759</v>
      </c>
      <c r="FE3" s="44" t="s">
        <v>760</v>
      </c>
      <c r="FF3" s="78" t="s">
        <v>692</v>
      </c>
      <c r="FG3" s="41" t="s">
        <v>384</v>
      </c>
      <c r="FH3" s="44" t="s">
        <v>385</v>
      </c>
      <c r="FI3" s="41" t="s">
        <v>748</v>
      </c>
      <c r="FJ3" s="42" t="s">
        <v>749</v>
      </c>
      <c r="FK3" s="42" t="s">
        <v>777</v>
      </c>
      <c r="FL3" s="43" t="s">
        <v>804</v>
      </c>
      <c r="FM3" s="43" t="s">
        <v>805</v>
      </c>
      <c r="FN3" s="43" t="s">
        <v>806</v>
      </c>
      <c r="FO3" s="43" t="s">
        <v>807</v>
      </c>
      <c r="FP3" s="43" t="s">
        <v>808</v>
      </c>
      <c r="FQ3" s="43" t="s">
        <v>809</v>
      </c>
      <c r="FR3" s="43" t="s">
        <v>810</v>
      </c>
      <c r="FS3" s="43" t="s">
        <v>811</v>
      </c>
      <c r="FT3" s="43" t="s">
        <v>812</v>
      </c>
      <c r="FU3" s="43" t="s">
        <v>813</v>
      </c>
      <c r="FV3" s="43" t="s">
        <v>814</v>
      </c>
      <c r="FW3" s="43" t="s">
        <v>815</v>
      </c>
      <c r="FX3" s="43" t="s">
        <v>816</v>
      </c>
      <c r="FY3" s="43" t="s">
        <v>817</v>
      </c>
      <c r="FZ3" s="43" t="s">
        <v>818</v>
      </c>
      <c r="GA3" s="43" t="s">
        <v>819</v>
      </c>
      <c r="GB3" s="43" t="s">
        <v>820</v>
      </c>
      <c r="GC3" s="43" t="s">
        <v>821</v>
      </c>
      <c r="GD3" s="43" t="s">
        <v>822</v>
      </c>
      <c r="GE3" s="43" t="s">
        <v>823</v>
      </c>
      <c r="GF3" s="43" t="s">
        <v>824</v>
      </c>
      <c r="GG3" s="43" t="s">
        <v>825</v>
      </c>
      <c r="GH3" s="43" t="s">
        <v>826</v>
      </c>
      <c r="GI3" s="43" t="s">
        <v>827</v>
      </c>
      <c r="GJ3" s="43" t="s">
        <v>828</v>
      </c>
      <c r="GK3" s="77" t="s">
        <v>829</v>
      </c>
      <c r="GL3" s="78" t="s">
        <v>776</v>
      </c>
      <c r="GM3" s="76" t="s">
        <v>420</v>
      </c>
      <c r="GN3" s="43" t="s">
        <v>421</v>
      </c>
      <c r="GO3" s="43" t="s">
        <v>422</v>
      </c>
      <c r="GP3" s="43" t="s">
        <v>423</v>
      </c>
      <c r="GQ3" s="43" t="s">
        <v>424</v>
      </c>
      <c r="GR3" s="43" t="s">
        <v>425</v>
      </c>
      <c r="GS3" s="43" t="s">
        <v>426</v>
      </c>
      <c r="GT3" s="43" t="s">
        <v>427</v>
      </c>
      <c r="GU3" s="43" t="s">
        <v>428</v>
      </c>
      <c r="GV3" s="43" t="s">
        <v>429</v>
      </c>
      <c r="GW3" s="43" t="s">
        <v>430</v>
      </c>
      <c r="GX3" s="43" t="s">
        <v>609</v>
      </c>
      <c r="GY3" s="77" t="s">
        <v>610</v>
      </c>
      <c r="GZ3" s="78" t="s">
        <v>300</v>
      </c>
      <c r="HA3" s="41" t="s">
        <v>648</v>
      </c>
      <c r="HB3" s="42" t="s">
        <v>649</v>
      </c>
      <c r="HC3" s="42" t="s">
        <v>650</v>
      </c>
      <c r="HD3" s="42" t="s">
        <v>651</v>
      </c>
      <c r="HE3" s="44" t="s">
        <v>200</v>
      </c>
      <c r="HF3" s="41" t="s">
        <v>46</v>
      </c>
      <c r="HG3" s="75" t="s">
        <v>47</v>
      </c>
      <c r="HH3" s="42" t="s">
        <v>48</v>
      </c>
      <c r="HI3" s="42" t="s">
        <v>49</v>
      </c>
      <c r="HJ3" s="42" t="s">
        <v>196</v>
      </c>
      <c r="HK3" s="42" t="s">
        <v>197</v>
      </c>
      <c r="HL3" s="42" t="s">
        <v>714</v>
      </c>
      <c r="HM3" s="44" t="s">
        <v>713</v>
      </c>
      <c r="HN3" s="76" t="s">
        <v>164</v>
      </c>
      <c r="HO3" s="43" t="s">
        <v>165</v>
      </c>
      <c r="HP3" s="43" t="s">
        <v>166</v>
      </c>
      <c r="HQ3" s="43" t="s">
        <v>172</v>
      </c>
      <c r="HR3" s="43" t="s">
        <v>173</v>
      </c>
      <c r="HS3" s="43" t="s">
        <v>174</v>
      </c>
      <c r="HT3" s="43" t="s">
        <v>419</v>
      </c>
      <c r="HU3" s="43" t="s">
        <v>402</v>
      </c>
      <c r="HV3" s="77" t="s">
        <v>403</v>
      </c>
      <c r="HW3" s="41" t="s">
        <v>96</v>
      </c>
      <c r="HX3" s="43" t="s">
        <v>105</v>
      </c>
      <c r="HY3" s="42" t="s">
        <v>103</v>
      </c>
      <c r="HZ3" s="43" t="s">
        <v>106</v>
      </c>
      <c r="IA3" s="43" t="s">
        <v>107</v>
      </c>
      <c r="IB3" s="43" t="s">
        <v>108</v>
      </c>
      <c r="IC3" s="42" t="s">
        <v>581</v>
      </c>
      <c r="ID3" s="42" t="s">
        <v>100</v>
      </c>
      <c r="IE3" s="42" t="s">
        <v>101</v>
      </c>
      <c r="IF3" s="42" t="s">
        <v>121</v>
      </c>
      <c r="IG3" s="48" t="s">
        <v>122</v>
      </c>
      <c r="IH3" s="43" t="s">
        <v>192</v>
      </c>
      <c r="II3" s="42" t="s">
        <v>117</v>
      </c>
      <c r="IJ3" s="42" t="s">
        <v>111</v>
      </c>
      <c r="IK3" s="42" t="s">
        <v>112</v>
      </c>
      <c r="IL3" s="42" t="s">
        <v>113</v>
      </c>
      <c r="IM3" s="42" t="s">
        <v>114</v>
      </c>
      <c r="IN3" s="42" t="s">
        <v>115</v>
      </c>
      <c r="IO3" s="42" t="s">
        <v>116</v>
      </c>
      <c r="IP3" s="42" t="s">
        <v>353</v>
      </c>
      <c r="IQ3" s="43" t="s">
        <v>160</v>
      </c>
      <c r="IR3" s="44" t="s">
        <v>120</v>
      </c>
      <c r="IS3" s="41" t="s">
        <v>357</v>
      </c>
      <c r="IT3" s="42" t="s">
        <v>358</v>
      </c>
      <c r="IU3" s="42" t="s">
        <v>598</v>
      </c>
      <c r="IV3" s="44" t="s">
        <v>640</v>
      </c>
      <c r="IW3" s="41" t="s">
        <v>600</v>
      </c>
      <c r="IX3" s="42" t="s">
        <v>126</v>
      </c>
      <c r="IY3" s="42" t="s">
        <v>125</v>
      </c>
      <c r="IZ3" s="42" t="s">
        <v>124</v>
      </c>
      <c r="JA3" s="43" t="s">
        <v>161</v>
      </c>
      <c r="JB3" s="43" t="s">
        <v>162</v>
      </c>
      <c r="JC3" s="73" t="s">
        <v>753</v>
      </c>
      <c r="JD3" s="43" t="s">
        <v>163</v>
      </c>
      <c r="JE3" s="43" t="s">
        <v>404</v>
      </c>
      <c r="JF3" s="43" t="s">
        <v>405</v>
      </c>
      <c r="JG3" s="77" t="s">
        <v>406</v>
      </c>
      <c r="JH3" s="76" t="s">
        <v>168</v>
      </c>
      <c r="JI3" s="43" t="s">
        <v>169</v>
      </c>
      <c r="JJ3" s="77" t="s">
        <v>418</v>
      </c>
      <c r="JK3" s="76" t="s">
        <v>171</v>
      </c>
      <c r="JL3" s="43" t="s">
        <v>660</v>
      </c>
      <c r="JM3" s="43" t="s">
        <v>407</v>
      </c>
      <c r="JN3" s="43" t="s">
        <v>408</v>
      </c>
      <c r="JO3" s="77" t="s">
        <v>409</v>
      </c>
      <c r="JP3" s="76" t="s">
        <v>167</v>
      </c>
      <c r="JQ3" s="43" t="s">
        <v>175</v>
      </c>
      <c r="JR3" s="43" t="s">
        <v>176</v>
      </c>
      <c r="JS3" s="43" t="s">
        <v>177</v>
      </c>
      <c r="JT3" s="43" t="s">
        <v>178</v>
      </c>
      <c r="JU3" s="43" t="s">
        <v>179</v>
      </c>
      <c r="JV3" s="77" t="s">
        <v>410</v>
      </c>
      <c r="JW3" s="76" t="s">
        <v>181</v>
      </c>
      <c r="JX3" s="43" t="s">
        <v>182</v>
      </c>
      <c r="JY3" s="44" t="s">
        <v>433</v>
      </c>
      <c r="JZ3" s="76" t="s">
        <v>183</v>
      </c>
      <c r="KA3" s="43" t="s">
        <v>184</v>
      </c>
      <c r="KB3" s="43" t="s">
        <v>185</v>
      </c>
      <c r="KC3" s="43" t="s">
        <v>186</v>
      </c>
      <c r="KD3" s="43" t="s">
        <v>187</v>
      </c>
      <c r="KE3" s="43" t="s">
        <v>411</v>
      </c>
      <c r="KF3" s="43" t="s">
        <v>412</v>
      </c>
      <c r="KG3" s="43" t="s">
        <v>413</v>
      </c>
      <c r="KH3" s="43" t="s">
        <v>414</v>
      </c>
      <c r="KI3" s="43" t="s">
        <v>415</v>
      </c>
      <c r="KJ3" s="43" t="s">
        <v>416</v>
      </c>
      <c r="KK3" s="43" t="s">
        <v>603</v>
      </c>
      <c r="KL3" s="77" t="s">
        <v>417</v>
      </c>
      <c r="KM3" s="76" t="s">
        <v>188</v>
      </c>
      <c r="KN3" s="43" t="s">
        <v>189</v>
      </c>
      <c r="KO3" s="42" t="s">
        <v>345</v>
      </c>
      <c r="KP3" s="77" t="s">
        <v>190</v>
      </c>
      <c r="KQ3" s="113" t="s">
        <v>180</v>
      </c>
      <c r="KR3" s="78" t="s">
        <v>62</v>
      </c>
      <c r="KS3" s="41" t="s">
        <v>910</v>
      </c>
      <c r="KT3" s="35" t="s">
        <v>912</v>
      </c>
      <c r="KU3" s="42" t="s">
        <v>908</v>
      </c>
      <c r="KV3" s="42" t="s">
        <v>913</v>
      </c>
      <c r="KW3" s="42" t="s">
        <v>914</v>
      </c>
      <c r="KX3" s="42" t="s">
        <v>917</v>
      </c>
      <c r="KY3" s="42" t="s">
        <v>918</v>
      </c>
      <c r="KZ3" s="42" t="s">
        <v>920</v>
      </c>
      <c r="LA3" s="44" t="s">
        <v>923</v>
      </c>
      <c r="LB3" s="41" t="s">
        <v>359</v>
      </c>
      <c r="LC3" s="42" t="s">
        <v>838</v>
      </c>
      <c r="LD3" s="42" t="s">
        <v>839</v>
      </c>
      <c r="LE3" s="42" t="s">
        <v>841</v>
      </c>
      <c r="LF3" s="42" t="s">
        <v>842</v>
      </c>
      <c r="LG3" s="42" t="s">
        <v>862</v>
      </c>
      <c r="LH3" s="42" t="s">
        <v>882</v>
      </c>
      <c r="LI3" s="42" t="s">
        <v>884</v>
      </c>
      <c r="LJ3" s="42" t="s">
        <v>988</v>
      </c>
      <c r="LK3" s="44" t="s">
        <v>994</v>
      </c>
      <c r="LL3" s="41" t="s">
        <v>892</v>
      </c>
      <c r="LM3" s="42" t="s">
        <v>904</v>
      </c>
      <c r="LN3" s="44" t="s">
        <v>991</v>
      </c>
      <c r="LO3" s="41" t="s">
        <v>994</v>
      </c>
      <c r="LP3" s="44" t="s">
        <v>970</v>
      </c>
      <c r="LQ3" s="41" t="s">
        <v>874</v>
      </c>
      <c r="LR3" s="42" t="s">
        <v>875</v>
      </c>
      <c r="LS3" s="44" t="s">
        <v>966</v>
      </c>
      <c r="LT3" s="42" t="s">
        <v>869</v>
      </c>
      <c r="LU3" s="42" t="s">
        <v>871</v>
      </c>
      <c r="LV3" s="42" t="s">
        <v>863</v>
      </c>
      <c r="LW3" s="42" t="s">
        <v>997</v>
      </c>
      <c r="LX3" s="42" t="s">
        <v>1000</v>
      </c>
      <c r="LY3" s="42" t="s">
        <v>55</v>
      </c>
      <c r="LZ3" s="42" t="s">
        <v>56</v>
      </c>
      <c r="MA3" s="44" t="s">
        <v>57</v>
      </c>
      <c r="MB3" s="41" t="s">
        <v>1037</v>
      </c>
      <c r="MC3" s="44" t="s">
        <v>1065</v>
      </c>
      <c r="MD3" s="41" t="s">
        <v>1068</v>
      </c>
      <c r="ME3" s="41" t="s">
        <v>12</v>
      </c>
      <c r="MF3" s="42" t="s">
        <v>10</v>
      </c>
      <c r="MG3" s="42" t="s">
        <v>13</v>
      </c>
      <c r="MH3" s="43" t="s">
        <v>299</v>
      </c>
      <c r="MI3" s="44" t="s">
        <v>1146</v>
      </c>
      <c r="MJ3" s="42" t="s">
        <v>843</v>
      </c>
      <c r="MK3" s="78" t="s">
        <v>844</v>
      </c>
      <c r="ML3" s="44" t="s">
        <v>1094</v>
      </c>
      <c r="MM3" s="42" t="s">
        <v>1074</v>
      </c>
      <c r="MN3" s="41" t="s">
        <v>16</v>
      </c>
    </row>
    <row r="4" spans="1:352" ht="15" customHeight="1">
      <c r="B4" s="95">
        <v>1</v>
      </c>
      <c r="C4" s="96" t="s">
        <v>836</v>
      </c>
      <c r="D4" s="97" t="s">
        <v>1195</v>
      </c>
      <c r="E4" s="98" t="s">
        <v>767</v>
      </c>
      <c r="F4" s="99" t="str">
        <f>HYPERLINK("C:\Server Copy\Projects\SALT\Snapshots\UI_CurrencyWidget_001_UK_IN-MU-LT-J31878\20151229\171115\Iterator_1\UI_CurrencyWidget_001_UK1.xlsx","Snapshot")</f>
        <v>Snapshot</v>
      </c>
      <c r="G4" s="100" t="str">
        <f>HYPERLINK("C:\Server Copy\Projects\SALT\Snapshots\UI_CurrencyWidget_001_UK_IN-MU-LT-J31878\20151229\171115\Iterator_1\Merge.html","Result")</f>
        <v>Result</v>
      </c>
      <c r="LC4" s="98" t="s">
        <v>845</v>
      </c>
      <c r="LD4" s="103" t="s">
        <v>950</v>
      </c>
      <c r="LE4" s="98">
        <v>200</v>
      </c>
      <c r="LF4" s="98">
        <v>300</v>
      </c>
      <c r="LG4" s="98"/>
      <c r="LH4" s="102"/>
      <c r="LS4" s="98"/>
      <c r="LT4" s="98" t="s">
        <v>963</v>
      </c>
      <c r="LU4" s="98" t="s">
        <v>872</v>
      </c>
      <c r="LV4" s="98"/>
      <c r="LY4" s="23">
        <v>42367.716145833336</v>
      </c>
      <c r="LZ4" s="23">
        <v>42367.725173611114</v>
      </c>
      <c r="MA4" s="18" t="s">
        <v>1198</v>
      </c>
      <c r="MB4" s="114" t="s">
        <v>1038</v>
      </c>
      <c r="MD4" s="18" t="s">
        <v>1069</v>
      </c>
      <c r="ME4" s="101" t="s">
        <v>58</v>
      </c>
      <c r="MF4" s="143" t="s">
        <v>95</v>
      </c>
      <c r="MG4" s="102" t="s">
        <v>22</v>
      </c>
      <c r="MH4" s="98" t="s">
        <v>877</v>
      </c>
      <c r="MI4" s="98"/>
      <c r="MJ4" s="98" t="s">
        <v>78</v>
      </c>
      <c r="MK4" s="97" t="s">
        <v>59</v>
      </c>
      <c r="ML4" s="18" t="s">
        <v>78</v>
      </c>
      <c r="MM4" s="55" t="s">
        <v>877</v>
      </c>
      <c r="MN4" s="98" t="s">
        <v>1041</v>
      </c>
    </row>
    <row r="5" spans="1:352" s="55" customFormat="1" ht="15" customHeight="1">
      <c r="A5" s="28"/>
      <c r="B5" s="95">
        <v>1</v>
      </c>
      <c r="C5" s="96" t="s">
        <v>847</v>
      </c>
      <c r="D5" s="97" t="s">
        <v>1195</v>
      </c>
      <c r="E5" s="98" t="s">
        <v>767</v>
      </c>
      <c r="F5" s="99" t="str">
        <f>HYPERLINK("C:\Server Copy\Projects\SALT\Snapshots\UI_CurrencyWidget_001_AUS_IN-MU-LT-J31878\20151229\18363\Iterator_1\UI_CurrencyWidget_001_AUS1.xlsx","Snapshot")</f>
        <v>Snapshot</v>
      </c>
      <c r="G5" s="100" t="str">
        <f>HYPERLINK("C:\Server Copy\Projects\SALT\Snapshots\UI_CurrencyWidget_001_AUS_IN-MU-LT-J31878\20151229\18363\Iterator_1\Merge.html","Result")</f>
        <v>Result</v>
      </c>
      <c r="AW5" s="80"/>
      <c r="GL5" s="54"/>
      <c r="LC5" s="98" t="s">
        <v>855</v>
      </c>
      <c r="LD5" s="103" t="s">
        <v>856</v>
      </c>
      <c r="LE5" s="98">
        <v>200</v>
      </c>
      <c r="LF5" s="98">
        <v>300</v>
      </c>
      <c r="LG5" s="98"/>
      <c r="LH5" s="102"/>
      <c r="LS5" s="109"/>
      <c r="LT5" s="98"/>
      <c r="LU5" s="98"/>
      <c r="LV5" s="98"/>
      <c r="LY5" s="23">
        <v>42367.775034722225</v>
      </c>
      <c r="LZ5" s="23">
        <v>42367.782268518517</v>
      </c>
      <c r="MA5" s="55" t="s">
        <v>1199</v>
      </c>
      <c r="MB5" s="55" t="s">
        <v>1046</v>
      </c>
      <c r="MD5" s="55" t="s">
        <v>1070</v>
      </c>
      <c r="ME5" s="101" t="s">
        <v>58</v>
      </c>
      <c r="MF5" s="107" t="s">
        <v>95</v>
      </c>
      <c r="MG5" s="102" t="s">
        <v>22</v>
      </c>
      <c r="MH5" s="109" t="s">
        <v>432</v>
      </c>
      <c r="MI5" s="109"/>
      <c r="MJ5" s="98" t="s">
        <v>78</v>
      </c>
      <c r="MK5" s="98" t="s">
        <v>59</v>
      </c>
      <c r="MM5" s="55" t="s">
        <v>432</v>
      </c>
      <c r="MN5" s="55" t="s">
        <v>1042</v>
      </c>
    </row>
    <row r="6" spans="1:352" s="55" customFormat="1" ht="15" customHeight="1">
      <c r="A6" s="28"/>
      <c r="B6" s="95">
        <v>1</v>
      </c>
      <c r="C6" s="96" t="s">
        <v>848</v>
      </c>
      <c r="D6" s="97" t="s">
        <v>1195</v>
      </c>
      <c r="E6" s="98" t="s">
        <v>767</v>
      </c>
      <c r="F6" s="99" t="str">
        <f>HYPERLINK("C:\Server Copy\Projects\SALT\Snapshots\UI_CurrencyWidget_001_NZ_IN-MU-LT-J31878\20151229\184831\Iterator_1\UI_CurrencyWidget_001_NZ1.xlsx","Snapshot")</f>
        <v>Snapshot</v>
      </c>
      <c r="G6" s="100" t="str">
        <f>HYPERLINK("C:\Server Copy\Projects\SALT\Snapshots\UI_CurrencyWidget_001_NZ_IN-MU-LT-J31878\20151229\184831\Iterator_1\Merge.html","Result")</f>
        <v>Result</v>
      </c>
      <c r="AW6" s="80"/>
      <c r="GL6" s="54"/>
      <c r="LC6" s="98" t="s">
        <v>858</v>
      </c>
      <c r="LD6" s="103" t="s">
        <v>857</v>
      </c>
      <c r="LE6" s="98">
        <v>200</v>
      </c>
      <c r="LF6" s="98">
        <v>300</v>
      </c>
      <c r="LG6" s="98"/>
      <c r="LH6" s="102"/>
      <c r="LS6" s="109"/>
      <c r="LT6" s="98"/>
      <c r="LU6" s="98"/>
      <c r="LV6" s="98"/>
      <c r="LY6" s="23">
        <v>42367.783692129633</v>
      </c>
      <c r="LZ6" s="23">
        <v>42367.790879629632</v>
      </c>
      <c r="MA6" s="55" t="s">
        <v>1200</v>
      </c>
      <c r="MB6" s="55" t="s">
        <v>1047</v>
      </c>
      <c r="MD6" s="55" t="s">
        <v>1071</v>
      </c>
      <c r="ME6" s="101" t="s">
        <v>58</v>
      </c>
      <c r="MF6" s="107" t="s">
        <v>95</v>
      </c>
      <c r="MG6" s="102" t="s">
        <v>22</v>
      </c>
      <c r="MH6" s="109" t="s">
        <v>436</v>
      </c>
      <c r="MI6" s="109"/>
      <c r="MJ6" s="98" t="s">
        <v>78</v>
      </c>
      <c r="MK6" s="98" t="s">
        <v>59</v>
      </c>
      <c r="MM6" s="55" t="s">
        <v>436</v>
      </c>
      <c r="MN6" s="98" t="s">
        <v>1043</v>
      </c>
    </row>
    <row r="7" spans="1:352" s="55" customFormat="1" ht="15" customHeight="1">
      <c r="A7" s="28"/>
      <c r="B7" s="95">
        <v>1</v>
      </c>
      <c r="C7" s="96" t="s">
        <v>849</v>
      </c>
      <c r="D7" s="97" t="s">
        <v>1195</v>
      </c>
      <c r="E7" s="98" t="s">
        <v>767</v>
      </c>
      <c r="F7" s="99" t="str">
        <f>HYPERLINK("C:\Server Copy\Projects\SALT\Snapshots\UI_CurrencyWidget_001_USA_IN-MU-LT-J31878\20151229\191549\Iterator_1\UI_CurrencyWidget_001_USA1.xlsx","Snapshot")</f>
        <v>Snapshot</v>
      </c>
      <c r="G7" s="100" t="str">
        <f>HYPERLINK("C:\Server Copy\Projects\SALT\Snapshots\UI_CurrencyWidget_001_USA_IN-MU-LT-J31878\20151229\191549\Iterator_1\Merge.html","Result")</f>
        <v>Result</v>
      </c>
      <c r="AW7" s="80"/>
      <c r="GL7" s="54"/>
      <c r="LC7" s="98" t="s">
        <v>947</v>
      </c>
      <c r="LD7" s="103" t="s">
        <v>856</v>
      </c>
      <c r="LE7" s="98">
        <v>200</v>
      </c>
      <c r="LF7" s="98">
        <v>300</v>
      </c>
      <c r="LG7" s="98"/>
      <c r="LH7" s="102"/>
      <c r="LS7" s="109"/>
      <c r="LT7" s="98"/>
      <c r="LU7" s="98"/>
      <c r="LV7" s="98"/>
      <c r="LY7" s="23">
        <v>42367.80265046296</v>
      </c>
      <c r="LZ7" s="23">
        <v>42367.809918981482</v>
      </c>
      <c r="MA7" s="55" t="s">
        <v>1201</v>
      </c>
      <c r="MB7" s="55" t="s">
        <v>1045</v>
      </c>
      <c r="MD7" s="55" t="s">
        <v>1072</v>
      </c>
      <c r="ME7" s="101" t="s">
        <v>58</v>
      </c>
      <c r="MF7" s="107" t="s">
        <v>95</v>
      </c>
      <c r="MG7" s="102" t="s">
        <v>22</v>
      </c>
      <c r="MH7" s="109" t="s">
        <v>880</v>
      </c>
      <c r="MI7" s="109"/>
      <c r="MJ7" s="98" t="s">
        <v>78</v>
      </c>
      <c r="MK7" s="98" t="s">
        <v>59</v>
      </c>
      <c r="MM7" s="55" t="s">
        <v>880</v>
      </c>
      <c r="MN7" s="98" t="s">
        <v>1040</v>
      </c>
    </row>
    <row r="8" spans="1:352" s="55" customFormat="1" ht="15" customHeight="1">
      <c r="A8" s="28"/>
      <c r="B8" s="95">
        <v>1</v>
      </c>
      <c r="C8" s="96" t="s">
        <v>951</v>
      </c>
      <c r="D8" s="97" t="s">
        <v>1204</v>
      </c>
      <c r="E8" s="98" t="s">
        <v>1202</v>
      </c>
      <c r="F8" s="99" t="str">
        <f>HYPERLINK("C:\Server Copy\Projects\SALT\Snapshots\UI_CurrencyWidget_001_GR_IN-MU-LT-J31878\20151229\192618\Iterator_1\UI_CurrencyWidget_001_GR1.xlsx","Snapshot")</f>
        <v>Snapshot</v>
      </c>
      <c r="G8" s="100" t="str">
        <f>HYPERLINK("C:\Server Copy\Projects\SALT\Snapshots\UI_CurrencyWidget_001_GR_IN-MU-LT-J31878\20151229\192618\Iterator_1\Merge.html","Result")</f>
        <v>Result</v>
      </c>
      <c r="AW8" s="80"/>
      <c r="GL8" s="54"/>
      <c r="LC8" s="98" t="s">
        <v>978</v>
      </c>
      <c r="LD8" s="103" t="s">
        <v>979</v>
      </c>
      <c r="LE8" s="98">
        <v>200</v>
      </c>
      <c r="LF8" s="98">
        <v>300</v>
      </c>
      <c r="LG8" s="98"/>
      <c r="LH8" s="102"/>
      <c r="LS8" s="109"/>
      <c r="LT8" s="98" t="s">
        <v>982</v>
      </c>
      <c r="LU8" s="98" t="s">
        <v>981</v>
      </c>
      <c r="LV8" s="98"/>
      <c r="LY8" s="23">
        <v>42367.809930555559</v>
      </c>
      <c r="LZ8" s="23">
        <v>42367.817210648151</v>
      </c>
      <c r="MA8" s="55" t="s">
        <v>1203</v>
      </c>
      <c r="MB8" s="55" t="s">
        <v>1064</v>
      </c>
      <c r="MD8" s="55" t="s">
        <v>1073</v>
      </c>
      <c r="ME8" s="101" t="s">
        <v>58</v>
      </c>
      <c r="MF8" s="107" t="s">
        <v>95</v>
      </c>
      <c r="MG8" s="102" t="s">
        <v>22</v>
      </c>
      <c r="MH8" s="109" t="s">
        <v>984</v>
      </c>
      <c r="MI8" s="109"/>
      <c r="MJ8" s="98" t="s">
        <v>78</v>
      </c>
      <c r="MK8" s="98" t="s">
        <v>59</v>
      </c>
      <c r="MM8" s="55" t="s">
        <v>984</v>
      </c>
      <c r="MN8" s="55" t="s">
        <v>1052</v>
      </c>
    </row>
    <row r="9" spans="1:352" s="55" customFormat="1" ht="15" customHeight="1">
      <c r="A9" s="28"/>
      <c r="B9" s="95">
        <v>1</v>
      </c>
      <c r="C9" s="96" t="s">
        <v>952</v>
      </c>
      <c r="D9" s="97"/>
      <c r="E9" s="98"/>
      <c r="F9" s="99"/>
      <c r="G9" s="100"/>
      <c r="AW9" s="80"/>
      <c r="GL9" s="54"/>
      <c r="LC9" s="98" t="s">
        <v>947</v>
      </c>
      <c r="LD9" s="103" t="s">
        <v>980</v>
      </c>
      <c r="LE9" s="98">
        <v>200</v>
      </c>
      <c r="LF9" s="98">
        <v>300</v>
      </c>
      <c r="LG9" s="98"/>
      <c r="LH9" s="102"/>
      <c r="LS9" s="109"/>
      <c r="LT9" s="98" t="s">
        <v>963</v>
      </c>
      <c r="LU9" s="98" t="s">
        <v>872</v>
      </c>
      <c r="LV9" s="98"/>
      <c r="LY9" s="23"/>
      <c r="LZ9" s="23"/>
      <c r="ME9" s="101" t="s">
        <v>58</v>
      </c>
      <c r="MF9" s="107" t="s">
        <v>95</v>
      </c>
      <c r="MG9" s="102" t="s">
        <v>22</v>
      </c>
      <c r="MH9" s="109"/>
      <c r="MI9" s="109"/>
      <c r="MJ9" s="98" t="s">
        <v>78</v>
      </c>
      <c r="MK9" s="98" t="s">
        <v>59</v>
      </c>
    </row>
    <row r="10" spans="1:352" s="55" customFormat="1" ht="15" customHeight="1">
      <c r="A10" s="28"/>
      <c r="B10" s="95">
        <v>1</v>
      </c>
      <c r="C10" s="96" t="s">
        <v>860</v>
      </c>
      <c r="D10" s="97"/>
      <c r="E10" s="98" t="s">
        <v>767</v>
      </c>
      <c r="F10" s="99" t="str">
        <f>HYPERLINK("C:\SVN\SALT RunTime\Projects\SALT\Snapshots\TC_HomePage_Verify_Destination_country_002_UK_IN-MU-DT-J27064\201597\134714\Iterator_1\TC_HomePage_Verify_Destination_country_002_UK1.xlsx","Snapshot")</f>
        <v>Snapshot</v>
      </c>
      <c r="G10" s="100" t="str">
        <f>HYPERLINK("C:\SVN\SALT RunTime\Projects\SALT\Snapshots\TC_HomePage_Verify_Destination_country_002_UK_IN-MU-DT-J27064\201597\134714\Iterator_1\Merge.html","Result")</f>
        <v>Result</v>
      </c>
      <c r="AW10" s="80"/>
      <c r="GL10" s="54"/>
      <c r="LC10" s="98"/>
      <c r="LD10" s="103"/>
      <c r="LE10" s="98"/>
      <c r="LF10" s="98"/>
      <c r="LG10" s="98" t="s">
        <v>437</v>
      </c>
      <c r="LH10" s="102"/>
      <c r="LS10" s="109"/>
      <c r="LT10" s="98"/>
      <c r="LU10" s="98"/>
      <c r="LV10" s="98" t="s">
        <v>864</v>
      </c>
      <c r="LY10" s="23">
        <v>42254.574467592596</v>
      </c>
      <c r="LZ10" s="23">
        <v>42254.577662037038</v>
      </c>
      <c r="MA10" s="55" t="s">
        <v>1173</v>
      </c>
      <c r="MB10" s="114" t="s">
        <v>1038</v>
      </c>
      <c r="ME10" s="101" t="s">
        <v>58</v>
      </c>
      <c r="MF10" s="107" t="s">
        <v>95</v>
      </c>
      <c r="MG10" s="102" t="s">
        <v>22</v>
      </c>
      <c r="MH10" s="109" t="s">
        <v>877</v>
      </c>
      <c r="MI10" s="109"/>
      <c r="MJ10" s="98"/>
      <c r="MK10" s="98" t="s">
        <v>59</v>
      </c>
      <c r="MM10" s="55" t="s">
        <v>877</v>
      </c>
      <c r="MN10" s="98" t="s">
        <v>1041</v>
      </c>
    </row>
    <row r="11" spans="1:352" s="55" customFormat="1" ht="15" customHeight="1">
      <c r="A11" s="28"/>
      <c r="B11" s="95">
        <v>1</v>
      </c>
      <c r="C11" s="96" t="s">
        <v>865</v>
      </c>
      <c r="D11" s="97"/>
      <c r="E11" s="98" t="s">
        <v>767</v>
      </c>
      <c r="F11" s="99" t="str">
        <f>HYPERLINK("C:\SVN\SALT RunTime\Projects\SALT\Snapshots\TC_HomePage_Verify_Destination_country_002_AUS_IN-MU-DT-J27064\201597\135151\Iterator_1\TC_HomePage_Verify_Destination_country_002_AUS1.xlsx","Snapshot")</f>
        <v>Snapshot</v>
      </c>
      <c r="G11" s="100" t="str">
        <f>HYPERLINK("C:\SVN\SALT RunTime\Projects\SALT\Snapshots\TC_HomePage_Verify_Destination_country_002_AUS_IN-MU-DT-J27064\201597\135151\Iterator_1\Merge.html","Result")</f>
        <v>Result</v>
      </c>
      <c r="AW11" s="80"/>
      <c r="GL11" s="54"/>
      <c r="LC11" s="98"/>
      <c r="LD11" s="103"/>
      <c r="LE11" s="98"/>
      <c r="LF11" s="98"/>
      <c r="LG11" s="98" t="s">
        <v>432</v>
      </c>
      <c r="LH11" s="102"/>
      <c r="LS11" s="109"/>
      <c r="LT11" s="98"/>
      <c r="LU11" s="98"/>
      <c r="LV11" s="98" t="s">
        <v>858</v>
      </c>
      <c r="LY11" s="23">
        <v>42254.577673611115</v>
      </c>
      <c r="LZ11" s="23">
        <v>42254.580879629626</v>
      </c>
      <c r="MA11" s="55" t="s">
        <v>1174</v>
      </c>
      <c r="MB11" s="55" t="s">
        <v>1046</v>
      </c>
      <c r="ME11" s="101" t="s">
        <v>58</v>
      </c>
      <c r="MF11" s="107" t="s">
        <v>95</v>
      </c>
      <c r="MG11" s="102" t="s">
        <v>22</v>
      </c>
      <c r="MH11" s="109" t="s">
        <v>432</v>
      </c>
      <c r="MI11" s="109"/>
      <c r="MJ11" s="98"/>
      <c r="MK11" s="98" t="s">
        <v>59</v>
      </c>
      <c r="MM11" s="55" t="s">
        <v>432</v>
      </c>
      <c r="MN11" s="55" t="s">
        <v>1042</v>
      </c>
    </row>
    <row r="12" spans="1:352" s="55" customFormat="1" ht="15" customHeight="1">
      <c r="A12" s="28"/>
      <c r="B12" s="95">
        <v>1</v>
      </c>
      <c r="C12" s="96" t="s">
        <v>866</v>
      </c>
      <c r="D12" s="97"/>
      <c r="E12" s="98" t="s">
        <v>767</v>
      </c>
      <c r="F12" s="99" t="str">
        <f>HYPERLINK("C:\SVN\SALT RunTime\Projects\SALT\Snapshots\TC_HomePage_Verify_Destination_country_002_NZ_IN-MU-DT-J27064\201597\135629\Iterator_1\TC_HomePage_Verify_Destination_country_002_NZ1.xlsx","Snapshot")</f>
        <v>Snapshot</v>
      </c>
      <c r="G12" s="100" t="str">
        <f>HYPERLINK("C:\SVN\SALT RunTime\Projects\SALT\Snapshots\TC_HomePage_Verify_Destination_country_002_NZ_IN-MU-DT-J27064\201597\135629\Iterator_1\Merge.html","Result")</f>
        <v>Result</v>
      </c>
      <c r="AW12" s="80"/>
      <c r="GL12" s="54"/>
      <c r="LC12" s="98"/>
      <c r="LD12" s="103"/>
      <c r="LE12" s="98"/>
      <c r="LF12" s="98"/>
      <c r="LG12" s="98" t="s">
        <v>437</v>
      </c>
      <c r="LH12" s="102"/>
      <c r="LS12" s="109"/>
      <c r="LT12" s="98"/>
      <c r="LU12" s="98"/>
      <c r="LV12" s="98" t="s">
        <v>948</v>
      </c>
      <c r="LY12" s="23">
        <v>42254.580891203703</v>
      </c>
      <c r="LZ12" s="23">
        <v>42254.584108796298</v>
      </c>
      <c r="MA12" s="55" t="s">
        <v>1175</v>
      </c>
      <c r="MB12" s="55" t="s">
        <v>1047</v>
      </c>
      <c r="ME12" s="101" t="s">
        <v>58</v>
      </c>
      <c r="MF12" s="107" t="s">
        <v>95</v>
      </c>
      <c r="MG12" s="102" t="s">
        <v>22</v>
      </c>
      <c r="MH12" s="109" t="s">
        <v>436</v>
      </c>
      <c r="MI12" s="109"/>
      <c r="MJ12" s="98"/>
      <c r="MK12" s="98" t="s">
        <v>59</v>
      </c>
      <c r="MM12" s="55" t="s">
        <v>436</v>
      </c>
      <c r="MN12" s="98" t="s">
        <v>1043</v>
      </c>
    </row>
    <row r="13" spans="1:352" s="55" customFormat="1" ht="15" customHeight="1">
      <c r="A13" s="28"/>
      <c r="B13" s="95">
        <v>1</v>
      </c>
      <c r="C13" s="96" t="s">
        <v>867</v>
      </c>
      <c r="D13" s="97"/>
      <c r="E13" s="98" t="s">
        <v>767</v>
      </c>
      <c r="F13" s="99" t="str">
        <f>HYPERLINK("C:\SVN\SALT RunTime\Projects\SALT\Snapshots\TC_HomePage_Verify_Destination_country_002_USA_IN-MU-DT-J27064\201597\1418\Iterator_1\TC_HomePage_Verify_Destination_country_002_USA1.xlsx","Snapshot")</f>
        <v>Snapshot</v>
      </c>
      <c r="G13" s="100" t="str">
        <f>HYPERLINK("C:\SVN\SALT RunTime\Projects\SALT\Snapshots\TC_HomePage_Verify_Destination_country_002_USA_IN-MU-DT-J27064\201597\1418\Iterator_1\Merge.html","Result")</f>
        <v>Result</v>
      </c>
      <c r="AW13" s="80"/>
      <c r="GL13" s="54"/>
      <c r="LC13" s="98"/>
      <c r="LD13" s="103"/>
      <c r="LE13" s="98"/>
      <c r="LF13" s="98"/>
      <c r="LG13" s="98" t="s">
        <v>437</v>
      </c>
      <c r="LH13" s="102"/>
      <c r="LS13" s="109"/>
      <c r="LT13" s="98"/>
      <c r="LU13" s="98"/>
      <c r="LV13" s="98" t="s">
        <v>949</v>
      </c>
      <c r="LY13" s="23">
        <v>42254.584120370368</v>
      </c>
      <c r="LZ13" s="23">
        <v>42254.587337962963</v>
      </c>
      <c r="MA13" s="55" t="s">
        <v>1175</v>
      </c>
      <c r="MB13" s="55" t="s">
        <v>1045</v>
      </c>
      <c r="ME13" s="101" t="s">
        <v>58</v>
      </c>
      <c r="MF13" s="107" t="s">
        <v>95</v>
      </c>
      <c r="MG13" s="102" t="s">
        <v>22</v>
      </c>
      <c r="MH13" s="109" t="s">
        <v>880</v>
      </c>
      <c r="MI13" s="109"/>
      <c r="MJ13" s="98"/>
      <c r="MK13" s="98" t="s">
        <v>59</v>
      </c>
      <c r="MM13" s="55" t="s">
        <v>880</v>
      </c>
      <c r="MN13" s="98" t="s">
        <v>1040</v>
      </c>
    </row>
    <row r="14" spans="1:352" s="55" customFormat="1" ht="15" customHeight="1">
      <c r="A14" s="28"/>
      <c r="B14" s="95">
        <v>1</v>
      </c>
      <c r="C14" s="96" t="s">
        <v>953</v>
      </c>
      <c r="D14" s="97"/>
      <c r="E14" s="98" t="s">
        <v>767</v>
      </c>
      <c r="F14" s="99" t="str">
        <f>HYPERLINK("C:\SVN\SALT RunTime\Projects\SALT\Snapshots\TC_HomePage_Verify_Destination_country_002_GR_IN-MU-DT-J27064\201597\14547\Iterator_1\TC_HomePage_Verify_Destination_country_002_GR1.xlsx","Snapshot")</f>
        <v>Snapshot</v>
      </c>
      <c r="G14" s="100" t="str">
        <f>HYPERLINK("C:\SVN\SALT RunTime\Projects\SALT\Snapshots\TC_HomePage_Verify_Destination_country_002_GR_IN-MU-DT-J27064\201597\14547\Iterator_1\Merge.html","Result")</f>
        <v>Result</v>
      </c>
      <c r="AW14" s="80"/>
      <c r="GL14" s="54"/>
      <c r="LC14" s="98"/>
      <c r="LD14" s="103"/>
      <c r="LE14" s="98"/>
      <c r="LF14" s="98"/>
      <c r="LG14" s="98" t="s">
        <v>437</v>
      </c>
      <c r="LH14" s="102"/>
      <c r="LS14" s="109"/>
      <c r="LT14" s="98"/>
      <c r="LU14" s="98"/>
      <c r="LV14" s="98" t="s">
        <v>978</v>
      </c>
      <c r="LY14" s="23">
        <v>42254.58734953704</v>
      </c>
      <c r="LZ14" s="23">
        <v>42254.590613425928</v>
      </c>
      <c r="MA14" s="55" t="s">
        <v>1163</v>
      </c>
      <c r="MB14" s="55" t="s">
        <v>1064</v>
      </c>
      <c r="ME14" s="101" t="s">
        <v>58</v>
      </c>
      <c r="MF14" s="107" t="s">
        <v>95</v>
      </c>
      <c r="MG14" s="102" t="s">
        <v>22</v>
      </c>
      <c r="MH14" s="109" t="s">
        <v>984</v>
      </c>
      <c r="MI14" s="109"/>
      <c r="MJ14" s="98"/>
      <c r="MK14" s="98" t="s">
        <v>59</v>
      </c>
      <c r="MM14" s="55" t="s">
        <v>984</v>
      </c>
      <c r="MN14" s="55" t="s">
        <v>1052</v>
      </c>
    </row>
    <row r="15" spans="1:352" s="55" customFormat="1" ht="15" customHeight="1">
      <c r="A15" s="28"/>
      <c r="B15" s="95">
        <v>1</v>
      </c>
      <c r="C15" s="96" t="s">
        <v>954</v>
      </c>
      <c r="D15" s="97"/>
      <c r="E15" s="98"/>
      <c r="F15" s="99"/>
      <c r="G15" s="100"/>
      <c r="AW15" s="80"/>
      <c r="GL15" s="54"/>
      <c r="LC15" s="98"/>
      <c r="LD15" s="103"/>
      <c r="LE15" s="98"/>
      <c r="LF15" s="98"/>
      <c r="LG15" s="98"/>
      <c r="LH15" s="102"/>
      <c r="LS15" s="109"/>
      <c r="LT15" s="98"/>
      <c r="LU15" s="98"/>
      <c r="LV15" s="98"/>
      <c r="LY15" s="23"/>
      <c r="LZ15" s="23"/>
      <c r="ME15" s="101" t="s">
        <v>58</v>
      </c>
      <c r="MF15" s="107" t="s">
        <v>95</v>
      </c>
      <c r="MG15" s="102" t="s">
        <v>22</v>
      </c>
      <c r="MH15" s="109"/>
      <c r="MI15" s="109"/>
      <c r="MJ15" s="98"/>
      <c r="MK15" s="98" t="s">
        <v>59</v>
      </c>
      <c r="MN15" s="98"/>
    </row>
    <row r="16" spans="1:352" s="55" customFormat="1" ht="15" customHeight="1">
      <c r="A16" s="28"/>
      <c r="B16" s="95">
        <v>1</v>
      </c>
      <c r="C16" s="96" t="s">
        <v>1099</v>
      </c>
      <c r="D16" s="97"/>
      <c r="E16" s="98" t="s">
        <v>767</v>
      </c>
      <c r="F16" s="99" t="s">
        <v>1189</v>
      </c>
      <c r="G16" s="100" t="str">
        <f>HYPERLINK("C:\SVN\SALT RunTime\Projects\SALT\Snapshots\TC_HomePage_Verify_Cash_003_UK_IN-MU-DT-J27064\201598\10936\Iterator_1\Merge.html","Result")</f>
        <v>Result</v>
      </c>
      <c r="AW16" s="80"/>
      <c r="GL16" s="54"/>
      <c r="LC16" s="98"/>
      <c r="LD16" s="103"/>
      <c r="LE16" s="98"/>
      <c r="LF16" s="98"/>
      <c r="LG16" s="98"/>
      <c r="LH16" s="102"/>
      <c r="LQ16" s="55" t="s">
        <v>879</v>
      </c>
      <c r="LR16" s="55" t="s">
        <v>876</v>
      </c>
      <c r="LS16" s="109" t="s">
        <v>968</v>
      </c>
      <c r="LT16" s="98"/>
      <c r="LU16" s="98"/>
      <c r="LV16" s="98"/>
      <c r="LY16" s="23">
        <v>42255.423333333332</v>
      </c>
      <c r="LZ16" s="23">
        <v>42255.426516203705</v>
      </c>
      <c r="MA16" s="55" t="s">
        <v>1188</v>
      </c>
      <c r="ME16" s="101" t="s">
        <v>58</v>
      </c>
      <c r="MF16" s="107" t="s">
        <v>95</v>
      </c>
      <c r="MG16" s="102" t="s">
        <v>22</v>
      </c>
      <c r="MH16" s="109" t="s">
        <v>877</v>
      </c>
      <c r="MI16" s="109"/>
      <c r="MJ16" s="98" t="s">
        <v>78</v>
      </c>
      <c r="MK16" s="98" t="s">
        <v>59</v>
      </c>
      <c r="ML16" s="55" t="s">
        <v>78</v>
      </c>
      <c r="MM16" s="55" t="s">
        <v>877</v>
      </c>
      <c r="MN16" s="98" t="s">
        <v>1041</v>
      </c>
    </row>
    <row r="17" spans="1:352" s="55" customFormat="1" ht="15" customHeight="1">
      <c r="A17" s="28"/>
      <c r="B17" s="95">
        <v>1</v>
      </c>
      <c r="C17" s="96" t="s">
        <v>1100</v>
      </c>
      <c r="D17" s="97"/>
      <c r="E17" s="98"/>
      <c r="F17" s="99"/>
      <c r="G17" s="100"/>
      <c r="AW17" s="80"/>
      <c r="GL17" s="54"/>
      <c r="LC17" s="98"/>
      <c r="LD17" s="103"/>
      <c r="LE17" s="98"/>
      <c r="LF17" s="98"/>
      <c r="LG17" s="98"/>
      <c r="LH17" s="102"/>
      <c r="LQ17" s="55" t="s">
        <v>879</v>
      </c>
      <c r="LR17" s="55" t="s">
        <v>876</v>
      </c>
      <c r="LS17" s="109" t="s">
        <v>968</v>
      </c>
      <c r="LT17" s="98"/>
      <c r="LU17" s="98"/>
      <c r="LV17" s="98"/>
      <c r="LY17" s="23">
        <v>42250.338449074072</v>
      </c>
      <c r="LZ17" s="23">
        <v>42250.341319444444</v>
      </c>
      <c r="MA17" s="55" t="s">
        <v>1161</v>
      </c>
      <c r="ME17" s="101" t="s">
        <v>58</v>
      </c>
      <c r="MF17" s="107" t="s">
        <v>95</v>
      </c>
      <c r="MG17" s="102" t="s">
        <v>22</v>
      </c>
      <c r="MH17" s="109" t="s">
        <v>432</v>
      </c>
      <c r="MI17" s="109"/>
      <c r="MJ17" s="98" t="s">
        <v>78</v>
      </c>
      <c r="MK17" s="98" t="s">
        <v>59</v>
      </c>
      <c r="ML17" s="55" t="s">
        <v>78</v>
      </c>
      <c r="MM17" s="55" t="s">
        <v>432</v>
      </c>
      <c r="MN17" s="55" t="s">
        <v>1042</v>
      </c>
    </row>
    <row r="18" spans="1:352" s="55" customFormat="1" ht="15" customHeight="1">
      <c r="A18" s="28"/>
      <c r="B18" s="95">
        <v>1</v>
      </c>
      <c r="C18" s="96" t="s">
        <v>1101</v>
      </c>
      <c r="D18" s="97"/>
      <c r="E18" s="98"/>
      <c r="F18" s="99"/>
      <c r="G18" s="100"/>
      <c r="AW18" s="80"/>
      <c r="GL18" s="54"/>
      <c r="LC18" s="98"/>
      <c r="LD18" s="103"/>
      <c r="LE18" s="98"/>
      <c r="LF18" s="98"/>
      <c r="LG18" s="98"/>
      <c r="LH18" s="102"/>
      <c r="LQ18" s="55" t="s">
        <v>879</v>
      </c>
      <c r="LR18" s="55" t="s">
        <v>876</v>
      </c>
      <c r="LS18" s="109" t="s">
        <v>968</v>
      </c>
      <c r="LT18" s="98"/>
      <c r="LU18" s="98"/>
      <c r="LV18" s="98"/>
      <c r="LY18" s="23">
        <v>42250.341319444444</v>
      </c>
      <c r="LZ18" s="23">
        <v>42250.343912037039</v>
      </c>
      <c r="MA18" s="55" t="s">
        <v>1162</v>
      </c>
      <c r="ME18" s="101" t="s">
        <v>58</v>
      </c>
      <c r="MF18" s="107" t="s">
        <v>95</v>
      </c>
      <c r="MG18" s="102" t="s">
        <v>22</v>
      </c>
      <c r="MH18" s="109" t="s">
        <v>436</v>
      </c>
      <c r="MI18" s="109"/>
      <c r="MJ18" s="98" t="s">
        <v>78</v>
      </c>
      <c r="MK18" s="98" t="s">
        <v>59</v>
      </c>
      <c r="ML18" s="55" t="s">
        <v>78</v>
      </c>
      <c r="MM18" s="55" t="s">
        <v>436</v>
      </c>
      <c r="MN18" s="98" t="s">
        <v>1043</v>
      </c>
    </row>
    <row r="19" spans="1:352" s="55" customFormat="1" ht="15" customHeight="1">
      <c r="A19" s="28"/>
      <c r="B19" s="95">
        <v>1</v>
      </c>
      <c r="C19" s="96" t="s">
        <v>1102</v>
      </c>
      <c r="D19" s="97"/>
      <c r="E19" s="98"/>
      <c r="F19" s="99"/>
      <c r="G19" s="100"/>
      <c r="AW19" s="80"/>
      <c r="GL19" s="54"/>
      <c r="LC19" s="98"/>
      <c r="LD19" s="103"/>
      <c r="LE19" s="98"/>
      <c r="LF19" s="98"/>
      <c r="LG19" s="98"/>
      <c r="LH19" s="102"/>
      <c r="LQ19" s="55" t="s">
        <v>879</v>
      </c>
      <c r="LR19" s="55" t="s">
        <v>876</v>
      </c>
      <c r="LS19" s="109" t="s">
        <v>968</v>
      </c>
      <c r="LT19" s="98"/>
      <c r="LU19" s="98"/>
      <c r="LV19" s="98"/>
      <c r="LY19" s="23">
        <v>42250.343923611108</v>
      </c>
      <c r="LZ19" s="23">
        <v>42250.346354166664</v>
      </c>
      <c r="MA19" s="55" t="s">
        <v>1135</v>
      </c>
      <c r="ME19" s="101" t="s">
        <v>58</v>
      </c>
      <c r="MF19" s="107" t="s">
        <v>95</v>
      </c>
      <c r="MG19" s="102" t="s">
        <v>22</v>
      </c>
      <c r="MH19" s="109" t="s">
        <v>880</v>
      </c>
      <c r="MI19" s="109"/>
      <c r="MJ19" s="98" t="s">
        <v>78</v>
      </c>
      <c r="MK19" s="98" t="s">
        <v>59</v>
      </c>
      <c r="ML19" s="55" t="s">
        <v>78</v>
      </c>
      <c r="MM19" s="55" t="s">
        <v>880</v>
      </c>
      <c r="MN19" s="98" t="s">
        <v>1040</v>
      </c>
    </row>
    <row r="20" spans="1:352" s="55" customFormat="1" ht="15" customHeight="1">
      <c r="A20" s="28"/>
      <c r="B20" s="95">
        <v>1</v>
      </c>
      <c r="C20" s="96" t="s">
        <v>1103</v>
      </c>
      <c r="D20" s="97"/>
      <c r="E20" s="98"/>
      <c r="F20" s="99"/>
      <c r="G20" s="100"/>
      <c r="AW20" s="80"/>
      <c r="GL20" s="54"/>
      <c r="LC20" s="98"/>
      <c r="LD20" s="103"/>
      <c r="LE20" s="98"/>
      <c r="LF20" s="98"/>
      <c r="LG20" s="98"/>
      <c r="LH20" s="102"/>
      <c r="LQ20" s="55" t="s">
        <v>879</v>
      </c>
      <c r="LR20" s="55" t="s">
        <v>876</v>
      </c>
      <c r="LS20" s="109" t="s">
        <v>968</v>
      </c>
      <c r="LT20" s="98"/>
      <c r="LU20" s="98"/>
      <c r="LV20" s="98"/>
      <c r="LY20" s="23">
        <v>42250.346365740741</v>
      </c>
      <c r="LZ20" s="23">
        <v>42250.349097222221</v>
      </c>
      <c r="MA20" s="55" t="s">
        <v>1160</v>
      </c>
      <c r="ME20" s="101" t="s">
        <v>58</v>
      </c>
      <c r="MF20" s="107" t="s">
        <v>95</v>
      </c>
      <c r="MG20" s="102" t="s">
        <v>22</v>
      </c>
      <c r="MH20" s="109" t="s">
        <v>984</v>
      </c>
      <c r="MI20" s="109"/>
      <c r="MJ20" s="98" t="s">
        <v>78</v>
      </c>
      <c r="MK20" s="98" t="s">
        <v>59</v>
      </c>
      <c r="ML20" s="55" t="s">
        <v>78</v>
      </c>
      <c r="MM20" s="55" t="s">
        <v>984</v>
      </c>
      <c r="MN20" s="55" t="s">
        <v>1052</v>
      </c>
    </row>
    <row r="21" spans="1:352" s="55" customFormat="1" ht="15" customHeight="1">
      <c r="A21" s="28"/>
      <c r="B21" s="95">
        <v>1</v>
      </c>
      <c r="C21" s="96" t="s">
        <v>1104</v>
      </c>
      <c r="D21" s="97"/>
      <c r="E21" s="98"/>
      <c r="F21" s="99"/>
      <c r="G21" s="100"/>
      <c r="AW21" s="80"/>
      <c r="GL21" s="54"/>
      <c r="LC21" s="98"/>
      <c r="LD21" s="103"/>
      <c r="LE21" s="98"/>
      <c r="LF21" s="98"/>
      <c r="LG21" s="98"/>
      <c r="LH21" s="102"/>
      <c r="LS21" s="109"/>
      <c r="LT21" s="98"/>
      <c r="LU21" s="98"/>
      <c r="LV21" s="98"/>
      <c r="LY21" s="23"/>
      <c r="LZ21" s="23"/>
      <c r="ME21" s="101" t="s">
        <v>58</v>
      </c>
      <c r="MF21" s="107" t="s">
        <v>95</v>
      </c>
      <c r="MG21" s="102" t="s">
        <v>22</v>
      </c>
      <c r="MH21" s="109"/>
      <c r="MI21" s="109"/>
      <c r="MJ21" s="98" t="s">
        <v>78</v>
      </c>
      <c r="MK21" s="98" t="s">
        <v>59</v>
      </c>
      <c r="MN21" s="98"/>
    </row>
    <row r="22" spans="1:352" s="55" customFormat="1" ht="15" customHeight="1">
      <c r="A22" s="28"/>
      <c r="B22" s="95">
        <v>1</v>
      </c>
      <c r="C22" s="96" t="s">
        <v>886</v>
      </c>
      <c r="D22" s="97"/>
      <c r="E22" s="98" t="s">
        <v>767</v>
      </c>
      <c r="F22" s="99" t="str">
        <f>HYPERLINK("C:\SVN\SALT RunTime\Projects\SALT\Snapshots\TC_HomePage_Verify_Help_Tool_Tip_006_UK_IN-MU-DT-J27064\201597\141030\Iterator_1\TC_HomePage_Verify_Help_Tool_Tip_006_UK1.xlsx","Snapshot")</f>
        <v>Snapshot</v>
      </c>
      <c r="G22" s="100" t="str">
        <f>HYPERLINK("C:\SVN\SALT RunTime\Projects\SALT\Snapshots\TC_HomePage_Verify_Help_Tool_Tip_006_UK_IN-MU-DT-J27064\201597\141030\Iterator_1\Merge.html","Result")</f>
        <v>Result</v>
      </c>
      <c r="AW22" s="80"/>
      <c r="GL22" s="54"/>
      <c r="LC22" s="98"/>
      <c r="LD22" s="103"/>
      <c r="LE22" s="98"/>
      <c r="LF22" s="98"/>
      <c r="LG22" s="98"/>
      <c r="LH22" s="102" t="s">
        <v>883</v>
      </c>
      <c r="LI22" s="55" t="s">
        <v>885</v>
      </c>
      <c r="LS22" s="109"/>
      <c r="LT22" s="98"/>
      <c r="LU22" s="98"/>
      <c r="LV22" s="98"/>
      <c r="LY22" s="23">
        <v>42254.590624999997</v>
      </c>
      <c r="LZ22" s="23">
        <v>42254.592638888891</v>
      </c>
      <c r="MA22" s="55" t="s">
        <v>1176</v>
      </c>
      <c r="ME22" s="101" t="s">
        <v>58</v>
      </c>
      <c r="MF22" s="107" t="s">
        <v>95</v>
      </c>
      <c r="MG22" s="102" t="s">
        <v>22</v>
      </c>
      <c r="MH22" s="109" t="s">
        <v>877</v>
      </c>
      <c r="MI22" s="109"/>
      <c r="MJ22" s="98"/>
      <c r="MK22" s="98"/>
      <c r="MM22" s="55" t="s">
        <v>877</v>
      </c>
      <c r="MN22" s="98" t="s">
        <v>1041</v>
      </c>
    </row>
    <row r="23" spans="1:352" s="55" customFormat="1" ht="15" customHeight="1">
      <c r="A23" s="28"/>
      <c r="B23" s="95">
        <v>1</v>
      </c>
      <c r="C23" s="96" t="s">
        <v>887</v>
      </c>
      <c r="D23" s="97"/>
      <c r="E23" s="98" t="s">
        <v>767</v>
      </c>
      <c r="F23" s="99" t="str">
        <f>HYPERLINK("C:\SVN\SALT RunTime\Projects\SALT\Snapshots\TC_HomePage_Verify_Help_Tool_Tip_006_AUS_IN-MU-DT-J27064\201597\141325\Iterator_1\TC_HomePage_Verify_Help_Tool_Tip_006_AUS1.xlsx","Snapshot")</f>
        <v>Snapshot</v>
      </c>
      <c r="G23" s="100" t="str">
        <f>HYPERLINK("C:\SVN\SALT RunTime\Projects\SALT\Snapshots\TC_HomePage_Verify_Help_Tool_Tip_006_AUS_IN-MU-DT-J27064\201597\141325\Iterator_1\Merge.html","Result")</f>
        <v>Result</v>
      </c>
      <c r="AW23" s="80"/>
      <c r="GL23" s="54"/>
      <c r="LC23" s="98"/>
      <c r="LD23" s="103"/>
      <c r="LE23" s="98"/>
      <c r="LF23" s="98"/>
      <c r="LG23" s="98"/>
      <c r="LH23" s="102" t="s">
        <v>883</v>
      </c>
      <c r="LI23" s="55" t="s">
        <v>885</v>
      </c>
      <c r="LS23" s="109"/>
      <c r="LT23" s="98"/>
      <c r="LU23" s="98"/>
      <c r="LV23" s="98"/>
      <c r="LY23" s="23">
        <v>42254.592650462961</v>
      </c>
      <c r="LZ23" s="23">
        <v>42254.594502314816</v>
      </c>
      <c r="MA23" s="55" t="s">
        <v>1164</v>
      </c>
      <c r="ME23" s="101" t="s">
        <v>58</v>
      </c>
      <c r="MF23" s="107" t="s">
        <v>95</v>
      </c>
      <c r="MG23" s="102" t="s">
        <v>22</v>
      </c>
      <c r="MH23" s="109" t="s">
        <v>432</v>
      </c>
      <c r="MI23" s="109"/>
      <c r="MJ23" s="98"/>
      <c r="MK23" s="98"/>
      <c r="MM23" s="55" t="s">
        <v>432</v>
      </c>
      <c r="MN23" s="55" t="s">
        <v>1042</v>
      </c>
    </row>
    <row r="24" spans="1:352" s="55" customFormat="1" ht="15" customHeight="1">
      <c r="A24" s="28"/>
      <c r="B24" s="95">
        <v>1</v>
      </c>
      <c r="C24" s="96" t="s">
        <v>888</v>
      </c>
      <c r="D24" s="97"/>
      <c r="E24" s="98" t="s">
        <v>767</v>
      </c>
      <c r="F24" s="99" t="str">
        <f>HYPERLINK("C:\SVN\SALT RunTime\Projects\SALT\Snapshots\TC_HomePage_Verify_Help_Tool_Tip_006_NZ_IN-MU-DT-J27064\201597\14166\Iterator_1\TC_HomePage_Verify_Help_Tool_Tip_006_NZ1.xlsx","Snapshot")</f>
        <v>Snapshot</v>
      </c>
      <c r="G24" s="100" t="str">
        <f>HYPERLINK("C:\SVN\SALT RunTime\Projects\SALT\Snapshots\TC_HomePage_Verify_Help_Tool_Tip_006_NZ_IN-MU-DT-J27064\201597\14166\Iterator_1\Merge.html","Result")</f>
        <v>Result</v>
      </c>
      <c r="AW24" s="80"/>
      <c r="GL24" s="54"/>
      <c r="LC24" s="98"/>
      <c r="LD24" s="103"/>
      <c r="LE24" s="98"/>
      <c r="LF24" s="98"/>
      <c r="LG24" s="98"/>
      <c r="LH24" s="102" t="s">
        <v>883</v>
      </c>
      <c r="LI24" s="55" t="s">
        <v>885</v>
      </c>
      <c r="LS24" s="109"/>
      <c r="LT24" s="98"/>
      <c r="LU24" s="98"/>
      <c r="LV24" s="98"/>
      <c r="LY24" s="23">
        <v>42254.594513888886</v>
      </c>
      <c r="LZ24" s="23">
        <v>42254.596365740741</v>
      </c>
      <c r="MA24" s="55" t="s">
        <v>1164</v>
      </c>
      <c r="ME24" s="101" t="s">
        <v>58</v>
      </c>
      <c r="MF24" s="107" t="s">
        <v>95</v>
      </c>
      <c r="MG24" s="102" t="s">
        <v>22</v>
      </c>
      <c r="MH24" s="109" t="s">
        <v>436</v>
      </c>
      <c r="MI24" s="109"/>
      <c r="MJ24" s="98"/>
      <c r="MK24" s="98"/>
      <c r="MM24" s="55" t="s">
        <v>436</v>
      </c>
      <c r="MN24" s="98" t="s">
        <v>1043</v>
      </c>
    </row>
    <row r="25" spans="1:352" s="55" customFormat="1" ht="15" customHeight="1">
      <c r="A25" s="28"/>
      <c r="B25" s="95">
        <v>1</v>
      </c>
      <c r="C25" s="96" t="s">
        <v>889</v>
      </c>
      <c r="D25" s="97"/>
      <c r="E25" s="98" t="s">
        <v>767</v>
      </c>
      <c r="F25" s="99" t="str">
        <f>HYPERLINK("C:\SVN\SALT RunTime\Projects\SALT\Snapshots\TC_HomePage_Verify_Help_Tool_Tip_006_USA_IN-MU-DT-J27064\201597\141848\Iterator_1\TC_HomePage_Verify_Help_Tool_Tip_006_USA1.xlsx","Snapshot")</f>
        <v>Snapshot</v>
      </c>
      <c r="G25" s="100" t="str">
        <f>HYPERLINK("C:\SVN\SALT RunTime\Projects\SALT\Snapshots\TC_HomePage_Verify_Help_Tool_Tip_006_USA_IN-MU-DT-J27064\201597\141848\Iterator_1\Merge.html","Result")</f>
        <v>Result</v>
      </c>
      <c r="AW25" s="80"/>
      <c r="GL25" s="54"/>
      <c r="LC25" s="98"/>
      <c r="LD25" s="103"/>
      <c r="LE25" s="98"/>
      <c r="LF25" s="98"/>
      <c r="LG25" s="98"/>
      <c r="LH25" s="102" t="s">
        <v>883</v>
      </c>
      <c r="LI25" s="55" t="s">
        <v>885</v>
      </c>
      <c r="LS25" s="109"/>
      <c r="LT25" s="98"/>
      <c r="LU25" s="98"/>
      <c r="LV25" s="98"/>
      <c r="LY25" s="23">
        <v>42254.596388888887</v>
      </c>
      <c r="LZ25" s="23">
        <v>42254.598391203705</v>
      </c>
      <c r="MA25" s="55" t="s">
        <v>1165</v>
      </c>
      <c r="ME25" s="101" t="s">
        <v>58</v>
      </c>
      <c r="MF25" s="107" t="s">
        <v>95</v>
      </c>
      <c r="MG25" s="102" t="s">
        <v>22</v>
      </c>
      <c r="MH25" s="109" t="s">
        <v>880</v>
      </c>
      <c r="MI25" s="109"/>
      <c r="MJ25" s="98"/>
      <c r="MK25" s="98"/>
      <c r="MM25" s="55" t="s">
        <v>880</v>
      </c>
      <c r="MN25" s="98" t="s">
        <v>1040</v>
      </c>
    </row>
    <row r="26" spans="1:352" s="55" customFormat="1" ht="15" customHeight="1">
      <c r="A26" s="28"/>
      <c r="B26" s="95">
        <v>1</v>
      </c>
      <c r="C26" s="96" t="s">
        <v>955</v>
      </c>
      <c r="D26" s="97"/>
      <c r="E26" s="98" t="s">
        <v>767</v>
      </c>
      <c r="F26" s="99" t="str">
        <f>HYPERLINK("C:\SVN\SALT RunTime\Projects\SALT\Snapshots\TC_HomePage_Verify_Help_Tool_Tip_006_GR_IN-MU-DT-J27064\201597\142143\Iterator_1\TC_HomePage_Verify_Help_Tool_Tip_006_GR1.xlsx","Snapshot")</f>
        <v>Snapshot</v>
      </c>
      <c r="G26" s="100" t="str">
        <f>HYPERLINK("C:\SVN\SALT RunTime\Projects\SALT\Snapshots\TC_HomePage_Verify_Help_Tool_Tip_006_GR_IN-MU-DT-J27064\201597\142143\Iterator_1\Merge.html","Result")</f>
        <v>Result</v>
      </c>
      <c r="AW26" s="80"/>
      <c r="GL26" s="54"/>
      <c r="LC26" s="98"/>
      <c r="LD26" s="103"/>
      <c r="LE26" s="98"/>
      <c r="LF26" s="98"/>
      <c r="LG26" s="98"/>
      <c r="LH26" s="102" t="s">
        <v>986</v>
      </c>
      <c r="LI26" s="55" t="s">
        <v>987</v>
      </c>
      <c r="LJ26" s="107" t="s">
        <v>974</v>
      </c>
      <c r="LS26" s="109"/>
      <c r="LT26" s="98"/>
      <c r="LU26" s="98"/>
      <c r="LV26" s="98"/>
      <c r="LY26" s="23">
        <v>42254.598414351851</v>
      </c>
      <c r="LZ26" s="23">
        <v>42254.600358796299</v>
      </c>
      <c r="MA26" s="55" t="s">
        <v>1134</v>
      </c>
      <c r="ME26" s="101" t="s">
        <v>58</v>
      </c>
      <c r="MF26" s="107" t="s">
        <v>95</v>
      </c>
      <c r="MG26" s="102" t="s">
        <v>22</v>
      </c>
      <c r="MH26" s="109" t="s">
        <v>984</v>
      </c>
      <c r="MI26" s="109"/>
      <c r="MJ26" s="98"/>
      <c r="MK26" s="98"/>
      <c r="MM26" s="55" t="s">
        <v>984</v>
      </c>
      <c r="MN26" s="55" t="s">
        <v>1052</v>
      </c>
    </row>
    <row r="27" spans="1:352" s="55" customFormat="1" ht="15" customHeight="1">
      <c r="A27" s="28"/>
      <c r="B27" s="95">
        <v>1</v>
      </c>
      <c r="C27" s="96" t="s">
        <v>956</v>
      </c>
      <c r="D27" s="97"/>
      <c r="E27" s="98"/>
      <c r="F27" s="99"/>
      <c r="G27" s="100"/>
      <c r="AW27" s="80"/>
      <c r="GL27" s="54"/>
      <c r="LC27" s="98"/>
      <c r="LD27" s="103"/>
      <c r="LE27" s="98"/>
      <c r="LF27" s="98"/>
      <c r="LG27" s="98"/>
      <c r="LH27" s="102"/>
      <c r="LJ27" s="55" t="s">
        <v>975</v>
      </c>
      <c r="LS27" s="109"/>
      <c r="LT27" s="98"/>
      <c r="LU27" s="98"/>
      <c r="LV27" s="98"/>
      <c r="LY27" s="23"/>
      <c r="LZ27" s="23"/>
      <c r="ME27" s="101" t="s">
        <v>58</v>
      </c>
      <c r="MF27" s="107" t="s">
        <v>95</v>
      </c>
      <c r="MG27" s="102" t="s">
        <v>22</v>
      </c>
      <c r="MH27" s="109"/>
      <c r="MI27" s="109"/>
      <c r="MJ27" s="98"/>
      <c r="MK27" s="98"/>
      <c r="MN27" s="98"/>
    </row>
    <row r="28" spans="1:352" s="55" customFormat="1" ht="15" customHeight="1">
      <c r="A28" s="28"/>
      <c r="B28" s="95">
        <v>1</v>
      </c>
      <c r="C28" s="96" t="s">
        <v>890</v>
      </c>
      <c r="D28" s="97"/>
      <c r="E28" s="98" t="s">
        <v>767</v>
      </c>
      <c r="F28" s="99" t="str">
        <f>HYPERLINK("C:\SVN\SALT RunTime\Projects\SALT\Snapshots\TC_HomePage_Verify_Store_Locator_010_UK_IN-MU-DT-J27064\201598\749\Iterator_1\TC_HomePage_Verify_Store_Locator_010_UK1.xlsx","Snapshot")</f>
        <v>Snapshot</v>
      </c>
      <c r="G28" s="100" t="str">
        <f>HYPERLINK("C:\SVN\SALT RunTime\Projects\SALT\Snapshots\TC_HomePage_Verify_Store_Locator_010_UK_IN-MU-DT-J27064\201598\749\Iterator_1\Merge.html","Result")</f>
        <v>Result</v>
      </c>
      <c r="AW28" s="80"/>
      <c r="GL28" s="54"/>
      <c r="LC28" s="98"/>
      <c r="LD28" s="103"/>
      <c r="LE28" s="98"/>
      <c r="LF28" s="98"/>
      <c r="LG28" s="98"/>
      <c r="LH28" s="102"/>
      <c r="LK28" s="55" t="s">
        <v>1035</v>
      </c>
      <c r="LL28" s="55" t="s">
        <v>1029</v>
      </c>
      <c r="LM28" s="55" t="s">
        <v>1019</v>
      </c>
      <c r="LS28" s="109"/>
      <c r="LT28" s="98"/>
      <c r="LU28" s="98"/>
      <c r="LV28" s="98"/>
      <c r="LY28" s="23">
        <v>42255.294548611113</v>
      </c>
      <c r="LZ28" s="23">
        <v>42255.298125000001</v>
      </c>
      <c r="MA28" s="55" t="s">
        <v>1185</v>
      </c>
      <c r="ME28" s="101" t="s">
        <v>58</v>
      </c>
      <c r="MF28" s="107" t="s">
        <v>95</v>
      </c>
      <c r="MG28" s="102" t="s">
        <v>22</v>
      </c>
      <c r="MH28" s="109" t="s">
        <v>877</v>
      </c>
      <c r="MI28" s="109"/>
      <c r="MJ28" s="98"/>
      <c r="MK28" s="98"/>
      <c r="MM28" s="55" t="s">
        <v>877</v>
      </c>
      <c r="MN28" s="98" t="s">
        <v>1033</v>
      </c>
    </row>
    <row r="29" spans="1:352" s="55" customFormat="1" ht="15" customHeight="1">
      <c r="A29" s="28"/>
      <c r="B29" s="95">
        <v>1</v>
      </c>
      <c r="C29" s="96" t="s">
        <v>893</v>
      </c>
      <c r="D29" s="97"/>
      <c r="E29" s="98" t="s">
        <v>767</v>
      </c>
      <c r="F29" s="99" t="str">
        <f>HYPERLINK("C:\SVN\SALT RunTime\Projects\SALT\Snapshots\TC_HomePage_Verify_Store_Locator_010_AUS_IN-MU-DT-J27064\201597\142723\Iterator_1\TC_HomePage_Verify_Store_Locator_010_AUS1.xlsx","Snapshot")</f>
        <v>Snapshot</v>
      </c>
      <c r="G29" s="100" t="str">
        <f>HYPERLINK("C:\SVN\SALT RunTime\Projects\SALT\Snapshots\TC_HomePage_Verify_Store_Locator_010_AUS_IN-MU-DT-J27064\201597\142723\Iterator_1\Merge.html","Result")</f>
        <v>Result</v>
      </c>
      <c r="AW29" s="80"/>
      <c r="GL29" s="54"/>
      <c r="LC29" s="98"/>
      <c r="LD29" s="103"/>
      <c r="LE29" s="98"/>
      <c r="LF29" s="98"/>
      <c r="LG29" s="98"/>
      <c r="LH29" s="102"/>
      <c r="LL29" s="119" t="s">
        <v>1078</v>
      </c>
      <c r="LM29" s="55" t="s">
        <v>1020</v>
      </c>
      <c r="LS29" s="109"/>
      <c r="LT29" s="98"/>
      <c r="LU29" s="98"/>
      <c r="LV29" s="98"/>
      <c r="LY29" s="23">
        <v>42254.602349537039</v>
      </c>
      <c r="LZ29" s="23">
        <v>42254.604259259257</v>
      </c>
      <c r="MA29" s="55" t="s">
        <v>1177</v>
      </c>
      <c r="ME29" s="101" t="s">
        <v>58</v>
      </c>
      <c r="MF29" s="107" t="s">
        <v>95</v>
      </c>
      <c r="MG29" s="102" t="s">
        <v>22</v>
      </c>
      <c r="MH29" s="109" t="s">
        <v>432</v>
      </c>
      <c r="MI29" s="109"/>
      <c r="MJ29" s="98"/>
      <c r="MK29" s="98"/>
      <c r="MM29" s="55" t="s">
        <v>432</v>
      </c>
      <c r="MN29" s="98" t="s">
        <v>1080</v>
      </c>
    </row>
    <row r="30" spans="1:352" s="55" customFormat="1" ht="15" customHeight="1">
      <c r="A30" s="28"/>
      <c r="B30" s="95">
        <v>1</v>
      </c>
      <c r="C30" s="96" t="s">
        <v>894</v>
      </c>
      <c r="D30" s="97"/>
      <c r="E30" s="98" t="s">
        <v>767</v>
      </c>
      <c r="F30" s="99" t="str">
        <f>HYPERLINK("C:\SVN\SALT RunTime\Projects\SALT\Snapshots\TC_HomePage_Verify_Store_Locator_010_NZ_IN-MU-DT-J27064\201597\14309\Iterator_1\TC_HomePage_Verify_Store_Locator_010_NZ1.xlsx","Snapshot")</f>
        <v>Snapshot</v>
      </c>
      <c r="G30" s="100" t="str">
        <f>HYPERLINK("C:\SVN\SALT RunTime\Projects\SALT\Snapshots\TC_HomePage_Verify_Store_Locator_010_NZ_IN-MU-DT-J27064\201597\14309\Iterator_1\Merge.html","Result")</f>
        <v>Result</v>
      </c>
      <c r="AW30" s="80"/>
      <c r="GL30" s="54"/>
      <c r="LC30" s="98"/>
      <c r="LD30" s="103"/>
      <c r="LE30" s="98"/>
      <c r="LF30" s="98"/>
      <c r="LG30" s="98"/>
      <c r="LH30" s="102"/>
      <c r="LL30" s="1" t="s">
        <v>1077</v>
      </c>
      <c r="LM30" s="55" t="s">
        <v>1019</v>
      </c>
      <c r="LS30" s="109"/>
      <c r="LT30" s="98"/>
      <c r="LU30" s="98"/>
      <c r="LV30" s="98"/>
      <c r="LY30" s="23">
        <v>42254.604270833333</v>
      </c>
      <c r="LZ30" s="23">
        <v>42254.606215277781</v>
      </c>
      <c r="MA30" s="55" t="s">
        <v>1134</v>
      </c>
      <c r="ME30" s="101" t="s">
        <v>58</v>
      </c>
      <c r="MF30" s="107" t="s">
        <v>95</v>
      </c>
      <c r="MG30" s="102" t="s">
        <v>22</v>
      </c>
      <c r="MH30" s="109" t="s">
        <v>436</v>
      </c>
      <c r="MI30" s="109"/>
      <c r="MJ30" s="98"/>
      <c r="MK30" s="98"/>
      <c r="MM30" s="55" t="s">
        <v>436</v>
      </c>
      <c r="MN30" s="98" t="s">
        <v>1082</v>
      </c>
    </row>
    <row r="31" spans="1:352" s="55" customFormat="1" ht="15" customHeight="1">
      <c r="A31" s="28"/>
      <c r="B31" s="95">
        <v>1</v>
      </c>
      <c r="C31" s="96" t="s">
        <v>895</v>
      </c>
      <c r="D31" s="97"/>
      <c r="E31" s="98" t="s">
        <v>767</v>
      </c>
      <c r="F31" s="99" t="str">
        <f>HYPERLINK("C:\SVN\SALT RunTime\Projects\SALT\Snapshots\TC_HomePage_Verify_Store_Locator_010_USA_IN-MU-DT-J27064\201597\143258\Iterator_1\TC_HomePage_Verify_Store_Locator_010_USA1.xlsx","Snapshot")</f>
        <v>Snapshot</v>
      </c>
      <c r="G31" s="100" t="str">
        <f>HYPERLINK("C:\SVN\SALT RunTime\Projects\SALT\Snapshots\TC_HomePage_Verify_Store_Locator_010_USA_IN-MU-DT-J27064\201597\143258\Iterator_1\Merge.html","Result")</f>
        <v>Result</v>
      </c>
      <c r="AW31" s="80"/>
      <c r="GL31" s="54"/>
      <c r="LC31" s="98"/>
      <c r="LD31" s="103"/>
      <c r="LE31" s="98"/>
      <c r="LF31" s="98"/>
      <c r="LG31" s="98"/>
      <c r="LH31" s="102"/>
      <c r="LL31" s="6" t="s">
        <v>1079</v>
      </c>
      <c r="LM31" s="55" t="s">
        <v>1019</v>
      </c>
      <c r="LS31" s="109"/>
      <c r="LT31" s="98"/>
      <c r="LU31" s="98"/>
      <c r="LV31" s="98"/>
      <c r="LY31" s="23">
        <v>42254.606226851851</v>
      </c>
      <c r="LZ31" s="23">
        <v>42254.608159722222</v>
      </c>
      <c r="MA31" s="55" t="s">
        <v>1178</v>
      </c>
      <c r="ME31" s="101" t="s">
        <v>58</v>
      </c>
      <c r="MF31" s="107" t="s">
        <v>95</v>
      </c>
      <c r="MG31" s="102" t="s">
        <v>22</v>
      </c>
      <c r="MH31" s="109" t="s">
        <v>880</v>
      </c>
      <c r="MI31" s="109"/>
      <c r="MJ31" s="98"/>
      <c r="MK31" s="98"/>
      <c r="MM31" s="55" t="s">
        <v>880</v>
      </c>
      <c r="MN31" s="98" t="s">
        <v>1081</v>
      </c>
    </row>
    <row r="32" spans="1:352" s="55" customFormat="1" ht="15" customHeight="1">
      <c r="A32" s="28"/>
      <c r="B32" s="95">
        <v>1</v>
      </c>
      <c r="C32" s="96" t="s">
        <v>957</v>
      </c>
      <c r="D32" s="97"/>
      <c r="E32" s="98" t="s">
        <v>767</v>
      </c>
      <c r="F32" s="99" t="str">
        <f>HYPERLINK("C:\SVN\SALT RunTime\Projects\SALT\Snapshots\TC_HomePage_Verify_Store_Locator_010_GR_IN-MU-DT-J27064\201597\143546\Iterator_1\TC_HomePage_Verify_Store_Locator_010_GR1.xlsx","Snapshot")</f>
        <v>Snapshot</v>
      </c>
      <c r="G32" s="100" t="str">
        <f>HYPERLINK("C:\SVN\SALT RunTime\Projects\SALT\Snapshots\TC_HomePage_Verify_Store_Locator_010_GR_IN-MU-DT-J27064\201597\143546\Iterator_1\Merge.html","Result")</f>
        <v>Result</v>
      </c>
      <c r="AW32" s="80"/>
      <c r="GL32" s="54"/>
      <c r="LC32" s="98"/>
      <c r="LD32" s="103"/>
      <c r="LE32" s="98"/>
      <c r="LF32" s="98"/>
      <c r="LG32" s="98"/>
      <c r="LH32" s="102"/>
      <c r="LK32" s="102" t="s">
        <v>993</v>
      </c>
      <c r="LL32" s="6" t="s">
        <v>992</v>
      </c>
      <c r="LM32" s="102" t="s">
        <v>996</v>
      </c>
      <c r="LN32" s="102" t="s">
        <v>992</v>
      </c>
      <c r="LO32" s="55" t="s">
        <v>995</v>
      </c>
      <c r="LS32" s="109"/>
      <c r="LT32" s="98"/>
      <c r="LU32" s="98"/>
      <c r="LV32" s="98"/>
      <c r="LY32" s="23">
        <v>42254.608171296299</v>
      </c>
      <c r="LZ32" s="23">
        <v>42254.610081018516</v>
      </c>
      <c r="MA32" s="55" t="s">
        <v>1177</v>
      </c>
      <c r="ME32" s="101" t="s">
        <v>58</v>
      </c>
      <c r="MF32" s="107" t="s">
        <v>95</v>
      </c>
      <c r="MG32" s="102" t="s">
        <v>22</v>
      </c>
      <c r="MH32" s="109" t="s">
        <v>984</v>
      </c>
      <c r="MI32" s="109"/>
      <c r="MJ32" s="98"/>
      <c r="MK32" s="98"/>
      <c r="MM32" s="55" t="s">
        <v>984</v>
      </c>
      <c r="MN32" s="98" t="s">
        <v>1083</v>
      </c>
    </row>
    <row r="33" spans="1:352" s="55" customFormat="1" ht="15" customHeight="1">
      <c r="A33" s="28"/>
      <c r="B33" s="95">
        <v>1</v>
      </c>
      <c r="C33" s="96" t="s">
        <v>958</v>
      </c>
      <c r="D33" s="97"/>
      <c r="E33" s="98"/>
      <c r="F33" s="99"/>
      <c r="G33" s="100"/>
      <c r="AW33" s="80"/>
      <c r="GL33" s="54"/>
      <c r="LC33" s="98"/>
      <c r="LD33" s="103"/>
      <c r="LE33" s="98"/>
      <c r="LF33" s="98"/>
      <c r="LG33" s="98"/>
      <c r="LH33" s="102"/>
      <c r="LS33" s="109"/>
      <c r="LT33" s="98"/>
      <c r="LU33" s="98"/>
      <c r="LV33" s="98"/>
      <c r="LY33" s="23"/>
      <c r="LZ33" s="23"/>
      <c r="ME33" s="101" t="s">
        <v>58</v>
      </c>
      <c r="MF33" s="107" t="s">
        <v>95</v>
      </c>
      <c r="MG33" s="102" t="s">
        <v>22</v>
      </c>
      <c r="MH33" s="109"/>
      <c r="MI33" s="109"/>
      <c r="MJ33" s="98"/>
      <c r="MK33" s="98"/>
      <c r="MN33" s="98"/>
    </row>
    <row r="34" spans="1:352" s="55" customFormat="1" ht="15" customHeight="1">
      <c r="A34" s="28"/>
      <c r="B34" s="95">
        <v>1</v>
      </c>
      <c r="C34" s="96" t="s">
        <v>896</v>
      </c>
      <c r="D34" s="97"/>
      <c r="E34" s="97" t="s">
        <v>767</v>
      </c>
      <c r="F34" s="99" t="str">
        <f>HYPERLINK("C:\SVN\SALT RunTime\Projects\SALT\Snapshots\TC_HomePage_Currency_Converter_011_UK_IN-MU-DT-J27064\201597\143832\Iterator_1\TC_HomePage_Currency_Converter_011_UK1.xlsx","Snapshot")</f>
        <v>Snapshot</v>
      </c>
      <c r="G34" s="100" t="str">
        <f>HYPERLINK("C:\SVN\SALT RunTime\Projects\SALT\Snapshots\TC_HomePage_Currency_Converter_011_UK_IN-MU-DT-J27064\201597\143832\Iterator_1\Merge.html","Result")</f>
        <v>Result</v>
      </c>
      <c r="AW34" s="80"/>
      <c r="GL34" s="54"/>
      <c r="LC34" s="98"/>
      <c r="LD34" s="103"/>
      <c r="LE34" s="98"/>
      <c r="LF34" s="98"/>
      <c r="LG34" s="98"/>
      <c r="LH34" s="102"/>
      <c r="LS34" s="109"/>
      <c r="LT34" s="98" t="s">
        <v>870</v>
      </c>
      <c r="LU34" s="98" t="s">
        <v>872</v>
      </c>
      <c r="LV34" s="98" t="s">
        <v>845</v>
      </c>
      <c r="LW34">
        <v>1.3293999999999999</v>
      </c>
      <c r="LY34" s="23">
        <v>42254.610092592593</v>
      </c>
      <c r="LZ34" s="23">
        <v>42254.613611111112</v>
      </c>
      <c r="MA34" s="55" t="s">
        <v>1138</v>
      </c>
      <c r="MB34" s="114" t="s">
        <v>1038</v>
      </c>
      <c r="ME34" s="101" t="s">
        <v>58</v>
      </c>
      <c r="MF34" s="107" t="s">
        <v>95</v>
      </c>
      <c r="MG34" s="102" t="s">
        <v>22</v>
      </c>
      <c r="MH34" s="109" t="s">
        <v>877</v>
      </c>
      <c r="MI34" s="109"/>
      <c r="MJ34" s="98"/>
      <c r="MK34" s="98"/>
      <c r="MM34" s="55" t="s">
        <v>877</v>
      </c>
      <c r="MN34" s="98" t="s">
        <v>1087</v>
      </c>
    </row>
    <row r="35" spans="1:352" s="55" customFormat="1" ht="15" customHeight="1">
      <c r="A35" s="28"/>
      <c r="B35" s="95">
        <v>1</v>
      </c>
      <c r="C35" s="96" t="s">
        <v>898</v>
      </c>
      <c r="D35" s="97"/>
      <c r="E35" s="98" t="s">
        <v>767</v>
      </c>
      <c r="F35" s="99" t="str">
        <f>HYPERLINK("C:\SVN\SALT RunTime\Projects\SALT\Snapshots\TC_HomePage_Currency_Converter_011_AUS_IN-MU-DT-J27064\201597\144337\Iterator_1\TC_HomePage_Currency_Converter_011_AUS1.xlsx","Snapshot")</f>
        <v>Snapshot</v>
      </c>
      <c r="G35" s="100" t="str">
        <f>HYPERLINK("C:\SVN\SALT RunTime\Projects\SALT\Snapshots\TC_HomePage_Currency_Converter_011_AUS_IN-MU-DT-J27064\201597\144337\Iterator_1\Merge.html","Result")</f>
        <v>Result</v>
      </c>
      <c r="AW35" s="80"/>
      <c r="GL35" s="54"/>
      <c r="LC35" s="98"/>
      <c r="LD35" s="103"/>
      <c r="LE35" s="98"/>
      <c r="LF35" s="98"/>
      <c r="LG35" s="98"/>
      <c r="LH35" s="102"/>
      <c r="LL35" s="55" t="s">
        <v>1029</v>
      </c>
      <c r="LS35" s="109"/>
      <c r="LT35" s="98" t="s">
        <v>870</v>
      </c>
      <c r="LU35" s="98" t="s">
        <v>872</v>
      </c>
      <c r="LV35" s="98" t="s">
        <v>845</v>
      </c>
      <c r="LW35">
        <v>5.7015000000000002</v>
      </c>
      <c r="LX35">
        <v>0.91559999999999997</v>
      </c>
      <c r="LY35" s="23">
        <v>42254.613622685189</v>
      </c>
      <c r="LZ35" s="23">
        <v>42254.617349537039</v>
      </c>
      <c r="MA35" s="55" t="s">
        <v>1179</v>
      </c>
      <c r="MB35" s="55" t="s">
        <v>1046</v>
      </c>
      <c r="ME35" s="101" t="s">
        <v>58</v>
      </c>
      <c r="MF35" s="107" t="s">
        <v>95</v>
      </c>
      <c r="MG35" s="102" t="s">
        <v>22</v>
      </c>
      <c r="MH35" s="109" t="s">
        <v>432</v>
      </c>
      <c r="MI35" s="109"/>
      <c r="MJ35" s="98"/>
      <c r="MK35" s="98"/>
      <c r="MM35" s="55" t="s">
        <v>432</v>
      </c>
      <c r="MN35" s="98" t="s">
        <v>1089</v>
      </c>
    </row>
    <row r="36" spans="1:352" s="55" customFormat="1" ht="15" customHeight="1">
      <c r="A36" s="28"/>
      <c r="B36" s="95">
        <v>1</v>
      </c>
      <c r="C36" s="96" t="s">
        <v>899</v>
      </c>
      <c r="D36" s="97"/>
      <c r="E36" s="98" t="s">
        <v>767</v>
      </c>
      <c r="F36" s="99" t="str">
        <f>HYPERLINK("C:\SVN\SALT RunTime\Projects\SALT\Snapshots\TC_HomePage_Currency_Converter_011_NZ_IN-MU-DT-J27064\201597\14490\Iterator_1\TC_HomePage_Currency_Converter_011_NZ1.xlsx","Snapshot")</f>
        <v>Snapshot</v>
      </c>
      <c r="G36" s="100" t="str">
        <f>HYPERLINK("C:\SVN\SALT RunTime\Projects\SALT\Snapshots\TC_HomePage_Currency_Converter_011_NZ_IN-MU-DT-J27064\201597\14490\Iterator_1\Merge.html","Result")</f>
        <v>Result</v>
      </c>
      <c r="AW36" s="80"/>
      <c r="GL36" s="54"/>
      <c r="LC36" s="98"/>
      <c r="LD36" s="103"/>
      <c r="LE36" s="98"/>
      <c r="LF36" s="98"/>
      <c r="LG36" s="98"/>
      <c r="LH36" s="102"/>
      <c r="LS36" s="109"/>
      <c r="LT36" s="98" t="s">
        <v>870</v>
      </c>
      <c r="LU36" s="98" t="s">
        <v>872</v>
      </c>
      <c r="LV36" s="98" t="s">
        <v>845</v>
      </c>
      <c r="LY36" s="23">
        <v>42254.617361111108</v>
      </c>
      <c r="LZ36" s="23">
        <v>42254.620821759258</v>
      </c>
      <c r="MA36" s="55" t="s">
        <v>1139</v>
      </c>
      <c r="MB36" s="55" t="s">
        <v>1047</v>
      </c>
      <c r="ME36" s="101" t="s">
        <v>58</v>
      </c>
      <c r="MF36" s="107" t="s">
        <v>95</v>
      </c>
      <c r="MG36" s="102" t="s">
        <v>22</v>
      </c>
      <c r="MH36" s="109" t="s">
        <v>436</v>
      </c>
      <c r="MI36" s="109"/>
      <c r="MJ36" s="98"/>
      <c r="MK36" s="98"/>
      <c r="MM36" s="55" t="s">
        <v>436</v>
      </c>
      <c r="MN36" s="98" t="s">
        <v>1090</v>
      </c>
    </row>
    <row r="37" spans="1:352" s="55" customFormat="1" ht="15" customHeight="1">
      <c r="A37" s="28"/>
      <c r="B37" s="95">
        <v>1</v>
      </c>
      <c r="C37" s="96" t="s">
        <v>900</v>
      </c>
      <c r="D37" s="97"/>
      <c r="E37" s="98" t="s">
        <v>767</v>
      </c>
      <c r="F37" s="99" t="str">
        <f>HYPERLINK("C:\SVN\SALT RunTime\Projects\SALT\Snapshots\TC_HomePage_Currency_Converter_011_USA_IN-MU-DT-J27064\201597\145359\Iterator_1\TC_HomePage_Currency_Converter_011_USA1.xlsx","Snapshot")</f>
        <v>Snapshot</v>
      </c>
      <c r="G37" s="100" t="str">
        <f>HYPERLINK("C:\SVN\SALT RunTime\Projects\SALT\Snapshots\TC_HomePage_Currency_Converter_011_USA_IN-MU-DT-J27064\201597\145359\Iterator_1\Merge.html","Result")</f>
        <v>Result</v>
      </c>
      <c r="AW37" s="80"/>
      <c r="GL37" s="54"/>
      <c r="LC37" s="98"/>
      <c r="LD37" s="103"/>
      <c r="LE37" s="98"/>
      <c r="LF37" s="98"/>
      <c r="LG37" s="98"/>
      <c r="LH37" s="102"/>
      <c r="LS37" s="109"/>
      <c r="LT37" s="98" t="s">
        <v>870</v>
      </c>
      <c r="LU37" s="98" t="s">
        <v>902</v>
      </c>
      <c r="LV37" s="98" t="s">
        <v>845</v>
      </c>
      <c r="LW37">
        <v>1.2135</v>
      </c>
      <c r="LX37" s="54"/>
      <c r="LY37" s="23">
        <v>42254.620821759258</v>
      </c>
      <c r="LZ37" s="23">
        <v>42254.624606481484</v>
      </c>
      <c r="MA37" s="55" t="s">
        <v>1168</v>
      </c>
      <c r="MB37" s="55" t="s">
        <v>1045</v>
      </c>
      <c r="ME37" s="101" t="s">
        <v>58</v>
      </c>
      <c r="MF37" s="107" t="s">
        <v>95</v>
      </c>
      <c r="MG37" s="102" t="s">
        <v>22</v>
      </c>
      <c r="MH37" s="109" t="s">
        <v>880</v>
      </c>
      <c r="MI37" s="109"/>
      <c r="MJ37" s="98"/>
      <c r="MK37" s="98"/>
      <c r="MM37" s="55" t="s">
        <v>880</v>
      </c>
      <c r="MN37" s="98" t="s">
        <v>1088</v>
      </c>
    </row>
    <row r="38" spans="1:352" s="55" customFormat="1" ht="15" customHeight="1">
      <c r="A38" s="28"/>
      <c r="B38" s="95">
        <v>1</v>
      </c>
      <c r="C38" s="96" t="s">
        <v>959</v>
      </c>
      <c r="D38" s="97"/>
      <c r="E38" s="97" t="s">
        <v>767</v>
      </c>
      <c r="F38" s="99" t="str">
        <f>HYPERLINK("C:\SVN\SALT RunTime\Projects\SALT\Snapshots\TC_HomePage_Currency_Converter_011_GR_IN-MU-DT-J27064\201598\82247\Iterator_1\TC_HomePage_Currency_Converter_011_GR1.xlsx","Snapshot")</f>
        <v>Snapshot</v>
      </c>
      <c r="G38" s="100" t="str">
        <f>HYPERLINK("C:\SVN\SALT RunTime\Projects\SALT\Snapshots\TC_HomePage_Currency_Converter_011_GR_IN-MU-DT-J27064\201598\82247\Iterator_1\Merge.html","Result")</f>
        <v>Result</v>
      </c>
      <c r="AW38" s="80"/>
      <c r="GL38" s="54"/>
      <c r="LC38" s="98"/>
      <c r="LD38" s="103"/>
      <c r="LE38" s="98"/>
      <c r="LF38" s="98"/>
      <c r="LG38" s="98"/>
      <c r="LH38" s="102"/>
      <c r="LS38" s="109"/>
      <c r="LT38" s="98" t="s">
        <v>982</v>
      </c>
      <c r="LU38" s="98" t="s">
        <v>981</v>
      </c>
      <c r="LV38" s="98" t="s">
        <v>978</v>
      </c>
      <c r="LW38" s="110" t="s">
        <v>998</v>
      </c>
      <c r="LX38" s="110" t="s">
        <v>999</v>
      </c>
      <c r="LY38" s="23">
        <v>42255.34915509259</v>
      </c>
      <c r="LZ38" s="23">
        <v>42255.355624999997</v>
      </c>
      <c r="MA38" s="55" t="s">
        <v>1159</v>
      </c>
      <c r="MB38" s="55" t="s">
        <v>1064</v>
      </c>
      <c r="ME38" s="101" t="s">
        <v>58</v>
      </c>
      <c r="MF38" s="107" t="s">
        <v>95</v>
      </c>
      <c r="MG38" s="102" t="s">
        <v>22</v>
      </c>
      <c r="MH38" s="109" t="s">
        <v>984</v>
      </c>
      <c r="MI38" s="109"/>
      <c r="MJ38" s="98"/>
      <c r="MK38" s="98"/>
      <c r="MM38" s="55" t="s">
        <v>984</v>
      </c>
      <c r="MN38" s="98" t="s">
        <v>1091</v>
      </c>
    </row>
    <row r="39" spans="1:352" s="55" customFormat="1" ht="15" customHeight="1">
      <c r="A39" s="28"/>
      <c r="B39" s="95">
        <v>1</v>
      </c>
      <c r="C39" s="96" t="s">
        <v>960</v>
      </c>
      <c r="D39" s="97"/>
      <c r="E39" s="98"/>
      <c r="F39" s="99"/>
      <c r="G39" s="100"/>
      <c r="AW39" s="80"/>
      <c r="GL39" s="54"/>
      <c r="LC39" s="98"/>
      <c r="LD39" s="103"/>
      <c r="LE39" s="98"/>
      <c r="LF39" s="98"/>
      <c r="LG39" s="98"/>
      <c r="LH39" s="102"/>
      <c r="LS39" s="109"/>
      <c r="LT39" s="98"/>
      <c r="LU39" s="98"/>
      <c r="LV39" s="98"/>
      <c r="LY39" s="23"/>
      <c r="LZ39" s="23"/>
      <c r="ME39" s="101" t="s">
        <v>58</v>
      </c>
      <c r="MF39" s="107" t="s">
        <v>95</v>
      </c>
      <c r="MG39" s="102" t="s">
        <v>22</v>
      </c>
      <c r="MH39" s="109"/>
      <c r="MI39" s="109"/>
      <c r="MJ39" s="98"/>
      <c r="MK39" s="98"/>
      <c r="MN39" s="98"/>
    </row>
    <row r="40" spans="1:352" s="55" customFormat="1" ht="15" customHeight="1">
      <c r="A40" s="28"/>
      <c r="B40" s="95">
        <v>1</v>
      </c>
      <c r="C40" s="96" t="s">
        <v>905</v>
      </c>
      <c r="D40" s="97"/>
      <c r="E40" s="98" t="s">
        <v>1167</v>
      </c>
      <c r="F40" s="99" t="s">
        <v>1166</v>
      </c>
      <c r="G40" s="100"/>
      <c r="AW40" s="80"/>
      <c r="GL40" s="54"/>
      <c r="KS40" s="55" t="s">
        <v>911</v>
      </c>
      <c r="KT40" s="55" t="s">
        <v>767</v>
      </c>
      <c r="KU40" s="55" t="s">
        <v>909</v>
      </c>
      <c r="KV40" s="55" t="s">
        <v>915</v>
      </c>
      <c r="KW40" s="55" t="s">
        <v>916</v>
      </c>
      <c r="KX40" s="55" t="s">
        <v>924</v>
      </c>
      <c r="KY40" s="55" t="s">
        <v>919</v>
      </c>
      <c r="KZ40" s="55" t="s">
        <v>921</v>
      </c>
      <c r="LA40" s="55" t="s">
        <v>922</v>
      </c>
      <c r="LC40" s="98"/>
      <c r="LD40" s="103"/>
      <c r="LE40" s="98"/>
      <c r="LF40" s="98"/>
      <c r="LG40" s="98"/>
      <c r="LH40" s="102"/>
      <c r="LS40" s="109"/>
      <c r="LV40" s="98"/>
      <c r="LY40" s="23"/>
      <c r="LZ40" s="23"/>
      <c r="MC40" s="101" t="s">
        <v>1067</v>
      </c>
      <c r="ME40" s="101" t="s">
        <v>58</v>
      </c>
      <c r="MF40" s="107" t="s">
        <v>95</v>
      </c>
      <c r="MG40" s="102" t="s">
        <v>22</v>
      </c>
      <c r="MH40" s="109"/>
      <c r="MI40" s="109"/>
      <c r="MJ40" s="98"/>
      <c r="MK40" s="98"/>
      <c r="MN40" s="98"/>
    </row>
    <row r="41" spans="1:352" s="55" customFormat="1" ht="15" customHeight="1">
      <c r="A41" s="28"/>
      <c r="B41" s="95">
        <v>1</v>
      </c>
      <c r="C41" s="96" t="s">
        <v>944</v>
      </c>
      <c r="D41" s="97"/>
      <c r="E41" s="98"/>
      <c r="F41" s="99"/>
      <c r="G41" s="100"/>
      <c r="AW41" s="80"/>
      <c r="GL41" s="54"/>
      <c r="KU41" s="55" t="s">
        <v>909</v>
      </c>
      <c r="KV41" s="55" t="s">
        <v>915</v>
      </c>
      <c r="KW41" s="55" t="s">
        <v>916</v>
      </c>
      <c r="KX41" s="55" t="s">
        <v>924</v>
      </c>
      <c r="KY41" s="55" t="s">
        <v>919</v>
      </c>
      <c r="KZ41" s="55" t="s">
        <v>921</v>
      </c>
      <c r="LA41" s="55" t="s">
        <v>922</v>
      </c>
      <c r="LC41" s="98"/>
      <c r="LD41" s="103"/>
      <c r="LE41" s="98"/>
      <c r="LF41" s="98"/>
      <c r="LG41" s="98"/>
      <c r="LH41" s="102"/>
      <c r="LS41" s="109"/>
      <c r="LT41" s="98"/>
      <c r="LU41" s="98"/>
      <c r="LV41" s="98"/>
      <c r="LY41" s="23">
        <v>42159.755069444444</v>
      </c>
      <c r="LZ41" s="23">
        <v>42159.755069444444</v>
      </c>
      <c r="MA41" s="55" t="s">
        <v>1030</v>
      </c>
      <c r="ME41" s="101" t="s">
        <v>58</v>
      </c>
      <c r="MF41" s="107" t="s">
        <v>95</v>
      </c>
      <c r="MG41" s="102" t="s">
        <v>22</v>
      </c>
      <c r="MH41" s="109"/>
      <c r="MI41" s="109"/>
      <c r="MJ41" s="98"/>
      <c r="MK41" s="98"/>
      <c r="MN41" s="98"/>
    </row>
    <row r="42" spans="1:352" s="55" customFormat="1" ht="15" customHeight="1">
      <c r="A42" s="28"/>
      <c r="B42" s="95">
        <v>1</v>
      </c>
      <c r="C42" s="96" t="s">
        <v>945</v>
      </c>
      <c r="D42" s="97"/>
      <c r="E42" s="98"/>
      <c r="F42" s="99"/>
      <c r="G42" s="100"/>
      <c r="AW42" s="80"/>
      <c r="GL42" s="54"/>
      <c r="KU42" s="55" t="s">
        <v>909</v>
      </c>
      <c r="KV42" s="55" t="s">
        <v>915</v>
      </c>
      <c r="KW42" s="55" t="s">
        <v>916</v>
      </c>
      <c r="KX42" s="55" t="s">
        <v>924</v>
      </c>
      <c r="KY42" s="55" t="s">
        <v>919</v>
      </c>
      <c r="KZ42" s="55" t="s">
        <v>921</v>
      </c>
      <c r="LA42" s="55" t="s">
        <v>922</v>
      </c>
      <c r="LC42" s="98"/>
      <c r="LD42" s="103"/>
      <c r="LE42" s="98"/>
      <c r="LF42" s="98"/>
      <c r="LG42" s="98"/>
      <c r="LH42" s="102"/>
      <c r="LS42" s="109"/>
      <c r="LT42" s="98"/>
      <c r="LU42" s="98"/>
      <c r="LV42" s="98"/>
      <c r="LY42" s="23">
        <v>42159.755104166667</v>
      </c>
      <c r="LZ42" s="23">
        <v>42159.755115740743</v>
      </c>
      <c r="MA42" s="55" t="s">
        <v>1031</v>
      </c>
      <c r="ME42" s="101" t="s">
        <v>58</v>
      </c>
      <c r="MF42" s="107" t="s">
        <v>95</v>
      </c>
      <c r="MG42" s="102" t="s">
        <v>22</v>
      </c>
      <c r="MH42" s="109"/>
      <c r="MI42" s="109"/>
      <c r="MJ42" s="98"/>
      <c r="MK42" s="98"/>
      <c r="MN42" s="98"/>
    </row>
    <row r="43" spans="1:352" s="55" customFormat="1" ht="15" customHeight="1">
      <c r="A43" s="28"/>
      <c r="B43" s="95">
        <v>1</v>
      </c>
      <c r="C43" s="96" t="s">
        <v>946</v>
      </c>
      <c r="D43" s="97"/>
      <c r="E43" s="98"/>
      <c r="F43" s="99"/>
      <c r="G43" s="100"/>
      <c r="AW43" s="80"/>
      <c r="GL43" s="54"/>
      <c r="KU43" s="55" t="s">
        <v>909</v>
      </c>
      <c r="KV43" s="55" t="s">
        <v>915</v>
      </c>
      <c r="KW43" s="55" t="s">
        <v>916</v>
      </c>
      <c r="KX43" s="55" t="s">
        <v>924</v>
      </c>
      <c r="KY43" s="55" t="s">
        <v>919</v>
      </c>
      <c r="KZ43" s="55" t="s">
        <v>921</v>
      </c>
      <c r="LA43" s="55" t="s">
        <v>922</v>
      </c>
      <c r="LC43" s="98"/>
      <c r="LD43" s="103"/>
      <c r="LE43" s="98"/>
      <c r="LF43" s="98"/>
      <c r="LG43" s="98"/>
      <c r="LH43" s="102"/>
      <c r="LS43" s="109"/>
      <c r="LT43" s="98"/>
      <c r="LU43" s="98"/>
      <c r="LV43" s="98"/>
      <c r="LY43" s="23">
        <v>42159.755150462966</v>
      </c>
      <c r="LZ43" s="23">
        <v>42159.755150462966</v>
      </c>
      <c r="MA43" s="55" t="s">
        <v>1030</v>
      </c>
      <c r="ME43" s="101" t="s">
        <v>58</v>
      </c>
      <c r="MF43" s="107" t="s">
        <v>95</v>
      </c>
      <c r="MG43" s="102" t="s">
        <v>22</v>
      </c>
      <c r="MH43" s="109"/>
      <c r="MI43" s="109"/>
      <c r="MJ43" s="98"/>
      <c r="MK43" s="98"/>
      <c r="MN43" s="98"/>
    </row>
    <row r="44" spans="1:352" s="55" customFormat="1" ht="15" customHeight="1">
      <c r="A44" s="28"/>
      <c r="B44" s="95">
        <v>1</v>
      </c>
      <c r="C44" s="96" t="s">
        <v>961</v>
      </c>
      <c r="D44" s="97"/>
      <c r="E44" s="98"/>
      <c r="F44" s="99"/>
      <c r="G44" s="100"/>
      <c r="AW44" s="80"/>
      <c r="GL44" s="54"/>
      <c r="KU44" s="55" t="s">
        <v>909</v>
      </c>
      <c r="KV44" s="55" t="s">
        <v>915</v>
      </c>
      <c r="KW44" s="55" t="s">
        <v>916</v>
      </c>
      <c r="KX44" s="55" t="s">
        <v>924</v>
      </c>
      <c r="KY44" s="55" t="s">
        <v>919</v>
      </c>
      <c r="KZ44" s="55" t="s">
        <v>921</v>
      </c>
      <c r="LA44" s="55" t="s">
        <v>922</v>
      </c>
      <c r="LC44" s="98"/>
      <c r="LD44" s="103"/>
      <c r="LE44" s="98"/>
      <c r="LF44" s="98"/>
      <c r="LG44" s="98"/>
      <c r="LH44" s="102"/>
      <c r="LS44" s="109"/>
      <c r="LT44" s="98"/>
      <c r="LU44" s="98"/>
      <c r="LV44" s="98"/>
      <c r="LY44" s="23"/>
      <c r="LZ44" s="23"/>
      <c r="ME44" s="101" t="s">
        <v>58</v>
      </c>
      <c r="MF44" s="107" t="s">
        <v>95</v>
      </c>
      <c r="MG44" s="102" t="s">
        <v>22</v>
      </c>
      <c r="MH44" s="109"/>
      <c r="MI44" s="109"/>
      <c r="MJ44" s="98"/>
      <c r="MK44" s="98"/>
      <c r="MN44" s="98"/>
    </row>
    <row r="45" spans="1:352" s="55" customFormat="1" ht="15" customHeight="1">
      <c r="A45" s="28"/>
      <c r="B45" s="95">
        <v>1</v>
      </c>
      <c r="C45" s="96" t="s">
        <v>962</v>
      </c>
      <c r="D45" s="97"/>
      <c r="E45" s="98"/>
      <c r="F45" s="99"/>
      <c r="G45" s="100"/>
      <c r="AW45" s="80"/>
      <c r="GL45" s="54"/>
      <c r="LC45" s="98"/>
      <c r="LD45" s="103"/>
      <c r="LE45" s="98"/>
      <c r="LF45" s="98"/>
      <c r="LG45" s="98"/>
      <c r="LH45" s="102"/>
      <c r="LS45" s="109"/>
      <c r="LT45" s="98"/>
      <c r="LU45" s="98"/>
      <c r="LV45" s="98"/>
      <c r="LY45" s="23"/>
      <c r="LZ45" s="23"/>
      <c r="ME45" s="101" t="s">
        <v>58</v>
      </c>
      <c r="MF45" s="107" t="s">
        <v>95</v>
      </c>
      <c r="MG45" s="102" t="s">
        <v>22</v>
      </c>
      <c r="MH45" s="109"/>
      <c r="MI45" s="109"/>
      <c r="MJ45" s="98"/>
      <c r="MK45" s="98"/>
      <c r="MN45" s="98"/>
    </row>
    <row r="46" spans="1:352" s="55" customFormat="1" ht="15" customHeight="1">
      <c r="A46" s="28"/>
      <c r="B46" s="95">
        <v>1</v>
      </c>
      <c r="C46" s="106" t="s">
        <v>964</v>
      </c>
      <c r="D46" s="97"/>
      <c r="E46" s="98"/>
      <c r="F46" s="99"/>
      <c r="G46" s="100"/>
      <c r="AW46" s="80"/>
      <c r="GL46" s="54"/>
      <c r="LB46" s="55" t="s">
        <v>965</v>
      </c>
      <c r="LC46" s="98"/>
      <c r="LD46" s="103"/>
      <c r="LE46" s="98"/>
      <c r="LF46" s="98"/>
      <c r="LG46" s="98"/>
      <c r="LH46" s="102"/>
      <c r="LP46" s="98" t="s">
        <v>972</v>
      </c>
      <c r="LR46" s="55" t="s">
        <v>876</v>
      </c>
      <c r="LS46" s="109" t="s">
        <v>965</v>
      </c>
      <c r="LT46" s="98"/>
      <c r="LU46" s="98" t="s">
        <v>967</v>
      </c>
      <c r="LV46" s="98"/>
      <c r="LY46" s="23">
        <v>42116.951296296298</v>
      </c>
      <c r="LZ46" s="23">
        <v>42116.9606712963</v>
      </c>
      <c r="MA46" s="55" t="s">
        <v>1011</v>
      </c>
      <c r="ME46" s="101" t="s">
        <v>58</v>
      </c>
      <c r="MF46" s="107" t="s">
        <v>95</v>
      </c>
      <c r="MG46" s="102" t="s">
        <v>22</v>
      </c>
      <c r="MH46" s="109" t="s">
        <v>877</v>
      </c>
      <c r="MI46" s="109"/>
      <c r="MJ46" s="98" t="s">
        <v>78</v>
      </c>
      <c r="MK46" s="98" t="s">
        <v>59</v>
      </c>
      <c r="MN46" s="98" t="s">
        <v>1041</v>
      </c>
    </row>
    <row r="47" spans="1:352" s="55" customFormat="1" ht="15" customHeight="1">
      <c r="A47" s="28"/>
      <c r="B47" s="95">
        <v>1</v>
      </c>
      <c r="C47" s="106" t="s">
        <v>1001</v>
      </c>
      <c r="D47" s="97"/>
      <c r="E47" s="98"/>
      <c r="F47" s="99"/>
      <c r="G47" s="100"/>
      <c r="AW47" s="80"/>
      <c r="GL47" s="54"/>
      <c r="LC47" s="98"/>
      <c r="LD47" s="103"/>
      <c r="LE47" s="98"/>
      <c r="LF47" s="98"/>
      <c r="LG47" s="98"/>
      <c r="LH47" s="102"/>
      <c r="LP47" s="98" t="s">
        <v>972</v>
      </c>
      <c r="LR47" s="55" t="s">
        <v>876</v>
      </c>
      <c r="LS47" s="109" t="s">
        <v>965</v>
      </c>
      <c r="LT47" s="98"/>
      <c r="LU47" s="98" t="s">
        <v>967</v>
      </c>
      <c r="LV47" s="98"/>
      <c r="LY47" s="23">
        <v>42116.960717592592</v>
      </c>
      <c r="LZ47" s="23">
        <v>42116.968553240738</v>
      </c>
      <c r="MA47" s="55" t="s">
        <v>1012</v>
      </c>
      <c r="ME47" s="101" t="s">
        <v>58</v>
      </c>
      <c r="MF47" s="107" t="s">
        <v>95</v>
      </c>
      <c r="MG47" s="102" t="s">
        <v>22</v>
      </c>
      <c r="MH47" s="109" t="s">
        <v>432</v>
      </c>
      <c r="MI47" s="109"/>
      <c r="MJ47" s="98"/>
      <c r="MK47" s="98" t="s">
        <v>59</v>
      </c>
      <c r="MN47" s="55" t="s">
        <v>1042</v>
      </c>
    </row>
    <row r="48" spans="1:352" s="55" customFormat="1" ht="15" customHeight="1">
      <c r="A48" s="28"/>
      <c r="B48" s="95">
        <v>1</v>
      </c>
      <c r="C48" s="106" t="s">
        <v>1003</v>
      </c>
      <c r="D48" s="97"/>
      <c r="E48" s="98"/>
      <c r="F48" s="99"/>
      <c r="G48" s="100"/>
      <c r="AW48" s="80"/>
      <c r="GL48" s="54"/>
      <c r="LC48" s="98"/>
      <c r="LD48" s="103"/>
      <c r="LE48" s="98"/>
      <c r="LF48" s="98"/>
      <c r="LG48" s="98"/>
      <c r="LH48" s="102"/>
      <c r="LP48" s="98" t="s">
        <v>1008</v>
      </c>
      <c r="LR48" s="55" t="s">
        <v>876</v>
      </c>
      <c r="LS48" s="109" t="s">
        <v>965</v>
      </c>
      <c r="LT48" s="98"/>
      <c r="LU48" s="98" t="s">
        <v>1007</v>
      </c>
      <c r="LV48" s="98"/>
      <c r="LY48" s="23">
        <v>42117.603310185186</v>
      </c>
      <c r="LZ48" s="23">
        <v>42117.618055555555</v>
      </c>
      <c r="MA48" s="55" t="s">
        <v>1016</v>
      </c>
      <c r="ME48" s="101" t="s">
        <v>58</v>
      </c>
      <c r="MF48" s="107" t="s">
        <v>95</v>
      </c>
      <c r="MG48" s="102" t="s">
        <v>22</v>
      </c>
      <c r="MH48" s="109" t="s">
        <v>436</v>
      </c>
      <c r="MI48" s="109"/>
      <c r="MJ48" s="98"/>
      <c r="MK48" s="98" t="s">
        <v>59</v>
      </c>
      <c r="MN48" s="98" t="s">
        <v>1043</v>
      </c>
    </row>
    <row r="49" spans="1:352" s="55" customFormat="1" ht="15" customHeight="1">
      <c r="A49" s="28"/>
      <c r="B49" s="95">
        <v>1</v>
      </c>
      <c r="C49" s="106" t="s">
        <v>1002</v>
      </c>
      <c r="D49" s="97"/>
      <c r="E49" s="98"/>
      <c r="F49" s="99"/>
      <c r="G49" s="100"/>
      <c r="AW49" s="80"/>
      <c r="GL49" s="54"/>
      <c r="LC49" s="98"/>
      <c r="LD49" s="103"/>
      <c r="LE49" s="98"/>
      <c r="LF49" s="98"/>
      <c r="LG49" s="98"/>
      <c r="LH49" s="102"/>
      <c r="LP49" s="98" t="s">
        <v>1010</v>
      </c>
      <c r="LR49" s="55" t="s">
        <v>876</v>
      </c>
      <c r="LS49" s="109" t="s">
        <v>965</v>
      </c>
      <c r="LT49" s="98"/>
      <c r="LU49" s="98" t="s">
        <v>1009</v>
      </c>
      <c r="LV49" s="98"/>
      <c r="LY49" s="23">
        <v>42116.973912037036</v>
      </c>
      <c r="LZ49" s="23">
        <v>42116.986666666664</v>
      </c>
      <c r="MA49" s="55" t="s">
        <v>1013</v>
      </c>
      <c r="ME49" s="101" t="s">
        <v>58</v>
      </c>
      <c r="MF49" s="107" t="s">
        <v>95</v>
      </c>
      <c r="MG49" s="102" t="s">
        <v>22</v>
      </c>
      <c r="MH49" s="109" t="s">
        <v>880</v>
      </c>
      <c r="MI49" s="109"/>
      <c r="MJ49" s="98"/>
      <c r="MK49" s="98" t="s">
        <v>59</v>
      </c>
      <c r="MN49" s="98" t="s">
        <v>1040</v>
      </c>
    </row>
    <row r="50" spans="1:352" s="55" customFormat="1" ht="15" customHeight="1">
      <c r="A50" s="28"/>
      <c r="B50" s="95">
        <v>1</v>
      </c>
      <c r="C50" s="106" t="s">
        <v>1004</v>
      </c>
      <c r="D50" s="97"/>
      <c r="E50" s="98"/>
      <c r="F50" s="99"/>
      <c r="G50" s="100"/>
      <c r="AW50" s="80"/>
      <c r="GL50" s="54"/>
      <c r="LC50" s="98"/>
      <c r="LD50" s="103"/>
      <c r="LE50" s="98"/>
      <c r="LF50" s="98"/>
      <c r="LG50" s="98"/>
      <c r="LH50" s="102"/>
      <c r="LP50" s="98" t="s">
        <v>1010</v>
      </c>
      <c r="LR50" s="55" t="s">
        <v>876</v>
      </c>
      <c r="LS50" s="109" t="s">
        <v>965</v>
      </c>
      <c r="LT50" s="98"/>
      <c r="LU50" s="98" t="s">
        <v>1009</v>
      </c>
      <c r="LV50" s="98"/>
      <c r="LY50" s="23">
        <v>42116.986712962964</v>
      </c>
      <c r="LZ50" s="23">
        <v>42116.992650462962</v>
      </c>
      <c r="MA50" s="55" t="s">
        <v>1014</v>
      </c>
      <c r="ME50" s="101" t="s">
        <v>58</v>
      </c>
      <c r="MF50" s="107" t="s">
        <v>95</v>
      </c>
      <c r="MG50" s="102" t="s">
        <v>22</v>
      </c>
      <c r="MH50" s="109" t="s">
        <v>984</v>
      </c>
      <c r="MI50" s="109"/>
      <c r="MJ50" s="98"/>
      <c r="MK50" s="98" t="s">
        <v>59</v>
      </c>
      <c r="MN50" s="55" t="s">
        <v>1052</v>
      </c>
    </row>
    <row r="51" spans="1:352" s="55" customFormat="1" ht="15" customHeight="1">
      <c r="A51" s="28"/>
      <c r="B51" s="95">
        <v>1</v>
      </c>
      <c r="C51" s="106" t="s">
        <v>1005</v>
      </c>
      <c r="D51" s="97"/>
      <c r="E51" s="98"/>
      <c r="F51" s="99"/>
      <c r="G51" s="100"/>
      <c r="AW51" s="80"/>
      <c r="GL51" s="54"/>
      <c r="LC51" s="98"/>
      <c r="LD51" s="103"/>
      <c r="LE51" s="98"/>
      <c r="LF51" s="98"/>
      <c r="LG51" s="98"/>
      <c r="LH51" s="102"/>
      <c r="LP51" s="98" t="s">
        <v>972</v>
      </c>
      <c r="LR51" s="55" t="s">
        <v>876</v>
      </c>
      <c r="LS51" s="109" t="s">
        <v>965</v>
      </c>
      <c r="LT51" s="98"/>
      <c r="LU51" s="98" t="s">
        <v>967</v>
      </c>
      <c r="LV51" s="98"/>
      <c r="LY51" s="23"/>
      <c r="LZ51" s="23"/>
      <c r="ME51" s="101" t="s">
        <v>58</v>
      </c>
      <c r="MF51" s="107" t="s">
        <v>95</v>
      </c>
      <c r="MG51" s="102" t="s">
        <v>22</v>
      </c>
      <c r="MH51" s="109" t="s">
        <v>1006</v>
      </c>
      <c r="MI51" s="109"/>
      <c r="MJ51" s="98"/>
      <c r="MK51" s="98" t="s">
        <v>59</v>
      </c>
      <c r="MN51" s="98" t="s">
        <v>977</v>
      </c>
    </row>
    <row r="52" spans="1:352">
      <c r="B52" s="117">
        <v>1</v>
      </c>
      <c r="C52" s="116" t="s">
        <v>1048</v>
      </c>
      <c r="D52" s="109"/>
      <c r="E52" s="109" t="s">
        <v>767</v>
      </c>
      <c r="F52" s="118" t="str">
        <f>HYPERLINK("C:\SVN\SALT RunTime\Projects\SALT\Snapshots\TC_HomePage_To_verify_Widget_disclaimer_007_UK_IN-MU-DT-J27064\201597\15445\Iterator_1\TC_HomePage_To_verify_Widget_disclaimer_007_UK1.xlsx","Snapshot")</f>
        <v>Snapshot</v>
      </c>
      <c r="G52" s="118" t="str">
        <f>HYPERLINK("C:\SVN\SALT RunTime\Projects\SALT\Snapshots\TC_HomePage_To_verify_Widget_disclaimer_007_UK_IN-MU-DT-J27064\201597\15445\Iterator_1\Merge.html","Result")</f>
        <v>Result</v>
      </c>
      <c r="LY52" s="23">
        <v>42254.628298611111</v>
      </c>
      <c r="LZ52" s="23">
        <v>42254.629490740743</v>
      </c>
      <c r="MA52" s="18" t="s">
        <v>1170</v>
      </c>
      <c r="ME52" s="101" t="s">
        <v>58</v>
      </c>
      <c r="MF52" s="107" t="s">
        <v>95</v>
      </c>
      <c r="MG52" s="102" t="s">
        <v>22</v>
      </c>
      <c r="MH52" s="109" t="s">
        <v>877</v>
      </c>
      <c r="MI52" s="109"/>
      <c r="MN52" s="98" t="s">
        <v>1041</v>
      </c>
    </row>
    <row r="53" spans="1:352">
      <c r="B53" s="117">
        <v>1</v>
      </c>
      <c r="C53" s="116" t="s">
        <v>1053</v>
      </c>
      <c r="D53" s="109"/>
      <c r="E53" s="109" t="s">
        <v>767</v>
      </c>
      <c r="F53" s="118" t="str">
        <f>HYPERLINK("C:\SVN\SALT RunTime\Projects\SALT\Snapshots\TC_HomePage_To_verify_Widget_disclaimer_007_AU_IN-MU-DT-J27064\201597\15629\Iterator_1\TC_HomePage_To_verify_Widget_disclaimer_007_AU1.xlsx","Snapshot")</f>
        <v>Snapshot</v>
      </c>
      <c r="G53" s="118" t="str">
        <f>HYPERLINK("C:\SVN\SALT RunTime\Projects\SALT\Snapshots\TC_HomePage_To_verify_Widget_disclaimer_007_AU_IN-MU-DT-J27064\201597\15629\Iterator_1\Merge.html","Result")</f>
        <v>Result</v>
      </c>
      <c r="LY53" s="23">
        <v>42254.629502314812</v>
      </c>
      <c r="LZ53" s="23">
        <v>42254.630624999998</v>
      </c>
      <c r="MA53" s="18" t="s">
        <v>1180</v>
      </c>
      <c r="ME53" s="101" t="s">
        <v>58</v>
      </c>
      <c r="MF53" s="107" t="s">
        <v>95</v>
      </c>
      <c r="MG53" s="102" t="s">
        <v>22</v>
      </c>
      <c r="MH53" s="109" t="s">
        <v>432</v>
      </c>
      <c r="MI53" s="109"/>
      <c r="MN53" s="55" t="s">
        <v>1042</v>
      </c>
    </row>
    <row r="54" spans="1:352">
      <c r="B54" s="117">
        <v>1</v>
      </c>
      <c r="C54" s="116" t="s">
        <v>1054</v>
      </c>
      <c r="D54" s="109"/>
      <c r="E54" s="109" t="s">
        <v>767</v>
      </c>
      <c r="F54" s="118" t="str">
        <f>HYPERLINK("C:\SVN\SALT RunTime\Projects\SALT\Snapshots\TC_HomePage_To_verify_Widget_disclaimer_007_NZ_IN-MU-DT-J27064\201597\1587\Iterator_1\TC_HomePage_To_verify_Widget_disclaimer_007_NZ1.xlsx","Snapshot")</f>
        <v>Snapshot</v>
      </c>
      <c r="G54" s="118" t="str">
        <f>HYPERLINK("C:\SVN\SALT RunTime\Projects\SALT\Snapshots\TC_HomePage_To_verify_Widget_disclaimer_007_NZ_IN-MU-DT-J27064\201597\1587\Iterator_1\Merge.html","Result")</f>
        <v>Result</v>
      </c>
      <c r="LY54" s="23">
        <v>42254.630636574075</v>
      </c>
      <c r="LZ54" s="23">
        <v>42254.631782407407</v>
      </c>
      <c r="MA54" s="18" t="s">
        <v>1169</v>
      </c>
      <c r="ME54" s="101" t="s">
        <v>58</v>
      </c>
      <c r="MF54" s="107" t="s">
        <v>95</v>
      </c>
      <c r="MG54" s="102" t="s">
        <v>22</v>
      </c>
      <c r="MH54" s="109" t="s">
        <v>436</v>
      </c>
      <c r="MI54" s="109"/>
      <c r="MN54" s="98" t="s">
        <v>1043</v>
      </c>
    </row>
    <row r="55" spans="1:352">
      <c r="B55" s="117">
        <v>1</v>
      </c>
      <c r="C55" s="116" t="s">
        <v>1055</v>
      </c>
      <c r="D55" s="109"/>
      <c r="E55" s="109" t="s">
        <v>767</v>
      </c>
      <c r="F55" s="118" t="str">
        <f>HYPERLINK("C:\SVN\SALT RunTime\Projects\SALT\Snapshots\TC_HomePage_To_verify_Widget_disclaimer_007_USA_IN-MU-DT-J27064\201597\15947\Iterator_1\TC_HomePage_To_verify_Widget_disclaimer_007_USA1.xlsx","Snapshot")</f>
        <v>Snapshot</v>
      </c>
      <c r="G55" s="118" t="str">
        <f>HYPERLINK("C:\SVN\SALT RunTime\Projects\SALT\Snapshots\TC_HomePage_To_verify_Widget_disclaimer_007_USA_IN-MU-DT-J27064\201597\15947\Iterator_1\Merge.html","Result")</f>
        <v>Result</v>
      </c>
      <c r="LY55" s="23">
        <v>42254.631793981483</v>
      </c>
      <c r="LZ55" s="23">
        <v>42254.632928240739</v>
      </c>
      <c r="MA55" s="18" t="s">
        <v>1181</v>
      </c>
      <c r="ME55" s="101" t="s">
        <v>58</v>
      </c>
      <c r="MF55" s="107" t="s">
        <v>95</v>
      </c>
      <c r="MG55" s="102" t="s">
        <v>22</v>
      </c>
      <c r="MH55" s="109" t="s">
        <v>880</v>
      </c>
      <c r="MI55" s="109"/>
      <c r="MN55" s="98" t="s">
        <v>1040</v>
      </c>
    </row>
    <row r="56" spans="1:352">
      <c r="B56" s="117">
        <v>1</v>
      </c>
      <c r="C56" s="116" t="s">
        <v>1056</v>
      </c>
      <c r="D56" s="109"/>
      <c r="E56" s="109" t="s">
        <v>767</v>
      </c>
      <c r="F56" s="118" t="str">
        <f>HYPERLINK("C:\SVN\SALT RunTime\Projects\SALT\Snapshots\TC_HomePage_To_verify_Widget_disclaimer_007_GR_IN-MU-DT-J27064\201597\151126\Iterator_1\TC_HomePage_To_verify_Widget_disclaimer_007_GR1.xlsx","Snapshot")</f>
        <v>Snapshot</v>
      </c>
      <c r="G56" s="118" t="str">
        <f>HYPERLINK("C:\SVN\SALT RunTime\Projects\SALT\Snapshots\TC_HomePage_To_verify_Widget_disclaimer_007_GR_IN-MU-DT-J27064\201597\151126\Iterator_1\Merge.html","Result")</f>
        <v>Result</v>
      </c>
      <c r="LY56" s="23">
        <v>42254.632939814815</v>
      </c>
      <c r="LZ56" s="23">
        <v>42254.634131944447</v>
      </c>
      <c r="MA56" s="18" t="s">
        <v>1170</v>
      </c>
      <c r="ME56" s="101" t="s">
        <v>58</v>
      </c>
      <c r="MF56" s="107" t="s">
        <v>95</v>
      </c>
      <c r="MG56" s="102" t="s">
        <v>22</v>
      </c>
      <c r="MH56" s="109" t="s">
        <v>984</v>
      </c>
      <c r="MI56" s="109"/>
      <c r="MN56" s="55" t="s">
        <v>1052</v>
      </c>
    </row>
    <row r="57" spans="1:352">
      <c r="B57" s="117">
        <v>1</v>
      </c>
      <c r="C57" s="116" t="s">
        <v>1057</v>
      </c>
      <c r="D57" s="109"/>
      <c r="E57" s="109" t="s">
        <v>767</v>
      </c>
      <c r="F57" s="118" t="str">
        <f>HYPERLINK("C:\SVN\SALT RunTime\Projects\SALT\Snapshots\TC_HomePage_To_verify_Top_Rates_08_UK_IN-MU-DT-J27064\201597\151310\Iterator_1\TC_HomePage_To_verify_Top_Rates_08_UK1.xlsx","Snapshot")</f>
        <v>Snapshot</v>
      </c>
      <c r="G57" s="118" t="str">
        <f>HYPERLINK("C:\SVN\SALT RunTime\Projects\SALT\Snapshots\TC_HomePage_To_verify_Top_Rates_08_UK_IN-MU-DT-J27064\201597\151310\Iterator_1\Merge.html","Result")</f>
        <v>Result</v>
      </c>
      <c r="LY57" s="23">
        <v>42254.634143518517</v>
      </c>
      <c r="LZ57" s="23">
        <v>42254.637118055558</v>
      </c>
      <c r="MA57" s="18" t="s">
        <v>1182</v>
      </c>
      <c r="MB57" s="114" t="s">
        <v>1038</v>
      </c>
      <c r="ME57" s="101" t="s">
        <v>58</v>
      </c>
      <c r="MF57" s="107" t="s">
        <v>95</v>
      </c>
      <c r="MG57" s="102" t="s">
        <v>22</v>
      </c>
      <c r="MH57" s="109" t="s">
        <v>877</v>
      </c>
      <c r="MI57" s="109"/>
      <c r="MN57" s="98" t="s">
        <v>1041</v>
      </c>
    </row>
    <row r="58" spans="1:352">
      <c r="B58" s="117">
        <v>1</v>
      </c>
      <c r="C58" s="116" t="s">
        <v>1058</v>
      </c>
      <c r="D58" s="109"/>
      <c r="E58" s="109" t="s">
        <v>767</v>
      </c>
      <c r="F58" s="118" t="str">
        <f>HYPERLINK("C:\SVN\SALT RunTime\Projects\SALT\Snapshots\TC_HomePage_To_verify_Top_Rates_08_AUS_IN-MU-DT-J27064\201597\155459\Iterator_1\TC_HomePage_To_verify_Top_Rates_08_AUS1.xlsx","Snapshot")</f>
        <v>Snapshot</v>
      </c>
      <c r="G58" s="118" t="str">
        <f>HYPERLINK("C:\SVN\SALT RunTime\Projects\SALT\Snapshots\TC_HomePage_To_verify_Top_Rates_08_AUS_IN-MU-DT-J27064\201597\155459\Iterator_1\Merge.html","Result")</f>
        <v>Result</v>
      </c>
      <c r="LY58" s="23">
        <v>42254.663182870368</v>
      </c>
      <c r="LZ58" s="23">
        <v>42254.665983796294</v>
      </c>
      <c r="MA58" s="18" t="s">
        <v>1183</v>
      </c>
      <c r="MB58" s="55" t="s">
        <v>1046</v>
      </c>
      <c r="ME58" s="101" t="s">
        <v>58</v>
      </c>
      <c r="MF58" s="107" t="s">
        <v>95</v>
      </c>
      <c r="MG58" s="102" t="s">
        <v>22</v>
      </c>
      <c r="MH58" s="109" t="s">
        <v>432</v>
      </c>
      <c r="MI58" s="109"/>
      <c r="MN58" s="55" t="s">
        <v>1042</v>
      </c>
    </row>
    <row r="59" spans="1:352">
      <c r="B59" s="117">
        <v>1</v>
      </c>
      <c r="C59" s="116" t="s">
        <v>1059</v>
      </c>
      <c r="D59" s="109"/>
      <c r="E59" s="109" t="s">
        <v>767</v>
      </c>
      <c r="F59" s="118" t="str">
        <f>HYPERLINK("C:\SVN\SALT RunTime\Projects\SALT\Snapshots\TC_HomePage_To_verify_Top_Rates_08_NZ_IN-MU-DT-J27064\201598\62841\Iterator_1\TC_HomePage_To_verify_Top_Rates_08_NZ1.xlsx","Snapshot")</f>
        <v>Snapshot</v>
      </c>
      <c r="G59" s="118" t="str">
        <f>HYPERLINK("C:\SVN\SALT RunTime\Projects\SALT\Snapshots\TC_HomePage_To_verify_Top_Rates_08_NZ_IN-MU-DT-J27064\201598\62841\Iterator_1\Merge.html","Result")</f>
        <v>Result</v>
      </c>
      <c r="LY59" s="23">
        <v>42255.269918981481</v>
      </c>
      <c r="LZ59" s="23">
        <v>42255.272303240738</v>
      </c>
      <c r="MA59" s="18" t="s">
        <v>1184</v>
      </c>
      <c r="MB59" s="55" t="s">
        <v>1047</v>
      </c>
      <c r="ME59" s="101" t="s">
        <v>58</v>
      </c>
      <c r="MF59" s="107" t="s">
        <v>95</v>
      </c>
      <c r="MG59" s="102" t="s">
        <v>22</v>
      </c>
      <c r="MH59" s="109" t="s">
        <v>436</v>
      </c>
      <c r="MI59" s="109"/>
      <c r="MN59" s="98" t="s">
        <v>1043</v>
      </c>
    </row>
    <row r="60" spans="1:352" ht="19.5" customHeight="1">
      <c r="B60" s="117">
        <v>1</v>
      </c>
      <c r="C60" s="116" t="s">
        <v>1060</v>
      </c>
      <c r="D60" s="109"/>
      <c r="E60" s="119" t="s">
        <v>767</v>
      </c>
      <c r="F60" s="118" t="str">
        <f>HYPERLINK("C:\SVN\SALT RunTime\Projects\SALT\Snapshots\TC_HomePage_To_verify_Top_Rates_08_USA_IN-MU-DT-J27064\201598\8328\Iterator_1\TC_HomePage_To_verify_Top_Rates_08_USA1.xlsx","Snapshot")</f>
        <v>Snapshot</v>
      </c>
      <c r="G60" s="118" t="str">
        <f>HYPERLINK("C:\SVN\SALT RunTime\Projects\SALT\Snapshots\TC_HomePage_To_verify_Top_Rates_08_USA_IN-MU-DT-J27064\201598\8328\Iterator_1\Merge.html","Result")</f>
        <v>Result</v>
      </c>
      <c r="LY60" s="23">
        <v>42255.35564814815</v>
      </c>
      <c r="LZ60" s="23">
        <v>42255.358067129629</v>
      </c>
      <c r="MA60" s="18" t="s">
        <v>1186</v>
      </c>
      <c r="MB60" s="55" t="s">
        <v>1045</v>
      </c>
      <c r="ME60" s="101" t="s">
        <v>58</v>
      </c>
      <c r="MF60" s="107" t="s">
        <v>95</v>
      </c>
      <c r="MG60" s="102" t="s">
        <v>22</v>
      </c>
      <c r="MH60" s="109" t="s">
        <v>880</v>
      </c>
      <c r="MI60" s="109"/>
      <c r="MN60" s="98" t="s">
        <v>1040</v>
      </c>
    </row>
    <row r="61" spans="1:352">
      <c r="B61" s="117">
        <v>1</v>
      </c>
      <c r="C61" s="116" t="s">
        <v>1061</v>
      </c>
      <c r="D61" s="109"/>
      <c r="E61" s="109" t="s">
        <v>767</v>
      </c>
      <c r="F61" s="118" t="str">
        <f>HYPERLINK("C:\SVN\SALT RunTime\Projects\SALT\Snapshots\TC_HomePage_To_verify_Top_Rates_08_GR_IN-MU-DT-J27064\201598\95427\Iterator_1\TC_HomePage_To_verify_Top_Rates_08_GR1.xlsx","Snapshot")</f>
        <v>Snapshot</v>
      </c>
      <c r="G61" s="118" t="str">
        <f>HYPERLINK("C:\SVN\SALT RunTime\Projects\SALT\Snapshots\TC_HomePage_To_verify_Top_Rates_08_GR_IN-MU-DT-J27064\201598\95427\Iterator_1\Merge.html","Result")</f>
        <v>Result</v>
      </c>
      <c r="LY61" s="23">
        <v>42255.412812499999</v>
      </c>
      <c r="LZ61" s="23">
        <v>42255.414988425924</v>
      </c>
      <c r="MA61" s="18" t="s">
        <v>1187</v>
      </c>
      <c r="MB61" s="18" t="s">
        <v>1064</v>
      </c>
      <c r="ME61" s="101" t="s">
        <v>58</v>
      </c>
      <c r="MF61" s="107" t="s">
        <v>95</v>
      </c>
      <c r="MG61" s="102" t="s">
        <v>22</v>
      </c>
      <c r="MH61" s="109" t="s">
        <v>984</v>
      </c>
      <c r="MI61" s="109"/>
      <c r="MN61" s="55" t="s">
        <v>1052</v>
      </c>
    </row>
    <row r="62" spans="1:352" ht="12.75" customHeight="1">
      <c r="B62" s="117">
        <v>1</v>
      </c>
      <c r="C62" s="116" t="s">
        <v>1105</v>
      </c>
      <c r="D62" s="109"/>
      <c r="E62" s="109"/>
      <c r="F62" s="118"/>
      <c r="G62" s="118"/>
      <c r="LY62" s="23">
        <v>42236.599814814814</v>
      </c>
      <c r="LZ62" s="23">
        <v>42236.602951388886</v>
      </c>
      <c r="MA62" s="18" t="s">
        <v>1133</v>
      </c>
      <c r="MB62" s="114" t="s">
        <v>1038</v>
      </c>
      <c r="ME62" s="101" t="s">
        <v>58</v>
      </c>
      <c r="MF62" s="107" t="s">
        <v>95</v>
      </c>
      <c r="MG62" s="102" t="s">
        <v>22</v>
      </c>
      <c r="MH62" s="109" t="s">
        <v>877</v>
      </c>
      <c r="MI62" s="109"/>
      <c r="MK62" s="98" t="s">
        <v>59</v>
      </c>
      <c r="ML62" s="55" t="s">
        <v>88</v>
      </c>
      <c r="MM62" s="55" t="s">
        <v>877</v>
      </c>
      <c r="MN62" s="98" t="s">
        <v>1041</v>
      </c>
    </row>
    <row r="63" spans="1:352" ht="14.25" customHeight="1">
      <c r="B63" s="117">
        <v>1</v>
      </c>
      <c r="C63" s="116" t="s">
        <v>1106</v>
      </c>
      <c r="D63" s="97"/>
      <c r="E63" s="98"/>
      <c r="F63" s="99"/>
      <c r="G63" s="100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  <c r="BN63" s="55"/>
      <c r="BO63" s="55"/>
      <c r="BP63" s="55"/>
      <c r="BQ63" s="55"/>
      <c r="BR63" s="55"/>
      <c r="BS63" s="55"/>
      <c r="BT63" s="55"/>
      <c r="BU63" s="55"/>
      <c r="BV63" s="55"/>
      <c r="BW63" s="55"/>
      <c r="BX63" s="5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55"/>
      <c r="CO63" s="55"/>
      <c r="CP63" s="55"/>
      <c r="CQ63" s="55"/>
      <c r="CR63" s="55"/>
      <c r="CS63" s="55"/>
      <c r="CT63" s="55"/>
      <c r="CU63" s="55"/>
      <c r="CV63" s="55"/>
      <c r="CW63" s="55"/>
      <c r="CX63" s="55"/>
      <c r="CY63" s="55"/>
      <c r="CZ63" s="55"/>
      <c r="DA63" s="55"/>
      <c r="DB63" s="55"/>
      <c r="DC63" s="55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5"/>
      <c r="EH63" s="55"/>
      <c r="EI63" s="55"/>
      <c r="EJ63" s="55"/>
      <c r="EK63" s="55"/>
      <c r="EL63" s="55"/>
      <c r="EM63" s="55"/>
      <c r="EN63" s="55"/>
      <c r="EO63" s="55"/>
      <c r="EP63" s="55"/>
      <c r="EQ63" s="55"/>
      <c r="ER63" s="55"/>
      <c r="ES63" s="55"/>
      <c r="ET63" s="55"/>
      <c r="EU63" s="55"/>
      <c r="EV63" s="55"/>
      <c r="EW63" s="55"/>
      <c r="EX63" s="55"/>
      <c r="EY63" s="55"/>
      <c r="EZ63" s="55"/>
      <c r="FA63" s="55"/>
      <c r="FB63" s="55"/>
      <c r="FC63" s="55"/>
      <c r="FD63" s="55"/>
      <c r="FE63" s="55"/>
      <c r="FF63" s="55"/>
      <c r="FG63" s="55"/>
      <c r="FH63" s="55"/>
      <c r="FI63" s="55"/>
      <c r="FJ63" s="55"/>
      <c r="FK63" s="55"/>
      <c r="FL63" s="55"/>
      <c r="FM63" s="55"/>
      <c r="FN63" s="55"/>
      <c r="FO63" s="55"/>
      <c r="FP63" s="55"/>
      <c r="FQ63" s="55"/>
      <c r="FR63" s="55"/>
      <c r="FS63" s="55"/>
      <c r="FT63" s="55"/>
      <c r="FU63" s="55"/>
      <c r="FV63" s="55"/>
      <c r="FW63" s="55"/>
      <c r="FX63" s="55"/>
      <c r="FY63" s="55"/>
      <c r="FZ63" s="55"/>
      <c r="GA63" s="55"/>
      <c r="GB63" s="55"/>
      <c r="GC63" s="55"/>
      <c r="GD63" s="55"/>
      <c r="GE63" s="55"/>
      <c r="GF63" s="55"/>
      <c r="GG63" s="55"/>
      <c r="GH63" s="55"/>
      <c r="GI63" s="55"/>
      <c r="GJ63" s="55"/>
      <c r="GK63" s="55"/>
      <c r="GL63" s="54"/>
      <c r="GM63" s="55"/>
      <c r="GN63" s="55"/>
      <c r="GO63" s="55"/>
      <c r="GP63" s="55"/>
      <c r="GQ63" s="55"/>
      <c r="GR63" s="55"/>
      <c r="GS63" s="55"/>
      <c r="GT63" s="55"/>
      <c r="GU63" s="55"/>
      <c r="GV63" s="55"/>
      <c r="GW63" s="55"/>
      <c r="GX63" s="55"/>
      <c r="GY63" s="55"/>
      <c r="GZ63" s="55"/>
      <c r="HA63" s="55"/>
      <c r="HB63" s="55"/>
      <c r="HC63" s="55"/>
      <c r="HD63" s="55"/>
      <c r="HE63" s="55"/>
      <c r="HF63" s="55"/>
      <c r="HG63" s="55"/>
      <c r="HH63" s="55"/>
      <c r="HI63" s="55"/>
      <c r="HJ63" s="55"/>
      <c r="HK63" s="55"/>
      <c r="HL63" s="55"/>
      <c r="HM63" s="55"/>
      <c r="HN63" s="55"/>
      <c r="HO63" s="55"/>
      <c r="HP63" s="55"/>
      <c r="HQ63" s="55"/>
      <c r="HR63" s="55"/>
      <c r="HS63" s="55"/>
      <c r="HT63" s="55"/>
      <c r="HU63" s="55"/>
      <c r="HV63" s="55"/>
      <c r="HW63" s="55"/>
      <c r="HX63" s="55"/>
      <c r="HY63" s="55"/>
      <c r="HZ63" s="55"/>
      <c r="IA63" s="55"/>
      <c r="IB63" s="55"/>
      <c r="IC63" s="55"/>
      <c r="ID63" s="55"/>
      <c r="IE63" s="55"/>
      <c r="IF63" s="55"/>
      <c r="IG63" s="55"/>
      <c r="IH63" s="55"/>
      <c r="II63" s="55"/>
      <c r="IJ63" s="55"/>
      <c r="IK63" s="55"/>
      <c r="IL63" s="55"/>
      <c r="IM63" s="55"/>
      <c r="IN63" s="55"/>
      <c r="IO63" s="55"/>
      <c r="IP63" s="55"/>
      <c r="IQ63" s="55"/>
      <c r="IR63" s="55"/>
      <c r="IS63" s="55"/>
      <c r="IT63" s="55"/>
      <c r="IU63" s="55"/>
      <c r="IV63" s="55"/>
      <c r="IW63" s="55"/>
      <c r="IX63" s="55"/>
      <c r="IY63" s="55"/>
      <c r="IZ63" s="55"/>
      <c r="JA63" s="55"/>
      <c r="JB63" s="55"/>
      <c r="JC63" s="55"/>
      <c r="JD63" s="55"/>
      <c r="JE63" s="55"/>
      <c r="JF63" s="55"/>
      <c r="JG63" s="55"/>
      <c r="JH63" s="55"/>
      <c r="JI63" s="55"/>
      <c r="JJ63" s="55"/>
      <c r="JK63" s="55"/>
      <c r="JL63" s="55"/>
      <c r="JM63" s="55"/>
      <c r="JN63" s="55"/>
      <c r="JO63" s="55"/>
      <c r="JP63" s="55"/>
      <c r="JQ63" s="55"/>
      <c r="JR63" s="55"/>
      <c r="JS63" s="55"/>
      <c r="JT63" s="55"/>
      <c r="JU63" s="55"/>
      <c r="JV63" s="55"/>
      <c r="JW63" s="55"/>
      <c r="JX63" s="55"/>
      <c r="JY63" s="55"/>
      <c r="JZ63" s="55"/>
      <c r="KA63" s="55"/>
      <c r="KB63" s="55"/>
      <c r="KC63" s="55"/>
      <c r="KD63" s="55"/>
      <c r="KE63" s="55"/>
      <c r="KF63" s="55"/>
      <c r="KG63" s="55"/>
      <c r="KH63" s="55"/>
      <c r="KI63" s="55"/>
      <c r="KJ63" s="55"/>
      <c r="KK63" s="55"/>
      <c r="KL63" s="55"/>
      <c r="KM63" s="55"/>
      <c r="KN63" s="55"/>
      <c r="KO63" s="55"/>
      <c r="KP63" s="55"/>
      <c r="KQ63" s="55"/>
      <c r="KR63" s="55"/>
      <c r="KS63" s="55"/>
      <c r="KT63" s="55"/>
      <c r="KU63" s="55"/>
      <c r="KV63" s="55"/>
      <c r="KW63" s="55"/>
      <c r="KX63" s="55"/>
      <c r="KY63" s="55"/>
      <c r="KZ63" s="55"/>
      <c r="LA63" s="55"/>
      <c r="LB63" s="55"/>
      <c r="LC63" s="98"/>
      <c r="LD63" s="103"/>
      <c r="LE63" s="98"/>
      <c r="LF63" s="98"/>
      <c r="LG63" s="98"/>
      <c r="LH63" s="102"/>
      <c r="LI63" s="55"/>
      <c r="LJ63" s="55"/>
      <c r="LK63" s="55"/>
      <c r="LL63" s="55"/>
      <c r="LM63" s="55"/>
      <c r="LN63" s="55"/>
      <c r="LO63" s="55"/>
      <c r="LP63" s="55"/>
      <c r="LQ63" s="55" t="s">
        <v>879</v>
      </c>
      <c r="LR63" s="55" t="s">
        <v>876</v>
      </c>
      <c r="LS63" s="109" t="s">
        <v>968</v>
      </c>
      <c r="LT63" s="98"/>
      <c r="LU63" s="98"/>
      <c r="LV63" s="98"/>
      <c r="LW63" s="55"/>
      <c r="LX63" s="55"/>
      <c r="LY63" s="23">
        <v>42236.619664351849</v>
      </c>
      <c r="LZ63" s="23">
        <v>42236.623182870368</v>
      </c>
      <c r="MA63" s="55" t="s">
        <v>1138</v>
      </c>
      <c r="MB63" s="55" t="s">
        <v>1046</v>
      </c>
      <c r="MC63" s="55"/>
      <c r="MD63" s="55"/>
      <c r="ME63" s="101" t="s">
        <v>58</v>
      </c>
      <c r="MF63" s="107" t="s">
        <v>95</v>
      </c>
      <c r="MG63" s="102" t="s">
        <v>22</v>
      </c>
      <c r="MH63" s="109" t="s">
        <v>432</v>
      </c>
      <c r="MI63" s="109"/>
      <c r="MJ63" s="98" t="s">
        <v>78</v>
      </c>
      <c r="MK63" s="98" t="s">
        <v>59</v>
      </c>
      <c r="ML63" s="55" t="s">
        <v>88</v>
      </c>
      <c r="MM63" s="55" t="s">
        <v>432</v>
      </c>
      <c r="MN63" s="55" t="s">
        <v>1042</v>
      </c>
    </row>
    <row r="64" spans="1:352" ht="14.25" customHeight="1">
      <c r="B64" s="117">
        <v>1</v>
      </c>
      <c r="C64" s="116" t="s">
        <v>1107</v>
      </c>
      <c r="D64" s="97"/>
      <c r="E64" s="98"/>
      <c r="F64" s="99"/>
      <c r="G64" s="100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  <c r="EU64" s="55"/>
      <c r="EV64" s="55"/>
      <c r="EW64" s="55"/>
      <c r="EX64" s="55"/>
      <c r="EY64" s="55"/>
      <c r="EZ64" s="55"/>
      <c r="FA64" s="55"/>
      <c r="FB64" s="55"/>
      <c r="FC64" s="55"/>
      <c r="FD64" s="55"/>
      <c r="FE64" s="55"/>
      <c r="FF64" s="55"/>
      <c r="FG64" s="55"/>
      <c r="FH64" s="55"/>
      <c r="FI64" s="55"/>
      <c r="FJ64" s="55"/>
      <c r="FK64" s="55"/>
      <c r="FL64" s="55"/>
      <c r="FM64" s="55"/>
      <c r="FN64" s="55"/>
      <c r="FO64" s="55"/>
      <c r="FP64" s="55"/>
      <c r="FQ64" s="55"/>
      <c r="FR64" s="55"/>
      <c r="FS64" s="55"/>
      <c r="FT64" s="55"/>
      <c r="FU64" s="55"/>
      <c r="FV64" s="55"/>
      <c r="FW64" s="55"/>
      <c r="FX64" s="55"/>
      <c r="FY64" s="55"/>
      <c r="FZ64" s="55"/>
      <c r="GA64" s="55"/>
      <c r="GB64" s="55"/>
      <c r="GC64" s="55"/>
      <c r="GD64" s="55"/>
      <c r="GE64" s="55"/>
      <c r="GF64" s="55"/>
      <c r="GG64" s="55"/>
      <c r="GH64" s="55"/>
      <c r="GI64" s="55"/>
      <c r="GJ64" s="55"/>
      <c r="GK64" s="55"/>
      <c r="GL64" s="54"/>
      <c r="GM64" s="55"/>
      <c r="GN64" s="55"/>
      <c r="GO64" s="55"/>
      <c r="GP64" s="55"/>
      <c r="GQ64" s="55"/>
      <c r="GR64" s="55"/>
      <c r="GS64" s="55"/>
      <c r="GT64" s="55"/>
      <c r="GU64" s="55"/>
      <c r="GV64" s="55"/>
      <c r="GW64" s="55"/>
      <c r="GX64" s="55"/>
      <c r="GY64" s="55"/>
      <c r="GZ64" s="55"/>
      <c r="HA64" s="55"/>
      <c r="HB64" s="55"/>
      <c r="HC64" s="55"/>
      <c r="HD64" s="55"/>
      <c r="HE64" s="55"/>
      <c r="HF64" s="55"/>
      <c r="HG64" s="55"/>
      <c r="HH64" s="55"/>
      <c r="HI64" s="55"/>
      <c r="HJ64" s="55"/>
      <c r="HK64" s="55"/>
      <c r="HL64" s="55"/>
      <c r="HM64" s="55"/>
      <c r="HN64" s="55"/>
      <c r="HO64" s="55"/>
      <c r="HP64" s="55"/>
      <c r="HQ64" s="55"/>
      <c r="HR64" s="55"/>
      <c r="HS64" s="55"/>
      <c r="HT64" s="55"/>
      <c r="HU64" s="55"/>
      <c r="HV64" s="55"/>
      <c r="HW64" s="55"/>
      <c r="HX64" s="55"/>
      <c r="HY64" s="55"/>
      <c r="HZ64" s="55"/>
      <c r="IA64" s="55"/>
      <c r="IB64" s="55"/>
      <c r="IC64" s="55"/>
      <c r="ID64" s="55"/>
      <c r="IE64" s="55"/>
      <c r="IF64" s="55"/>
      <c r="IG64" s="55"/>
      <c r="IH64" s="55"/>
      <c r="II64" s="55"/>
      <c r="IJ64" s="55"/>
      <c r="IK64" s="55"/>
      <c r="IL64" s="55"/>
      <c r="IM64" s="55"/>
      <c r="IN64" s="55"/>
      <c r="IO64" s="55"/>
      <c r="IP64" s="55"/>
      <c r="IQ64" s="55"/>
      <c r="IR64" s="55"/>
      <c r="IS64" s="55"/>
      <c r="IT64" s="55"/>
      <c r="IU64" s="55"/>
      <c r="IV64" s="55"/>
      <c r="IW64" s="55"/>
      <c r="IX64" s="55"/>
      <c r="IY64" s="55"/>
      <c r="IZ64" s="55"/>
      <c r="JA64" s="55"/>
      <c r="JB64" s="55"/>
      <c r="JC64" s="55"/>
      <c r="JD64" s="55"/>
      <c r="JE64" s="55"/>
      <c r="JF64" s="55"/>
      <c r="JG64" s="55"/>
      <c r="JH64" s="55"/>
      <c r="JI64" s="55"/>
      <c r="JJ64" s="55"/>
      <c r="JK64" s="55"/>
      <c r="JL64" s="55"/>
      <c r="JM64" s="55"/>
      <c r="JN64" s="55"/>
      <c r="JO64" s="55"/>
      <c r="JP64" s="55"/>
      <c r="JQ64" s="55"/>
      <c r="JR64" s="55"/>
      <c r="JS64" s="55"/>
      <c r="JT64" s="55"/>
      <c r="JU64" s="55"/>
      <c r="JV64" s="55"/>
      <c r="JW64" s="55"/>
      <c r="JX64" s="55"/>
      <c r="JY64" s="55"/>
      <c r="JZ64" s="55"/>
      <c r="KA64" s="55"/>
      <c r="KB64" s="55"/>
      <c r="KC64" s="55"/>
      <c r="KD64" s="55"/>
      <c r="KE64" s="55"/>
      <c r="KF64" s="55"/>
      <c r="KG64" s="55"/>
      <c r="KH64" s="55"/>
      <c r="KI64" s="55"/>
      <c r="KJ64" s="55"/>
      <c r="KK64" s="55"/>
      <c r="KL64" s="55"/>
      <c r="KM64" s="55"/>
      <c r="KN64" s="55"/>
      <c r="KO64" s="55"/>
      <c r="KP64" s="55"/>
      <c r="KQ64" s="55"/>
      <c r="KR64" s="55"/>
      <c r="KS64" s="55"/>
      <c r="KT64" s="55"/>
      <c r="KU64" s="55"/>
      <c r="KV64" s="55"/>
      <c r="KW64" s="55"/>
      <c r="KX64" s="55"/>
      <c r="KY64" s="55"/>
      <c r="KZ64" s="55"/>
      <c r="LA64" s="55"/>
      <c r="LB64" s="55"/>
      <c r="LC64" s="98"/>
      <c r="LD64" s="103"/>
      <c r="LE64" s="98"/>
      <c r="LF64" s="98"/>
      <c r="LG64" s="98"/>
      <c r="LH64" s="102"/>
      <c r="LI64" s="55"/>
      <c r="LJ64" s="55"/>
      <c r="LK64" s="55"/>
      <c r="LL64" s="55"/>
      <c r="LM64" s="55"/>
      <c r="LN64" s="55"/>
      <c r="LO64" s="55"/>
      <c r="LP64" s="55"/>
      <c r="LQ64" s="55" t="s">
        <v>879</v>
      </c>
      <c r="LR64" s="55" t="s">
        <v>876</v>
      </c>
      <c r="LS64" s="109" t="s">
        <v>968</v>
      </c>
      <c r="LT64" s="98"/>
      <c r="LU64" s="98"/>
      <c r="LV64" s="98"/>
      <c r="LW64" s="55"/>
      <c r="LX64" s="55"/>
      <c r="LY64" s="23">
        <v>42236.626770833333</v>
      </c>
      <c r="LZ64" s="23">
        <v>42236.630231481482</v>
      </c>
      <c r="MA64" s="55" t="s">
        <v>1139</v>
      </c>
      <c r="MB64" s="55" t="s">
        <v>1047</v>
      </c>
      <c r="MC64" s="55"/>
      <c r="MD64" s="55"/>
      <c r="ME64" s="101" t="s">
        <v>58</v>
      </c>
      <c r="MF64" s="107" t="s">
        <v>95</v>
      </c>
      <c r="MG64" s="102" t="s">
        <v>22</v>
      </c>
      <c r="MH64" s="109" t="s">
        <v>436</v>
      </c>
      <c r="MI64" s="109"/>
      <c r="MJ64" s="98" t="s">
        <v>78</v>
      </c>
      <c r="MK64" s="98" t="s">
        <v>59</v>
      </c>
      <c r="ML64" s="55" t="s">
        <v>88</v>
      </c>
      <c r="MM64" s="55" t="s">
        <v>436</v>
      </c>
      <c r="MN64" s="98" t="s">
        <v>1043</v>
      </c>
    </row>
    <row r="65" spans="2:352" ht="15.75" customHeight="1">
      <c r="B65" s="117">
        <v>1</v>
      </c>
      <c r="C65" s="116" t="s">
        <v>1108</v>
      </c>
      <c r="D65" s="97"/>
      <c r="E65" s="98"/>
      <c r="F65" s="99"/>
      <c r="G65" s="100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  <c r="BH65" s="55"/>
      <c r="BI65" s="55"/>
      <c r="BJ65" s="55"/>
      <c r="BK65" s="55"/>
      <c r="BL65" s="55"/>
      <c r="BM65" s="55"/>
      <c r="BN65" s="55"/>
      <c r="BO65" s="55"/>
      <c r="BP65" s="55"/>
      <c r="BQ65" s="55"/>
      <c r="BR65" s="55"/>
      <c r="BS65" s="55"/>
      <c r="BT65" s="55"/>
      <c r="BU65" s="55"/>
      <c r="BV65" s="55"/>
      <c r="BW65" s="55"/>
      <c r="BX65" s="55"/>
      <c r="BY65" s="55"/>
      <c r="BZ65" s="55"/>
      <c r="CA65" s="55"/>
      <c r="CB65" s="55"/>
      <c r="CC65" s="55"/>
      <c r="CD65" s="55"/>
      <c r="CE65" s="55"/>
      <c r="CF65" s="55"/>
      <c r="CG65" s="55"/>
      <c r="CH65" s="55"/>
      <c r="CI65" s="55"/>
      <c r="CJ65" s="55"/>
      <c r="CK65" s="55"/>
      <c r="CL65" s="55"/>
      <c r="CM65" s="55"/>
      <c r="CN65" s="55"/>
      <c r="CO65" s="55"/>
      <c r="CP65" s="55"/>
      <c r="CQ65" s="55"/>
      <c r="CR65" s="55"/>
      <c r="CS65" s="55"/>
      <c r="CT65" s="55"/>
      <c r="CU65" s="55"/>
      <c r="CV65" s="55"/>
      <c r="CW65" s="55"/>
      <c r="CX65" s="55"/>
      <c r="CY65" s="55"/>
      <c r="CZ65" s="55"/>
      <c r="DA65" s="55"/>
      <c r="DB65" s="55"/>
      <c r="DC65" s="55"/>
      <c r="DD65" s="55"/>
      <c r="DE65" s="55"/>
      <c r="DF65" s="55"/>
      <c r="DG65" s="55"/>
      <c r="DH65" s="55"/>
      <c r="DI65" s="55"/>
      <c r="DJ65" s="55"/>
      <c r="DK65" s="55"/>
      <c r="DL65" s="55"/>
      <c r="DM65" s="55"/>
      <c r="DN65" s="55"/>
      <c r="DO65" s="55"/>
      <c r="DP65" s="55"/>
      <c r="DQ65" s="55"/>
      <c r="DR65" s="55"/>
      <c r="DS65" s="55"/>
      <c r="DT65" s="55"/>
      <c r="DU65" s="55"/>
      <c r="DV65" s="55"/>
      <c r="DW65" s="55"/>
      <c r="DX65" s="55"/>
      <c r="DY65" s="55"/>
      <c r="DZ65" s="55"/>
      <c r="EA65" s="55"/>
      <c r="EB65" s="55"/>
      <c r="EC65" s="55"/>
      <c r="ED65" s="55"/>
      <c r="EE65" s="55"/>
      <c r="EF65" s="55"/>
      <c r="EG65" s="55"/>
      <c r="EH65" s="55"/>
      <c r="EI65" s="55"/>
      <c r="EJ65" s="55"/>
      <c r="EK65" s="55"/>
      <c r="EL65" s="55"/>
      <c r="EM65" s="55"/>
      <c r="EN65" s="55"/>
      <c r="EO65" s="55"/>
      <c r="EP65" s="55"/>
      <c r="EQ65" s="55"/>
      <c r="ER65" s="55"/>
      <c r="ES65" s="55"/>
      <c r="ET65" s="55"/>
      <c r="EU65" s="55"/>
      <c r="EV65" s="55"/>
      <c r="EW65" s="55"/>
      <c r="EX65" s="55"/>
      <c r="EY65" s="55"/>
      <c r="EZ65" s="55"/>
      <c r="FA65" s="55"/>
      <c r="FB65" s="55"/>
      <c r="FC65" s="55"/>
      <c r="FD65" s="55"/>
      <c r="FE65" s="55"/>
      <c r="FF65" s="55"/>
      <c r="FG65" s="55"/>
      <c r="FH65" s="55"/>
      <c r="FI65" s="55"/>
      <c r="FJ65" s="55"/>
      <c r="FK65" s="55"/>
      <c r="FL65" s="55"/>
      <c r="FM65" s="55"/>
      <c r="FN65" s="55"/>
      <c r="FO65" s="55"/>
      <c r="FP65" s="55"/>
      <c r="FQ65" s="55"/>
      <c r="FR65" s="55"/>
      <c r="FS65" s="55"/>
      <c r="FT65" s="55"/>
      <c r="FU65" s="55"/>
      <c r="FV65" s="55"/>
      <c r="FW65" s="55"/>
      <c r="FX65" s="55"/>
      <c r="FY65" s="55"/>
      <c r="FZ65" s="55"/>
      <c r="GA65" s="55"/>
      <c r="GB65" s="55"/>
      <c r="GC65" s="55"/>
      <c r="GD65" s="55"/>
      <c r="GE65" s="55"/>
      <c r="GF65" s="55"/>
      <c r="GG65" s="55"/>
      <c r="GH65" s="55"/>
      <c r="GI65" s="55"/>
      <c r="GJ65" s="55"/>
      <c r="GK65" s="55"/>
      <c r="GL65" s="54"/>
      <c r="GM65" s="55"/>
      <c r="GN65" s="55"/>
      <c r="GO65" s="55"/>
      <c r="GP65" s="55"/>
      <c r="GQ65" s="55"/>
      <c r="GR65" s="55"/>
      <c r="GS65" s="55"/>
      <c r="GT65" s="55"/>
      <c r="GU65" s="55"/>
      <c r="GV65" s="55"/>
      <c r="GW65" s="55"/>
      <c r="GX65" s="55"/>
      <c r="GY65" s="55"/>
      <c r="GZ65" s="55"/>
      <c r="HA65" s="55"/>
      <c r="HB65" s="55"/>
      <c r="HC65" s="55"/>
      <c r="HD65" s="55"/>
      <c r="HE65" s="55"/>
      <c r="HF65" s="55"/>
      <c r="HG65" s="55"/>
      <c r="HH65" s="55"/>
      <c r="HI65" s="55"/>
      <c r="HJ65" s="55"/>
      <c r="HK65" s="55"/>
      <c r="HL65" s="55"/>
      <c r="HM65" s="55"/>
      <c r="HN65" s="55"/>
      <c r="HO65" s="55"/>
      <c r="HP65" s="55"/>
      <c r="HQ65" s="55"/>
      <c r="HR65" s="55"/>
      <c r="HS65" s="55"/>
      <c r="HT65" s="55"/>
      <c r="HU65" s="55"/>
      <c r="HV65" s="55"/>
      <c r="HW65" s="55"/>
      <c r="HX65" s="55"/>
      <c r="HY65" s="55"/>
      <c r="HZ65" s="55"/>
      <c r="IA65" s="55"/>
      <c r="IB65" s="55"/>
      <c r="IC65" s="55"/>
      <c r="ID65" s="55"/>
      <c r="IE65" s="55"/>
      <c r="IF65" s="55"/>
      <c r="IG65" s="55"/>
      <c r="IH65" s="55"/>
      <c r="II65" s="55"/>
      <c r="IJ65" s="55"/>
      <c r="IK65" s="55"/>
      <c r="IL65" s="55"/>
      <c r="IM65" s="55"/>
      <c r="IN65" s="55"/>
      <c r="IO65" s="55"/>
      <c r="IP65" s="55"/>
      <c r="IQ65" s="55"/>
      <c r="IR65" s="55"/>
      <c r="IS65" s="55"/>
      <c r="IT65" s="55"/>
      <c r="IU65" s="55"/>
      <c r="IV65" s="55"/>
      <c r="IW65" s="55"/>
      <c r="IX65" s="55"/>
      <c r="IY65" s="55"/>
      <c r="IZ65" s="55"/>
      <c r="JA65" s="55"/>
      <c r="JB65" s="55"/>
      <c r="JC65" s="55"/>
      <c r="JD65" s="55"/>
      <c r="JE65" s="55"/>
      <c r="JF65" s="55"/>
      <c r="JG65" s="55"/>
      <c r="JH65" s="55"/>
      <c r="JI65" s="55"/>
      <c r="JJ65" s="55"/>
      <c r="JK65" s="55"/>
      <c r="JL65" s="55"/>
      <c r="JM65" s="55"/>
      <c r="JN65" s="55"/>
      <c r="JO65" s="55"/>
      <c r="JP65" s="55"/>
      <c r="JQ65" s="55"/>
      <c r="JR65" s="55"/>
      <c r="JS65" s="55"/>
      <c r="JT65" s="55"/>
      <c r="JU65" s="55"/>
      <c r="JV65" s="55"/>
      <c r="JW65" s="55"/>
      <c r="JX65" s="55"/>
      <c r="JY65" s="55"/>
      <c r="JZ65" s="55"/>
      <c r="KA65" s="55"/>
      <c r="KB65" s="55"/>
      <c r="KC65" s="55"/>
      <c r="KD65" s="55"/>
      <c r="KE65" s="55"/>
      <c r="KF65" s="55"/>
      <c r="KG65" s="55"/>
      <c r="KH65" s="55"/>
      <c r="KI65" s="55"/>
      <c r="KJ65" s="55"/>
      <c r="KK65" s="55"/>
      <c r="KL65" s="55"/>
      <c r="KM65" s="55"/>
      <c r="KN65" s="55"/>
      <c r="KO65" s="55"/>
      <c r="KP65" s="55"/>
      <c r="KQ65" s="55"/>
      <c r="KR65" s="55"/>
      <c r="KS65" s="55"/>
      <c r="KT65" s="55"/>
      <c r="KU65" s="55"/>
      <c r="KV65" s="55"/>
      <c r="KW65" s="55"/>
      <c r="KX65" s="55"/>
      <c r="KY65" s="55"/>
      <c r="KZ65" s="55"/>
      <c r="LA65" s="55"/>
      <c r="LB65" s="55"/>
      <c r="LC65" s="98"/>
      <c r="LD65" s="103"/>
      <c r="LE65" s="98"/>
      <c r="LF65" s="98"/>
      <c r="LG65" s="98"/>
      <c r="LH65" s="102"/>
      <c r="LI65" s="55"/>
      <c r="LJ65" s="55"/>
      <c r="LK65" s="55"/>
      <c r="LL65" s="55"/>
      <c r="LM65" s="55"/>
      <c r="LN65" s="55"/>
      <c r="LO65" s="55"/>
      <c r="LP65" s="55"/>
      <c r="LQ65" s="55" t="s">
        <v>879</v>
      </c>
      <c r="LR65" s="55" t="s">
        <v>876</v>
      </c>
      <c r="LS65" s="109" t="s">
        <v>968</v>
      </c>
      <c r="LT65" s="98"/>
      <c r="LU65" s="98"/>
      <c r="LV65" s="98"/>
      <c r="LW65" s="55"/>
      <c r="LX65" s="55"/>
      <c r="LY65" s="23">
        <v>42236.611655092594</v>
      </c>
      <c r="LZ65" s="23">
        <v>42236.615370370368</v>
      </c>
      <c r="MA65" s="55" t="s">
        <v>1137</v>
      </c>
      <c r="MB65" s="55" t="s">
        <v>1045</v>
      </c>
      <c r="MC65" s="55"/>
      <c r="MD65" s="55"/>
      <c r="ME65" s="101" t="s">
        <v>58</v>
      </c>
      <c r="MF65" s="107" t="s">
        <v>95</v>
      </c>
      <c r="MG65" s="102" t="s">
        <v>22</v>
      </c>
      <c r="MH65" s="109" t="s">
        <v>880</v>
      </c>
      <c r="MI65" s="109"/>
      <c r="MJ65" s="98" t="s">
        <v>78</v>
      </c>
      <c r="MK65" s="98" t="s">
        <v>59</v>
      </c>
      <c r="ML65" s="55" t="s">
        <v>88</v>
      </c>
      <c r="MM65" s="55" t="s">
        <v>880</v>
      </c>
      <c r="MN65" s="98" t="s">
        <v>1040</v>
      </c>
    </row>
    <row r="66" spans="2:352" ht="15" customHeight="1">
      <c r="B66" s="125">
        <v>1</v>
      </c>
      <c r="C66" s="126" t="s">
        <v>1109</v>
      </c>
      <c r="D66" s="127"/>
      <c r="E66" s="128"/>
      <c r="F66" s="129"/>
      <c r="G66" s="130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X66" s="55"/>
      <c r="AY66" s="55"/>
      <c r="AZ66" s="55"/>
      <c r="BA66" s="55"/>
      <c r="BB66" s="55"/>
      <c r="BC66" s="55"/>
      <c r="BD66" s="55"/>
      <c r="BE66" s="55"/>
      <c r="BF66" s="55"/>
      <c r="BG66" s="55"/>
      <c r="BH66" s="55"/>
      <c r="BI66" s="55"/>
      <c r="BJ66" s="55"/>
      <c r="BK66" s="55"/>
      <c r="BL66" s="55"/>
      <c r="BM66" s="55"/>
      <c r="BN66" s="55"/>
      <c r="BO66" s="55"/>
      <c r="BP66" s="55"/>
      <c r="BQ66" s="55"/>
      <c r="BR66" s="55"/>
      <c r="BS66" s="55"/>
      <c r="BT66" s="55"/>
      <c r="BU66" s="55"/>
      <c r="BV66" s="55"/>
      <c r="BW66" s="55"/>
      <c r="BX66" s="55"/>
      <c r="BY66" s="55"/>
      <c r="BZ66" s="55"/>
      <c r="CA66" s="55"/>
      <c r="CB66" s="55"/>
      <c r="CC66" s="55"/>
      <c r="CD66" s="55"/>
      <c r="CE66" s="55"/>
      <c r="CF66" s="55"/>
      <c r="CG66" s="55"/>
      <c r="CH66" s="55"/>
      <c r="CI66" s="55"/>
      <c r="CJ66" s="55"/>
      <c r="CK66" s="55"/>
      <c r="CL66" s="55"/>
      <c r="CM66" s="55"/>
      <c r="CN66" s="55"/>
      <c r="CO66" s="55"/>
      <c r="CP66" s="55"/>
      <c r="CQ66" s="55"/>
      <c r="CR66" s="55"/>
      <c r="CS66" s="55"/>
      <c r="CT66" s="55"/>
      <c r="CU66" s="55"/>
      <c r="CV66" s="55"/>
      <c r="CW66" s="55"/>
      <c r="CX66" s="55"/>
      <c r="CY66" s="55"/>
      <c r="CZ66" s="55"/>
      <c r="DA66" s="55"/>
      <c r="DB66" s="55"/>
      <c r="DC66" s="55"/>
      <c r="DD66" s="55"/>
      <c r="DE66" s="55"/>
      <c r="DF66" s="55"/>
      <c r="DG66" s="55"/>
      <c r="DH66" s="55"/>
      <c r="DI66" s="55"/>
      <c r="DJ66" s="55"/>
      <c r="DK66" s="55"/>
      <c r="DL66" s="55"/>
      <c r="DM66" s="55"/>
      <c r="DN66" s="55"/>
      <c r="DO66" s="55"/>
      <c r="DP66" s="55"/>
      <c r="DQ66" s="55"/>
      <c r="DR66" s="55"/>
      <c r="DS66" s="55"/>
      <c r="DT66" s="55"/>
      <c r="DU66" s="55"/>
      <c r="DV66" s="55"/>
      <c r="DW66" s="55"/>
      <c r="DX66" s="55"/>
      <c r="DY66" s="55"/>
      <c r="DZ66" s="55"/>
      <c r="EA66" s="55"/>
      <c r="EB66" s="55"/>
      <c r="EC66" s="55"/>
      <c r="ED66" s="55"/>
      <c r="EE66" s="55"/>
      <c r="EF66" s="55"/>
      <c r="EG66" s="55"/>
      <c r="EH66" s="55"/>
      <c r="EI66" s="55"/>
      <c r="EJ66" s="55"/>
      <c r="EK66" s="55"/>
      <c r="EL66" s="55"/>
      <c r="EM66" s="55"/>
      <c r="EN66" s="55"/>
      <c r="EO66" s="55"/>
      <c r="EP66" s="55"/>
      <c r="EQ66" s="55"/>
      <c r="ER66" s="55"/>
      <c r="ES66" s="55"/>
      <c r="ET66" s="55"/>
      <c r="EU66" s="55"/>
      <c r="EV66" s="55"/>
      <c r="EW66" s="55"/>
      <c r="EX66" s="55"/>
      <c r="EY66" s="55"/>
      <c r="EZ66" s="55"/>
      <c r="FA66" s="55"/>
      <c r="FB66" s="55"/>
      <c r="FC66" s="55"/>
      <c r="FD66" s="55"/>
      <c r="FE66" s="55"/>
      <c r="FF66" s="55"/>
      <c r="FG66" s="55"/>
      <c r="FH66" s="55"/>
      <c r="FI66" s="55"/>
      <c r="FJ66" s="55"/>
      <c r="FK66" s="55"/>
      <c r="FL66" s="55"/>
      <c r="FM66" s="55"/>
      <c r="FN66" s="55"/>
      <c r="FO66" s="55"/>
      <c r="FP66" s="55"/>
      <c r="FQ66" s="55"/>
      <c r="FR66" s="55"/>
      <c r="FS66" s="55"/>
      <c r="FT66" s="55"/>
      <c r="FU66" s="55"/>
      <c r="FV66" s="55"/>
      <c r="FW66" s="55"/>
      <c r="FX66" s="55"/>
      <c r="FY66" s="55"/>
      <c r="FZ66" s="55"/>
      <c r="GA66" s="55"/>
      <c r="GB66" s="55"/>
      <c r="GC66" s="55"/>
      <c r="GD66" s="55"/>
      <c r="GE66" s="55"/>
      <c r="GF66" s="55"/>
      <c r="GG66" s="55"/>
      <c r="GH66" s="55"/>
      <c r="GI66" s="55"/>
      <c r="GJ66" s="55"/>
      <c r="GK66" s="55"/>
      <c r="GL66" s="54"/>
      <c r="GM66" s="55"/>
      <c r="GN66" s="55"/>
      <c r="GO66" s="55"/>
      <c r="GP66" s="55"/>
      <c r="GQ66" s="55"/>
      <c r="GR66" s="55"/>
      <c r="GS66" s="55"/>
      <c r="GT66" s="55"/>
      <c r="GU66" s="55"/>
      <c r="GV66" s="55"/>
      <c r="GW66" s="55"/>
      <c r="GX66" s="55"/>
      <c r="GY66" s="55"/>
      <c r="GZ66" s="55"/>
      <c r="HA66" s="55"/>
      <c r="HB66" s="55"/>
      <c r="HC66" s="55"/>
      <c r="HD66" s="55"/>
      <c r="HE66" s="55"/>
      <c r="HF66" s="55"/>
      <c r="HG66" s="55"/>
      <c r="HH66" s="55"/>
      <c r="HI66" s="55"/>
      <c r="HJ66" s="55"/>
      <c r="HK66" s="55"/>
      <c r="HL66" s="55"/>
      <c r="HM66" s="55"/>
      <c r="HN66" s="55"/>
      <c r="HO66" s="55"/>
      <c r="HP66" s="55"/>
      <c r="HQ66" s="55"/>
      <c r="HR66" s="55"/>
      <c r="HS66" s="55"/>
      <c r="HT66" s="55"/>
      <c r="HU66" s="55"/>
      <c r="HV66" s="55"/>
      <c r="HW66" s="55"/>
      <c r="HX66" s="55"/>
      <c r="HY66" s="55"/>
      <c r="HZ66" s="55"/>
      <c r="IA66" s="55"/>
      <c r="IB66" s="55"/>
      <c r="IC66" s="55"/>
      <c r="ID66" s="55"/>
      <c r="IE66" s="55"/>
      <c r="IF66" s="55"/>
      <c r="IG66" s="55"/>
      <c r="IH66" s="55"/>
      <c r="II66" s="55"/>
      <c r="IJ66" s="55"/>
      <c r="IK66" s="55"/>
      <c r="IL66" s="55"/>
      <c r="IM66" s="55"/>
      <c r="IN66" s="55"/>
      <c r="IO66" s="55"/>
      <c r="IP66" s="55"/>
      <c r="IQ66" s="55"/>
      <c r="IR66" s="55"/>
      <c r="IS66" s="55"/>
      <c r="IT66" s="55"/>
      <c r="IU66" s="55"/>
      <c r="IV66" s="55"/>
      <c r="IW66" s="55"/>
      <c r="IX66" s="55"/>
      <c r="IY66" s="55"/>
      <c r="IZ66" s="55"/>
      <c r="JA66" s="55"/>
      <c r="JB66" s="55"/>
      <c r="JC66" s="55"/>
      <c r="JD66" s="55"/>
      <c r="JE66" s="55"/>
      <c r="JF66" s="55"/>
      <c r="JG66" s="55"/>
      <c r="JH66" s="55"/>
      <c r="JI66" s="55"/>
      <c r="JJ66" s="55"/>
      <c r="JK66" s="55"/>
      <c r="JL66" s="55"/>
      <c r="JM66" s="55"/>
      <c r="JN66" s="55"/>
      <c r="JO66" s="55"/>
      <c r="JP66" s="55"/>
      <c r="JQ66" s="55"/>
      <c r="JR66" s="55"/>
      <c r="JS66" s="55"/>
      <c r="JT66" s="55"/>
      <c r="JU66" s="55"/>
      <c r="JV66" s="55"/>
      <c r="JW66" s="55"/>
      <c r="JX66" s="55"/>
      <c r="JY66" s="55"/>
      <c r="JZ66" s="55"/>
      <c r="KA66" s="55"/>
      <c r="KB66" s="55"/>
      <c r="KC66" s="55"/>
      <c r="KD66" s="55"/>
      <c r="KE66" s="55"/>
      <c r="KF66" s="55"/>
      <c r="KG66" s="55"/>
      <c r="KH66" s="55"/>
      <c r="KI66" s="55"/>
      <c r="KJ66" s="55"/>
      <c r="KK66" s="55"/>
      <c r="KL66" s="55"/>
      <c r="KM66" s="55"/>
      <c r="KN66" s="55"/>
      <c r="KO66" s="55"/>
      <c r="KP66" s="55"/>
      <c r="KQ66" s="55"/>
      <c r="KR66" s="55"/>
      <c r="KS66" s="55"/>
      <c r="KT66" s="55"/>
      <c r="KU66" s="55"/>
      <c r="KV66" s="55"/>
      <c r="KW66" s="55"/>
      <c r="KX66" s="55"/>
      <c r="KY66" s="55"/>
      <c r="KZ66" s="55"/>
      <c r="LA66" s="55"/>
      <c r="LB66" s="55"/>
      <c r="LC66" s="128"/>
      <c r="LD66" s="131"/>
      <c r="LE66" s="128"/>
      <c r="LF66" s="128"/>
      <c r="LG66" s="128"/>
      <c r="LH66" s="132"/>
      <c r="LI66" s="55"/>
      <c r="LJ66" s="55"/>
      <c r="LK66" s="55"/>
      <c r="LL66" s="55"/>
      <c r="LM66" s="55"/>
      <c r="LN66" s="55"/>
      <c r="LO66" s="55"/>
      <c r="LP66" s="55"/>
      <c r="LQ66" s="55" t="s">
        <v>879</v>
      </c>
      <c r="LR66" s="55" t="s">
        <v>876</v>
      </c>
      <c r="LS66" s="133" t="s">
        <v>968</v>
      </c>
      <c r="LT66" s="128"/>
      <c r="LU66" s="128"/>
      <c r="LV66" s="128"/>
      <c r="LW66" s="55"/>
      <c r="LX66" s="55"/>
      <c r="LY66" s="23">
        <v>42114.912442129629</v>
      </c>
      <c r="LZ66" s="23">
        <v>42114.933483796296</v>
      </c>
      <c r="MA66" s="55" t="s">
        <v>985</v>
      </c>
      <c r="MB66" s="55" t="s">
        <v>1064</v>
      </c>
      <c r="MC66" s="55"/>
      <c r="MD66" s="55"/>
      <c r="ME66" s="134" t="s">
        <v>58</v>
      </c>
      <c r="MF66" s="107" t="s">
        <v>95</v>
      </c>
      <c r="MG66" s="132" t="s">
        <v>22</v>
      </c>
      <c r="MH66" s="109" t="s">
        <v>984</v>
      </c>
      <c r="MI66" s="109"/>
      <c r="MJ66" s="128" t="s">
        <v>78</v>
      </c>
      <c r="MK66" s="128" t="s">
        <v>59</v>
      </c>
      <c r="ML66" s="55" t="s">
        <v>88</v>
      </c>
      <c r="MM66" s="55" t="s">
        <v>984</v>
      </c>
    </row>
    <row r="67" spans="2:352" ht="13.5" customHeight="1">
      <c r="B67" s="117">
        <v>1</v>
      </c>
      <c r="C67" s="89" t="s">
        <v>1149</v>
      </c>
      <c r="D67" s="109" t="s">
        <v>1195</v>
      </c>
      <c r="E67" s="109" t="s">
        <v>767</v>
      </c>
      <c r="F67" s="118" t="str">
        <f>HYPERLINK("C:\SVN\SALT RunTime\Projects\SALT\Snapshots\Pre_Req_Admin_Widget_List_UK_IN-MU-DT-J27064\2015915\134711\Iterator_1\Pre_Req_Admin_Widget_List_UK1.xlsx","Snapshot")</f>
        <v>Snapshot</v>
      </c>
      <c r="G67" s="118" t="str">
        <f>HYPERLINK("C:\SVN\SALT RunTime\Projects\SALT\Snapshots\Pre_Req_Admin_Widget_List_UK_IN-MU-DT-J27064\2015915\134711\Iterator_1\Merge.html","Result")</f>
        <v>Result</v>
      </c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35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09"/>
      <c r="BO67" s="109"/>
      <c r="BP67" s="109"/>
      <c r="BQ67" s="109"/>
      <c r="BR67" s="109"/>
      <c r="BS67" s="109"/>
      <c r="BT67" s="109"/>
      <c r="BU67" s="109"/>
      <c r="BV67" s="109"/>
      <c r="BW67" s="109"/>
      <c r="BX67" s="109"/>
      <c r="BY67" s="109"/>
      <c r="BZ67" s="109"/>
      <c r="CA67" s="109"/>
      <c r="CB67" s="109"/>
      <c r="CC67" s="109"/>
      <c r="CD67" s="109"/>
      <c r="CE67" s="109"/>
      <c r="CF67" s="109"/>
      <c r="CG67" s="109"/>
      <c r="CH67" s="109"/>
      <c r="CI67" s="109"/>
      <c r="CJ67" s="109"/>
      <c r="CK67" s="109"/>
      <c r="CL67" s="109"/>
      <c r="CM67" s="109"/>
      <c r="CN67" s="109"/>
      <c r="CO67" s="109"/>
      <c r="CP67" s="109"/>
      <c r="CQ67" s="109"/>
      <c r="CR67" s="109"/>
      <c r="CS67" s="109"/>
      <c r="CT67" s="109"/>
      <c r="CU67" s="109"/>
      <c r="CV67" s="109"/>
      <c r="CW67" s="109"/>
      <c r="CX67" s="109"/>
      <c r="CY67" s="109"/>
      <c r="CZ67" s="109"/>
      <c r="DA67" s="109"/>
      <c r="DB67" s="109"/>
      <c r="DC67" s="109"/>
      <c r="DD67" s="109"/>
      <c r="DE67" s="109"/>
      <c r="DF67" s="109"/>
      <c r="DG67" s="109"/>
      <c r="DH67" s="109"/>
      <c r="DI67" s="109"/>
      <c r="DJ67" s="109"/>
      <c r="DK67" s="109"/>
      <c r="DL67" s="109"/>
      <c r="DM67" s="109"/>
      <c r="DN67" s="109"/>
      <c r="DO67" s="109"/>
      <c r="DP67" s="109"/>
      <c r="DQ67" s="109"/>
      <c r="DR67" s="109"/>
      <c r="DS67" s="109"/>
      <c r="DT67" s="109"/>
      <c r="DU67" s="109"/>
      <c r="DV67" s="109"/>
      <c r="DW67" s="109"/>
      <c r="DX67" s="109"/>
      <c r="DY67" s="109"/>
      <c r="DZ67" s="109"/>
      <c r="EA67" s="109"/>
      <c r="EB67" s="109"/>
      <c r="EC67" s="109"/>
      <c r="ED67" s="109"/>
      <c r="EE67" s="109"/>
      <c r="EF67" s="109"/>
      <c r="EG67" s="109"/>
      <c r="EH67" s="109"/>
      <c r="EI67" s="109"/>
      <c r="EJ67" s="109"/>
      <c r="EK67" s="109"/>
      <c r="EL67" s="109"/>
      <c r="EM67" s="109"/>
      <c r="EN67" s="109"/>
      <c r="EO67" s="109"/>
      <c r="EP67" s="109"/>
      <c r="EQ67" s="109"/>
      <c r="ER67" s="109"/>
      <c r="ES67" s="109"/>
      <c r="ET67" s="109"/>
      <c r="EU67" s="109"/>
      <c r="EV67" s="109"/>
      <c r="EW67" s="109"/>
      <c r="EX67" s="109"/>
      <c r="EY67" s="109"/>
      <c r="EZ67" s="109"/>
      <c r="FA67" s="109"/>
      <c r="FB67" s="109"/>
      <c r="FC67" s="109"/>
      <c r="FD67" s="109"/>
      <c r="FE67" s="109"/>
      <c r="FF67" s="109"/>
      <c r="FG67" s="109"/>
      <c r="FH67" s="109"/>
      <c r="FI67" s="109"/>
      <c r="FJ67" s="109"/>
      <c r="FK67" s="109"/>
      <c r="FL67" s="109"/>
      <c r="FM67" s="109"/>
      <c r="FN67" s="109"/>
      <c r="FO67" s="109"/>
      <c r="FP67" s="109"/>
      <c r="FQ67" s="109"/>
      <c r="FR67" s="109"/>
      <c r="FS67" s="109"/>
      <c r="FT67" s="109"/>
      <c r="FU67" s="109"/>
      <c r="FV67" s="109"/>
      <c r="FW67" s="109"/>
      <c r="FX67" s="109"/>
      <c r="FY67" s="109"/>
      <c r="FZ67" s="109"/>
      <c r="GA67" s="109"/>
      <c r="GB67" s="109"/>
      <c r="GC67" s="109"/>
      <c r="GD67" s="109"/>
      <c r="GE67" s="109"/>
      <c r="GF67" s="109"/>
      <c r="GG67" s="109"/>
      <c r="GH67" s="109"/>
      <c r="GI67" s="109"/>
      <c r="GJ67" s="109"/>
      <c r="GK67" s="109"/>
      <c r="GL67" s="1"/>
      <c r="GM67" s="109"/>
      <c r="GN67" s="109"/>
      <c r="GO67" s="109"/>
      <c r="GP67" s="109"/>
      <c r="GQ67" s="109"/>
      <c r="GR67" s="109"/>
      <c r="GS67" s="109"/>
      <c r="GT67" s="109"/>
      <c r="GU67" s="109"/>
      <c r="GV67" s="109"/>
      <c r="GW67" s="109"/>
      <c r="GX67" s="109"/>
      <c r="GY67" s="109"/>
      <c r="GZ67" s="109"/>
      <c r="HA67" s="109"/>
      <c r="HB67" s="109"/>
      <c r="HC67" s="109"/>
      <c r="HD67" s="109"/>
      <c r="HE67" s="109"/>
      <c r="HF67" s="109"/>
      <c r="HG67" s="109"/>
      <c r="HH67" s="109"/>
      <c r="HI67" s="109"/>
      <c r="HJ67" s="109"/>
      <c r="HK67" s="109"/>
      <c r="HL67" s="109"/>
      <c r="HM67" s="109"/>
      <c r="HN67" s="109"/>
      <c r="HO67" s="109"/>
      <c r="HP67" s="109"/>
      <c r="HQ67" s="109"/>
      <c r="HR67" s="109"/>
      <c r="HS67" s="109"/>
      <c r="HT67" s="109"/>
      <c r="HU67" s="109"/>
      <c r="HV67" s="109"/>
      <c r="HW67" s="109"/>
      <c r="HX67" s="109"/>
      <c r="HY67" s="109"/>
      <c r="HZ67" s="109"/>
      <c r="IA67" s="109"/>
      <c r="IB67" s="109"/>
      <c r="IC67" s="109"/>
      <c r="ID67" s="109"/>
      <c r="IE67" s="109"/>
      <c r="IF67" s="109"/>
      <c r="IG67" s="109"/>
      <c r="IH67" s="109"/>
      <c r="II67" s="109"/>
      <c r="IJ67" s="109"/>
      <c r="IK67" s="109"/>
      <c r="IL67" s="109"/>
      <c r="IM67" s="109"/>
      <c r="IN67" s="109"/>
      <c r="IO67" s="109"/>
      <c r="IP67" s="109"/>
      <c r="IQ67" s="109"/>
      <c r="IR67" s="109"/>
      <c r="IS67" s="109"/>
      <c r="IT67" s="109"/>
      <c r="IU67" s="109"/>
      <c r="IV67" s="109"/>
      <c r="IW67" s="109"/>
      <c r="IX67" s="109"/>
      <c r="IY67" s="109"/>
      <c r="IZ67" s="109"/>
      <c r="JA67" s="109"/>
      <c r="JB67" s="109"/>
      <c r="JC67" s="109"/>
      <c r="JD67" s="109"/>
      <c r="JE67" s="109"/>
      <c r="JF67" s="109"/>
      <c r="JG67" s="109"/>
      <c r="JH67" s="109"/>
      <c r="JI67" s="109"/>
      <c r="JJ67" s="109"/>
      <c r="JK67" s="109"/>
      <c r="JL67" s="109"/>
      <c r="JM67" s="109"/>
      <c r="JN67" s="109"/>
      <c r="JO67" s="109"/>
      <c r="JP67" s="109"/>
      <c r="JQ67" s="109"/>
      <c r="JR67" s="109"/>
      <c r="JS67" s="109"/>
      <c r="JT67" s="109"/>
      <c r="JU67" s="109"/>
      <c r="JV67" s="109"/>
      <c r="JW67" s="109"/>
      <c r="JX67" s="109"/>
      <c r="JY67" s="109"/>
      <c r="JZ67" s="109"/>
      <c r="KA67" s="109"/>
      <c r="KB67" s="109"/>
      <c r="KC67" s="109"/>
      <c r="KD67" s="109"/>
      <c r="KE67" s="109"/>
      <c r="KF67" s="109"/>
      <c r="KG67" s="109"/>
      <c r="KH67" s="109"/>
      <c r="KI67" s="109"/>
      <c r="KJ67" s="109"/>
      <c r="KK67" s="109"/>
      <c r="KL67" s="109"/>
      <c r="KM67" s="109"/>
      <c r="KN67" s="109"/>
      <c r="KO67" s="109"/>
      <c r="KP67" s="109"/>
      <c r="KQ67" s="109"/>
      <c r="KR67" s="109"/>
      <c r="KS67" s="109"/>
      <c r="KT67" s="109"/>
      <c r="KU67" s="109"/>
      <c r="KV67" s="109"/>
      <c r="KW67" s="109"/>
      <c r="KX67" s="109"/>
      <c r="KY67" s="109"/>
      <c r="KZ67" s="109"/>
      <c r="LA67" s="109"/>
      <c r="LB67" s="109"/>
      <c r="LC67" s="109"/>
      <c r="LD67" s="109"/>
      <c r="LE67" s="109"/>
      <c r="LF67" s="109"/>
      <c r="LG67" s="109"/>
      <c r="LH67" s="109"/>
      <c r="LI67" s="109"/>
      <c r="LJ67" s="109"/>
      <c r="LK67" s="109"/>
      <c r="LL67" s="109"/>
      <c r="LM67" s="109"/>
      <c r="LN67" s="109"/>
      <c r="LO67" s="109"/>
      <c r="LP67" s="109"/>
      <c r="LQ67" s="109"/>
      <c r="LR67" s="109"/>
      <c r="LS67" s="109"/>
      <c r="LT67" s="109"/>
      <c r="LU67" s="109"/>
      <c r="LV67" s="109"/>
      <c r="LW67" s="109"/>
      <c r="LX67" s="109"/>
      <c r="LY67" s="139">
        <v>42262.574432870373</v>
      </c>
      <c r="LZ67" s="139">
        <v>42262.586273148147</v>
      </c>
      <c r="MA67" s="109" t="s">
        <v>1194</v>
      </c>
      <c r="MB67" s="109"/>
      <c r="MC67" s="109"/>
      <c r="MD67" s="109"/>
      <c r="ME67" s="107" t="s">
        <v>58</v>
      </c>
      <c r="MF67" s="107" t="s">
        <v>95</v>
      </c>
      <c r="MG67" s="107" t="s">
        <v>22</v>
      </c>
      <c r="MH67" s="109" t="s">
        <v>877</v>
      </c>
      <c r="MI67" s="140" t="s">
        <v>1155</v>
      </c>
      <c r="MJ67" s="109"/>
      <c r="MK67" s="109"/>
      <c r="ML67" s="109"/>
      <c r="MM67" s="109"/>
      <c r="MN67" s="109"/>
    </row>
    <row r="68" spans="2:352" ht="14.25" customHeight="1">
      <c r="B68" s="117">
        <v>1</v>
      </c>
      <c r="C68" s="89" t="s">
        <v>1150</v>
      </c>
      <c r="D68" s="119" t="s">
        <v>1195</v>
      </c>
      <c r="E68" s="109" t="s">
        <v>767</v>
      </c>
      <c r="F68" s="136" t="str">
        <f>HYPERLINK("C:\SVN\SALT RunTime\Projects\SALT\Snapshots\Pre_Req_Admin_Widget_List_AUS_IN-MU-DT-J27064\2015915\14417\Iterator_1\Pre_Req_Admin_Widget_List_AUS1.xlsx","Snapshot")</f>
        <v>Snapshot</v>
      </c>
      <c r="G68" s="118" t="str">
        <f>HYPERLINK("C:\SVN\SALT RunTime\Projects\SALT\Snapshots\Pre_Req_Admin_Widget_List_AUS_IN-MU-DT-J27064\2015915\14417\Iterator_1\Merge.html","Result")</f>
        <v>Result</v>
      </c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35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  <c r="BO68" s="109"/>
      <c r="BP68" s="109"/>
      <c r="BQ68" s="109"/>
      <c r="BR68" s="109"/>
      <c r="BS68" s="109"/>
      <c r="BT68" s="109"/>
      <c r="BU68" s="109"/>
      <c r="BV68" s="109"/>
      <c r="BW68" s="109"/>
      <c r="BX68" s="109"/>
      <c r="BY68" s="109"/>
      <c r="BZ68" s="109"/>
      <c r="CA68" s="109"/>
      <c r="CB68" s="109"/>
      <c r="CC68" s="109"/>
      <c r="CD68" s="109"/>
      <c r="CE68" s="109"/>
      <c r="CF68" s="109"/>
      <c r="CG68" s="109"/>
      <c r="CH68" s="109"/>
      <c r="CI68" s="109"/>
      <c r="CJ68" s="109"/>
      <c r="CK68" s="109"/>
      <c r="CL68" s="109"/>
      <c r="CM68" s="109"/>
      <c r="CN68" s="109"/>
      <c r="CO68" s="109"/>
      <c r="CP68" s="109"/>
      <c r="CQ68" s="109"/>
      <c r="CR68" s="109"/>
      <c r="CS68" s="109"/>
      <c r="CT68" s="109"/>
      <c r="CU68" s="109"/>
      <c r="CV68" s="109"/>
      <c r="CW68" s="109"/>
      <c r="CX68" s="109"/>
      <c r="CY68" s="109"/>
      <c r="CZ68" s="109"/>
      <c r="DA68" s="109"/>
      <c r="DB68" s="109"/>
      <c r="DC68" s="109"/>
      <c r="DD68" s="109"/>
      <c r="DE68" s="109"/>
      <c r="DF68" s="109"/>
      <c r="DG68" s="109"/>
      <c r="DH68" s="109"/>
      <c r="DI68" s="109"/>
      <c r="DJ68" s="109"/>
      <c r="DK68" s="109"/>
      <c r="DL68" s="109"/>
      <c r="DM68" s="109"/>
      <c r="DN68" s="109"/>
      <c r="DO68" s="109"/>
      <c r="DP68" s="109"/>
      <c r="DQ68" s="109"/>
      <c r="DR68" s="109"/>
      <c r="DS68" s="109"/>
      <c r="DT68" s="109"/>
      <c r="DU68" s="109"/>
      <c r="DV68" s="109"/>
      <c r="DW68" s="109"/>
      <c r="DX68" s="109"/>
      <c r="DY68" s="109"/>
      <c r="DZ68" s="109"/>
      <c r="EA68" s="109"/>
      <c r="EB68" s="109"/>
      <c r="EC68" s="109"/>
      <c r="ED68" s="109"/>
      <c r="EE68" s="109"/>
      <c r="EF68" s="109"/>
      <c r="EG68" s="109"/>
      <c r="EH68" s="109"/>
      <c r="EI68" s="109"/>
      <c r="EJ68" s="109"/>
      <c r="EK68" s="109"/>
      <c r="EL68" s="109"/>
      <c r="EM68" s="109"/>
      <c r="EN68" s="109"/>
      <c r="EO68" s="109"/>
      <c r="EP68" s="109"/>
      <c r="EQ68" s="109"/>
      <c r="ER68" s="109"/>
      <c r="ES68" s="109"/>
      <c r="ET68" s="109"/>
      <c r="EU68" s="109"/>
      <c r="EV68" s="109"/>
      <c r="EW68" s="109"/>
      <c r="EX68" s="109"/>
      <c r="EY68" s="109"/>
      <c r="EZ68" s="109"/>
      <c r="FA68" s="109"/>
      <c r="FB68" s="109"/>
      <c r="FC68" s="109"/>
      <c r="FD68" s="109"/>
      <c r="FE68" s="109"/>
      <c r="FF68" s="109"/>
      <c r="FG68" s="109"/>
      <c r="FH68" s="109"/>
      <c r="FI68" s="109"/>
      <c r="FJ68" s="109"/>
      <c r="FK68" s="109"/>
      <c r="FL68" s="109"/>
      <c r="FM68" s="109"/>
      <c r="FN68" s="109"/>
      <c r="FO68" s="109"/>
      <c r="FP68" s="109"/>
      <c r="FQ68" s="109"/>
      <c r="FR68" s="109"/>
      <c r="FS68" s="109"/>
      <c r="FT68" s="109"/>
      <c r="FU68" s="109"/>
      <c r="FV68" s="109"/>
      <c r="FW68" s="109"/>
      <c r="FX68" s="109"/>
      <c r="FY68" s="109"/>
      <c r="FZ68" s="109"/>
      <c r="GA68" s="109"/>
      <c r="GB68" s="109"/>
      <c r="GC68" s="109"/>
      <c r="GD68" s="109"/>
      <c r="GE68" s="109"/>
      <c r="GF68" s="109"/>
      <c r="GG68" s="109"/>
      <c r="GH68" s="109"/>
      <c r="GI68" s="109"/>
      <c r="GJ68" s="109"/>
      <c r="GK68" s="109"/>
      <c r="GL68" s="1"/>
      <c r="GM68" s="109"/>
      <c r="GN68" s="109"/>
      <c r="GO68" s="109"/>
      <c r="GP68" s="109"/>
      <c r="GQ68" s="109"/>
      <c r="GR68" s="109"/>
      <c r="GS68" s="109"/>
      <c r="GT68" s="109"/>
      <c r="GU68" s="109"/>
      <c r="GV68" s="109"/>
      <c r="GW68" s="109"/>
      <c r="GX68" s="109"/>
      <c r="GY68" s="109"/>
      <c r="GZ68" s="109"/>
      <c r="HA68" s="109"/>
      <c r="HB68" s="109"/>
      <c r="HC68" s="109"/>
      <c r="HD68" s="109"/>
      <c r="HE68" s="109"/>
      <c r="HF68" s="109"/>
      <c r="HG68" s="109"/>
      <c r="HH68" s="109"/>
      <c r="HI68" s="109"/>
      <c r="HJ68" s="109"/>
      <c r="HK68" s="109"/>
      <c r="HL68" s="109"/>
      <c r="HM68" s="109"/>
      <c r="HN68" s="109"/>
      <c r="HO68" s="109"/>
      <c r="HP68" s="109"/>
      <c r="HQ68" s="109"/>
      <c r="HR68" s="109"/>
      <c r="HS68" s="109"/>
      <c r="HT68" s="109"/>
      <c r="HU68" s="109"/>
      <c r="HV68" s="109"/>
      <c r="HW68" s="109"/>
      <c r="HX68" s="109"/>
      <c r="HY68" s="109"/>
      <c r="HZ68" s="109"/>
      <c r="IA68" s="109"/>
      <c r="IB68" s="109"/>
      <c r="IC68" s="109"/>
      <c r="ID68" s="109"/>
      <c r="IE68" s="109"/>
      <c r="IF68" s="109"/>
      <c r="IG68" s="109"/>
      <c r="IH68" s="109"/>
      <c r="II68" s="109"/>
      <c r="IJ68" s="109"/>
      <c r="IK68" s="109"/>
      <c r="IL68" s="109"/>
      <c r="IM68" s="109"/>
      <c r="IN68" s="109"/>
      <c r="IO68" s="109"/>
      <c r="IP68" s="109"/>
      <c r="IQ68" s="109"/>
      <c r="IR68" s="109"/>
      <c r="IS68" s="109"/>
      <c r="IT68" s="109"/>
      <c r="IU68" s="109"/>
      <c r="IV68" s="109"/>
      <c r="IW68" s="109"/>
      <c r="IX68" s="109"/>
      <c r="IY68" s="109"/>
      <c r="IZ68" s="109"/>
      <c r="JA68" s="109"/>
      <c r="JB68" s="109"/>
      <c r="JC68" s="109"/>
      <c r="JD68" s="109"/>
      <c r="JE68" s="109"/>
      <c r="JF68" s="109"/>
      <c r="JG68" s="109"/>
      <c r="JH68" s="109"/>
      <c r="JI68" s="109"/>
      <c r="JJ68" s="109"/>
      <c r="JK68" s="109"/>
      <c r="JL68" s="109"/>
      <c r="JM68" s="109"/>
      <c r="JN68" s="109"/>
      <c r="JO68" s="109"/>
      <c r="JP68" s="109"/>
      <c r="JQ68" s="109"/>
      <c r="JR68" s="109"/>
      <c r="JS68" s="109"/>
      <c r="JT68" s="109"/>
      <c r="JU68" s="109"/>
      <c r="JV68" s="109"/>
      <c r="JW68" s="109"/>
      <c r="JX68" s="109"/>
      <c r="JY68" s="109"/>
      <c r="JZ68" s="109"/>
      <c r="KA68" s="109"/>
      <c r="KB68" s="109"/>
      <c r="KC68" s="109"/>
      <c r="KD68" s="109"/>
      <c r="KE68" s="109"/>
      <c r="KF68" s="109"/>
      <c r="KG68" s="109"/>
      <c r="KH68" s="109"/>
      <c r="KI68" s="109"/>
      <c r="KJ68" s="109"/>
      <c r="KK68" s="109"/>
      <c r="KL68" s="109"/>
      <c r="KM68" s="109"/>
      <c r="KN68" s="109"/>
      <c r="KO68" s="109"/>
      <c r="KP68" s="109"/>
      <c r="KQ68" s="109"/>
      <c r="KR68" s="109"/>
      <c r="KS68" s="109"/>
      <c r="KT68" s="109"/>
      <c r="KU68" s="109"/>
      <c r="KV68" s="109"/>
      <c r="KW68" s="109"/>
      <c r="KX68" s="109"/>
      <c r="KY68" s="109"/>
      <c r="KZ68" s="109"/>
      <c r="LA68" s="109"/>
      <c r="LB68" s="109"/>
      <c r="LC68" s="109"/>
      <c r="LD68" s="137"/>
      <c r="LE68" s="109"/>
      <c r="LF68" s="109"/>
      <c r="LG68" s="109"/>
      <c r="LH68" s="138"/>
      <c r="LI68" s="109"/>
      <c r="LJ68" s="109"/>
      <c r="LK68" s="109"/>
      <c r="LL68" s="109"/>
      <c r="LM68" s="109"/>
      <c r="LN68" s="109"/>
      <c r="LO68" s="109"/>
      <c r="LP68" s="109"/>
      <c r="LQ68" s="109"/>
      <c r="LR68" s="109"/>
      <c r="LS68" s="109"/>
      <c r="LT68" s="109"/>
      <c r="LU68" s="109"/>
      <c r="LV68" s="109"/>
      <c r="LW68" s="109"/>
      <c r="LX68" s="109"/>
      <c r="LY68" s="139">
        <v>42262.58630787037</v>
      </c>
      <c r="LZ68" s="139">
        <v>42262.59710648148</v>
      </c>
      <c r="MA68" s="109" t="s">
        <v>1196</v>
      </c>
      <c r="MB68" s="109"/>
      <c r="MC68" s="109"/>
      <c r="MD68" s="109"/>
      <c r="ME68" s="107" t="s">
        <v>58</v>
      </c>
      <c r="MF68" s="107" t="s">
        <v>95</v>
      </c>
      <c r="MG68" s="107" t="s">
        <v>22</v>
      </c>
      <c r="MH68" s="109" t="s">
        <v>432</v>
      </c>
      <c r="MI68" s="140" t="s">
        <v>1156</v>
      </c>
      <c r="MJ68" s="109"/>
      <c r="MK68" s="109"/>
      <c r="ML68" s="109" t="s">
        <v>88</v>
      </c>
      <c r="MM68" s="109"/>
      <c r="MN68" s="109"/>
    </row>
    <row r="69" spans="2:352" ht="14.25" customHeight="1">
      <c r="B69" s="117">
        <v>1</v>
      </c>
      <c r="C69" s="89" t="s">
        <v>1151</v>
      </c>
      <c r="D69" s="119" t="s">
        <v>1195</v>
      </c>
      <c r="E69" s="109" t="s">
        <v>767</v>
      </c>
      <c r="F69" s="136" t="str">
        <f>HYPERLINK("C:\SVN\SALT RunTime\Projects\SALT\Snapshots\Pre_Req_Admin_Widget_List_NZD_IN-MU-DT-J27064\2015915\141951\Iterator_1\Pre_Req_Admin_Widget_List_NZD1.xlsx","Snapshot")</f>
        <v>Snapshot</v>
      </c>
      <c r="G69" s="118" t="str">
        <f>HYPERLINK("C:\SVN\SALT RunTime\Projects\SALT\Snapshots\Pre_Req_Admin_Widget_List_NZD_IN-MU-DT-J27064\2015915\141951\Iterator_1\Merge.html","Result")</f>
        <v>Result</v>
      </c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35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09"/>
      <c r="BO69" s="109"/>
      <c r="BP69" s="109"/>
      <c r="BQ69" s="109"/>
      <c r="BR69" s="109"/>
      <c r="BS69" s="109"/>
      <c r="BT69" s="109"/>
      <c r="BU69" s="109"/>
      <c r="BV69" s="109"/>
      <c r="BW69" s="109"/>
      <c r="BX69" s="109"/>
      <c r="BY69" s="109"/>
      <c r="BZ69" s="109"/>
      <c r="CA69" s="109"/>
      <c r="CB69" s="109"/>
      <c r="CC69" s="109"/>
      <c r="CD69" s="109"/>
      <c r="CE69" s="109"/>
      <c r="CF69" s="109"/>
      <c r="CG69" s="109"/>
      <c r="CH69" s="109"/>
      <c r="CI69" s="109"/>
      <c r="CJ69" s="109"/>
      <c r="CK69" s="109"/>
      <c r="CL69" s="109"/>
      <c r="CM69" s="109"/>
      <c r="CN69" s="109"/>
      <c r="CO69" s="109"/>
      <c r="CP69" s="109"/>
      <c r="CQ69" s="109"/>
      <c r="CR69" s="109"/>
      <c r="CS69" s="109"/>
      <c r="CT69" s="109"/>
      <c r="CU69" s="109"/>
      <c r="CV69" s="109"/>
      <c r="CW69" s="109"/>
      <c r="CX69" s="109"/>
      <c r="CY69" s="109"/>
      <c r="CZ69" s="109"/>
      <c r="DA69" s="109"/>
      <c r="DB69" s="109"/>
      <c r="DC69" s="109"/>
      <c r="DD69" s="109"/>
      <c r="DE69" s="109"/>
      <c r="DF69" s="109"/>
      <c r="DG69" s="109"/>
      <c r="DH69" s="109"/>
      <c r="DI69" s="109"/>
      <c r="DJ69" s="109"/>
      <c r="DK69" s="109"/>
      <c r="DL69" s="109"/>
      <c r="DM69" s="109"/>
      <c r="DN69" s="109"/>
      <c r="DO69" s="109"/>
      <c r="DP69" s="109"/>
      <c r="DQ69" s="109"/>
      <c r="DR69" s="109"/>
      <c r="DS69" s="109"/>
      <c r="DT69" s="109"/>
      <c r="DU69" s="109"/>
      <c r="DV69" s="109"/>
      <c r="DW69" s="109"/>
      <c r="DX69" s="109"/>
      <c r="DY69" s="109"/>
      <c r="DZ69" s="109"/>
      <c r="EA69" s="109"/>
      <c r="EB69" s="109"/>
      <c r="EC69" s="109"/>
      <c r="ED69" s="109"/>
      <c r="EE69" s="109"/>
      <c r="EF69" s="109"/>
      <c r="EG69" s="109"/>
      <c r="EH69" s="109"/>
      <c r="EI69" s="109"/>
      <c r="EJ69" s="109"/>
      <c r="EK69" s="109"/>
      <c r="EL69" s="109"/>
      <c r="EM69" s="109"/>
      <c r="EN69" s="109"/>
      <c r="EO69" s="109"/>
      <c r="EP69" s="109"/>
      <c r="EQ69" s="109"/>
      <c r="ER69" s="109"/>
      <c r="ES69" s="109"/>
      <c r="ET69" s="109"/>
      <c r="EU69" s="109"/>
      <c r="EV69" s="109"/>
      <c r="EW69" s="109"/>
      <c r="EX69" s="109"/>
      <c r="EY69" s="109"/>
      <c r="EZ69" s="109"/>
      <c r="FA69" s="109"/>
      <c r="FB69" s="109"/>
      <c r="FC69" s="109"/>
      <c r="FD69" s="109"/>
      <c r="FE69" s="109"/>
      <c r="FF69" s="109"/>
      <c r="FG69" s="109"/>
      <c r="FH69" s="109"/>
      <c r="FI69" s="109"/>
      <c r="FJ69" s="109"/>
      <c r="FK69" s="109"/>
      <c r="FL69" s="109"/>
      <c r="FM69" s="109"/>
      <c r="FN69" s="109"/>
      <c r="FO69" s="109"/>
      <c r="FP69" s="109"/>
      <c r="FQ69" s="109"/>
      <c r="FR69" s="109"/>
      <c r="FS69" s="109"/>
      <c r="FT69" s="109"/>
      <c r="FU69" s="109"/>
      <c r="FV69" s="109"/>
      <c r="FW69" s="109"/>
      <c r="FX69" s="109"/>
      <c r="FY69" s="109"/>
      <c r="FZ69" s="109"/>
      <c r="GA69" s="109"/>
      <c r="GB69" s="109"/>
      <c r="GC69" s="109"/>
      <c r="GD69" s="109"/>
      <c r="GE69" s="109"/>
      <c r="GF69" s="109"/>
      <c r="GG69" s="109"/>
      <c r="GH69" s="109"/>
      <c r="GI69" s="109"/>
      <c r="GJ69" s="109"/>
      <c r="GK69" s="109"/>
      <c r="GL69" s="1"/>
      <c r="GM69" s="109"/>
      <c r="GN69" s="109"/>
      <c r="GO69" s="109"/>
      <c r="GP69" s="109"/>
      <c r="GQ69" s="109"/>
      <c r="GR69" s="109"/>
      <c r="GS69" s="109"/>
      <c r="GT69" s="109"/>
      <c r="GU69" s="109"/>
      <c r="GV69" s="109"/>
      <c r="GW69" s="109"/>
      <c r="GX69" s="109"/>
      <c r="GY69" s="109"/>
      <c r="GZ69" s="109"/>
      <c r="HA69" s="109"/>
      <c r="HB69" s="109"/>
      <c r="HC69" s="109"/>
      <c r="HD69" s="109"/>
      <c r="HE69" s="109"/>
      <c r="HF69" s="109"/>
      <c r="HG69" s="109"/>
      <c r="HH69" s="109"/>
      <c r="HI69" s="109"/>
      <c r="HJ69" s="109"/>
      <c r="HK69" s="109"/>
      <c r="HL69" s="109"/>
      <c r="HM69" s="109"/>
      <c r="HN69" s="109"/>
      <c r="HO69" s="109"/>
      <c r="HP69" s="109"/>
      <c r="HQ69" s="109"/>
      <c r="HR69" s="109"/>
      <c r="HS69" s="109"/>
      <c r="HT69" s="109"/>
      <c r="HU69" s="109"/>
      <c r="HV69" s="109"/>
      <c r="HW69" s="109"/>
      <c r="HX69" s="109"/>
      <c r="HY69" s="109"/>
      <c r="HZ69" s="109"/>
      <c r="IA69" s="109"/>
      <c r="IB69" s="109"/>
      <c r="IC69" s="109"/>
      <c r="ID69" s="109"/>
      <c r="IE69" s="109"/>
      <c r="IF69" s="109"/>
      <c r="IG69" s="109"/>
      <c r="IH69" s="109"/>
      <c r="II69" s="109"/>
      <c r="IJ69" s="109"/>
      <c r="IK69" s="109"/>
      <c r="IL69" s="109"/>
      <c r="IM69" s="109"/>
      <c r="IN69" s="109"/>
      <c r="IO69" s="109"/>
      <c r="IP69" s="109"/>
      <c r="IQ69" s="109"/>
      <c r="IR69" s="109"/>
      <c r="IS69" s="109"/>
      <c r="IT69" s="109"/>
      <c r="IU69" s="109"/>
      <c r="IV69" s="109"/>
      <c r="IW69" s="109"/>
      <c r="IX69" s="109"/>
      <c r="IY69" s="109"/>
      <c r="IZ69" s="109"/>
      <c r="JA69" s="109"/>
      <c r="JB69" s="109"/>
      <c r="JC69" s="109"/>
      <c r="JD69" s="109"/>
      <c r="JE69" s="109"/>
      <c r="JF69" s="109"/>
      <c r="JG69" s="109"/>
      <c r="JH69" s="109"/>
      <c r="JI69" s="109"/>
      <c r="JJ69" s="109"/>
      <c r="JK69" s="109"/>
      <c r="JL69" s="109"/>
      <c r="JM69" s="109"/>
      <c r="JN69" s="109"/>
      <c r="JO69" s="109"/>
      <c r="JP69" s="109"/>
      <c r="JQ69" s="109"/>
      <c r="JR69" s="109"/>
      <c r="JS69" s="109"/>
      <c r="JT69" s="109"/>
      <c r="JU69" s="109"/>
      <c r="JV69" s="109"/>
      <c r="JW69" s="109"/>
      <c r="JX69" s="109"/>
      <c r="JY69" s="109"/>
      <c r="JZ69" s="109"/>
      <c r="KA69" s="109"/>
      <c r="KB69" s="109"/>
      <c r="KC69" s="109"/>
      <c r="KD69" s="109"/>
      <c r="KE69" s="109"/>
      <c r="KF69" s="109"/>
      <c r="KG69" s="109"/>
      <c r="KH69" s="109"/>
      <c r="KI69" s="109"/>
      <c r="KJ69" s="109"/>
      <c r="KK69" s="109"/>
      <c r="KL69" s="109"/>
      <c r="KM69" s="109"/>
      <c r="KN69" s="109"/>
      <c r="KO69" s="109"/>
      <c r="KP69" s="109"/>
      <c r="KQ69" s="109"/>
      <c r="KR69" s="109"/>
      <c r="KS69" s="109"/>
      <c r="KT69" s="109"/>
      <c r="KU69" s="109"/>
      <c r="KV69" s="109"/>
      <c r="KW69" s="109"/>
      <c r="KX69" s="109"/>
      <c r="KY69" s="109"/>
      <c r="KZ69" s="109"/>
      <c r="LA69" s="109"/>
      <c r="LB69" s="109"/>
      <c r="LC69" s="109"/>
      <c r="LD69" s="137"/>
      <c r="LE69" s="109"/>
      <c r="LF69" s="109"/>
      <c r="LG69" s="109"/>
      <c r="LH69" s="138"/>
      <c r="LI69" s="109"/>
      <c r="LJ69" s="109"/>
      <c r="LK69" s="109"/>
      <c r="LL69" s="109"/>
      <c r="LM69" s="109"/>
      <c r="LN69" s="109"/>
      <c r="LO69" s="109"/>
      <c r="LP69" s="109"/>
      <c r="LQ69" s="109"/>
      <c r="LR69" s="109"/>
      <c r="LS69" s="109"/>
      <c r="LT69" s="109"/>
      <c r="LU69" s="109"/>
      <c r="LV69" s="109"/>
      <c r="LW69" s="109"/>
      <c r="LX69" s="109"/>
      <c r="LY69" s="139">
        <v>42262.597118055557</v>
      </c>
      <c r="LZ69" s="139">
        <v>42262.605497685188</v>
      </c>
      <c r="MA69" s="109" t="s">
        <v>1197</v>
      </c>
      <c r="MB69" s="109"/>
      <c r="MC69" s="109"/>
      <c r="MD69" s="109"/>
      <c r="ME69" s="107" t="s">
        <v>58</v>
      </c>
      <c r="MF69" s="107" t="s">
        <v>95</v>
      </c>
      <c r="MG69" s="107" t="s">
        <v>22</v>
      </c>
      <c r="MH69" s="109" t="s">
        <v>436</v>
      </c>
      <c r="MI69" s="140" t="s">
        <v>1157</v>
      </c>
      <c r="MJ69" s="109"/>
      <c r="MK69" s="109"/>
      <c r="ML69" s="109"/>
      <c r="MM69" s="109"/>
      <c r="MN69" s="109"/>
    </row>
    <row r="70" spans="2:352" ht="15" customHeight="1">
      <c r="B70" s="117">
        <v>1</v>
      </c>
      <c r="C70" s="89" t="s">
        <v>1152</v>
      </c>
      <c r="D70" s="109" t="s">
        <v>1192</v>
      </c>
      <c r="E70" s="109" t="s">
        <v>767</v>
      </c>
      <c r="F70" s="118" t="str">
        <f>HYPERLINK("C:\SVN\SALT RunTime\Projects\SALT\Snapshots\Pre_Req_Admin_Widget_List_USA_IN-MU-DT-J27064\201597\105956\Iterator_1\Pre_Req_Admin_Widget_List_USA1.xlsx","Snapshot")</f>
        <v>Snapshot</v>
      </c>
      <c r="G70" s="118" t="str">
        <f>HYPERLINK("C:\SVN\SALT RunTime\Projects\SALT\Snapshots\Pre_Req_Admin_Widget_List_USA_IN-MU-DT-J27064\201597\105956\Iterator_1\Merge.html","Result")</f>
        <v>Result</v>
      </c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35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09"/>
      <c r="BO70" s="109"/>
      <c r="BP70" s="109"/>
      <c r="BQ70" s="109"/>
      <c r="BR70" s="109"/>
      <c r="BS70" s="109"/>
      <c r="BT70" s="109"/>
      <c r="BU70" s="109"/>
      <c r="BV70" s="109"/>
      <c r="BW70" s="109"/>
      <c r="BX70" s="109"/>
      <c r="BY70" s="109"/>
      <c r="BZ70" s="109"/>
      <c r="CA70" s="109"/>
      <c r="CB70" s="109"/>
      <c r="CC70" s="109"/>
      <c r="CD70" s="109"/>
      <c r="CE70" s="109"/>
      <c r="CF70" s="109"/>
      <c r="CG70" s="109"/>
      <c r="CH70" s="109"/>
      <c r="CI70" s="109"/>
      <c r="CJ70" s="109"/>
      <c r="CK70" s="109"/>
      <c r="CL70" s="109"/>
      <c r="CM70" s="109"/>
      <c r="CN70" s="109"/>
      <c r="CO70" s="109"/>
      <c r="CP70" s="109"/>
      <c r="CQ70" s="109"/>
      <c r="CR70" s="109"/>
      <c r="CS70" s="109"/>
      <c r="CT70" s="109"/>
      <c r="CU70" s="109"/>
      <c r="CV70" s="109"/>
      <c r="CW70" s="109"/>
      <c r="CX70" s="109"/>
      <c r="CY70" s="109"/>
      <c r="CZ70" s="109"/>
      <c r="DA70" s="109"/>
      <c r="DB70" s="109"/>
      <c r="DC70" s="109"/>
      <c r="DD70" s="109"/>
      <c r="DE70" s="109"/>
      <c r="DF70" s="109"/>
      <c r="DG70" s="109"/>
      <c r="DH70" s="109"/>
      <c r="DI70" s="109"/>
      <c r="DJ70" s="109"/>
      <c r="DK70" s="109"/>
      <c r="DL70" s="109"/>
      <c r="DM70" s="109"/>
      <c r="DN70" s="109"/>
      <c r="DO70" s="109"/>
      <c r="DP70" s="109"/>
      <c r="DQ70" s="109"/>
      <c r="DR70" s="109"/>
      <c r="DS70" s="109"/>
      <c r="DT70" s="109"/>
      <c r="DU70" s="109"/>
      <c r="DV70" s="109"/>
      <c r="DW70" s="109"/>
      <c r="DX70" s="109"/>
      <c r="DY70" s="109"/>
      <c r="DZ70" s="109"/>
      <c r="EA70" s="109"/>
      <c r="EB70" s="109"/>
      <c r="EC70" s="109"/>
      <c r="ED70" s="109"/>
      <c r="EE70" s="109"/>
      <c r="EF70" s="109"/>
      <c r="EG70" s="109"/>
      <c r="EH70" s="109"/>
      <c r="EI70" s="109"/>
      <c r="EJ70" s="109"/>
      <c r="EK70" s="109"/>
      <c r="EL70" s="109"/>
      <c r="EM70" s="109"/>
      <c r="EN70" s="109"/>
      <c r="EO70" s="109"/>
      <c r="EP70" s="109"/>
      <c r="EQ70" s="109"/>
      <c r="ER70" s="109"/>
      <c r="ES70" s="109"/>
      <c r="ET70" s="109"/>
      <c r="EU70" s="109"/>
      <c r="EV70" s="109"/>
      <c r="EW70" s="109"/>
      <c r="EX70" s="109"/>
      <c r="EY70" s="109"/>
      <c r="EZ70" s="109"/>
      <c r="FA70" s="109"/>
      <c r="FB70" s="109"/>
      <c r="FC70" s="109"/>
      <c r="FD70" s="109"/>
      <c r="FE70" s="109"/>
      <c r="FF70" s="109"/>
      <c r="FG70" s="109"/>
      <c r="FH70" s="109"/>
      <c r="FI70" s="109"/>
      <c r="FJ70" s="109"/>
      <c r="FK70" s="109"/>
      <c r="FL70" s="109"/>
      <c r="FM70" s="109"/>
      <c r="FN70" s="109"/>
      <c r="FO70" s="109"/>
      <c r="FP70" s="109"/>
      <c r="FQ70" s="109"/>
      <c r="FR70" s="109"/>
      <c r="FS70" s="109"/>
      <c r="FT70" s="109"/>
      <c r="FU70" s="109"/>
      <c r="FV70" s="109"/>
      <c r="FW70" s="109"/>
      <c r="FX70" s="109"/>
      <c r="FY70" s="109"/>
      <c r="FZ70" s="109"/>
      <c r="GA70" s="109"/>
      <c r="GB70" s="109"/>
      <c r="GC70" s="109"/>
      <c r="GD70" s="109"/>
      <c r="GE70" s="109"/>
      <c r="GF70" s="109"/>
      <c r="GG70" s="109"/>
      <c r="GH70" s="109"/>
      <c r="GI70" s="109"/>
      <c r="GJ70" s="109"/>
      <c r="GK70" s="109"/>
      <c r="GL70" s="1"/>
      <c r="GM70" s="109"/>
      <c r="GN70" s="109"/>
      <c r="GO70" s="109"/>
      <c r="GP70" s="109"/>
      <c r="GQ70" s="109"/>
      <c r="GR70" s="109"/>
      <c r="GS70" s="109"/>
      <c r="GT70" s="109"/>
      <c r="GU70" s="109"/>
      <c r="GV70" s="109"/>
      <c r="GW70" s="109"/>
      <c r="GX70" s="109"/>
      <c r="GY70" s="109"/>
      <c r="GZ70" s="109"/>
      <c r="HA70" s="109"/>
      <c r="HB70" s="109"/>
      <c r="HC70" s="109"/>
      <c r="HD70" s="109"/>
      <c r="HE70" s="109"/>
      <c r="HF70" s="109"/>
      <c r="HG70" s="109"/>
      <c r="HH70" s="109"/>
      <c r="HI70" s="109"/>
      <c r="HJ70" s="109"/>
      <c r="HK70" s="109"/>
      <c r="HL70" s="109"/>
      <c r="HM70" s="109"/>
      <c r="HN70" s="109"/>
      <c r="HO70" s="109"/>
      <c r="HP70" s="109"/>
      <c r="HQ70" s="109"/>
      <c r="HR70" s="109"/>
      <c r="HS70" s="109"/>
      <c r="HT70" s="109"/>
      <c r="HU70" s="109"/>
      <c r="HV70" s="109"/>
      <c r="HW70" s="109"/>
      <c r="HX70" s="109"/>
      <c r="HY70" s="109"/>
      <c r="HZ70" s="109"/>
      <c r="IA70" s="109"/>
      <c r="IB70" s="109"/>
      <c r="IC70" s="109"/>
      <c r="ID70" s="109"/>
      <c r="IE70" s="109"/>
      <c r="IF70" s="109"/>
      <c r="IG70" s="109"/>
      <c r="IH70" s="109"/>
      <c r="II70" s="109"/>
      <c r="IJ70" s="109"/>
      <c r="IK70" s="109"/>
      <c r="IL70" s="109"/>
      <c r="IM70" s="109"/>
      <c r="IN70" s="109"/>
      <c r="IO70" s="109"/>
      <c r="IP70" s="109"/>
      <c r="IQ70" s="109"/>
      <c r="IR70" s="109"/>
      <c r="IS70" s="109"/>
      <c r="IT70" s="109"/>
      <c r="IU70" s="109"/>
      <c r="IV70" s="109"/>
      <c r="IW70" s="109"/>
      <c r="IX70" s="109"/>
      <c r="IY70" s="109"/>
      <c r="IZ70" s="109"/>
      <c r="JA70" s="109"/>
      <c r="JB70" s="109"/>
      <c r="JC70" s="109"/>
      <c r="JD70" s="109"/>
      <c r="JE70" s="109"/>
      <c r="JF70" s="109"/>
      <c r="JG70" s="109"/>
      <c r="JH70" s="109"/>
      <c r="JI70" s="109"/>
      <c r="JJ70" s="109"/>
      <c r="JK70" s="109"/>
      <c r="JL70" s="109"/>
      <c r="JM70" s="109"/>
      <c r="JN70" s="109"/>
      <c r="JO70" s="109"/>
      <c r="JP70" s="109"/>
      <c r="JQ70" s="109"/>
      <c r="JR70" s="109"/>
      <c r="JS70" s="109"/>
      <c r="JT70" s="109"/>
      <c r="JU70" s="109"/>
      <c r="JV70" s="109"/>
      <c r="JW70" s="109"/>
      <c r="JX70" s="109"/>
      <c r="JY70" s="109"/>
      <c r="JZ70" s="109"/>
      <c r="KA70" s="109"/>
      <c r="KB70" s="109"/>
      <c r="KC70" s="109"/>
      <c r="KD70" s="109"/>
      <c r="KE70" s="109"/>
      <c r="KF70" s="109"/>
      <c r="KG70" s="109"/>
      <c r="KH70" s="109"/>
      <c r="KI70" s="109"/>
      <c r="KJ70" s="109"/>
      <c r="KK70" s="109"/>
      <c r="KL70" s="109"/>
      <c r="KM70" s="109"/>
      <c r="KN70" s="109"/>
      <c r="KO70" s="109"/>
      <c r="KP70" s="109"/>
      <c r="KQ70" s="109"/>
      <c r="KR70" s="109"/>
      <c r="KS70" s="109"/>
      <c r="KT70" s="109"/>
      <c r="KU70" s="109"/>
      <c r="KV70" s="109"/>
      <c r="KW70" s="109"/>
      <c r="KX70" s="109"/>
      <c r="KY70" s="109"/>
      <c r="KZ70" s="109"/>
      <c r="LA70" s="109"/>
      <c r="LB70" s="109"/>
      <c r="LC70" s="109"/>
      <c r="LD70" s="109"/>
      <c r="LE70" s="109"/>
      <c r="LF70" s="109"/>
      <c r="LG70" s="109"/>
      <c r="LH70" s="109"/>
      <c r="LI70" s="109"/>
      <c r="LJ70" s="109"/>
      <c r="LK70" s="109"/>
      <c r="LL70" s="109"/>
      <c r="LM70" s="109"/>
      <c r="LN70" s="109"/>
      <c r="LO70" s="109"/>
      <c r="LP70" s="109"/>
      <c r="LQ70" s="109"/>
      <c r="LR70" s="109"/>
      <c r="LS70" s="109"/>
      <c r="LT70" s="109"/>
      <c r="LU70" s="109"/>
      <c r="LV70" s="109"/>
      <c r="LW70" s="109"/>
      <c r="LX70" s="109"/>
      <c r="LY70" s="139">
        <v>42254.458287037036</v>
      </c>
      <c r="LZ70" s="139">
        <v>42254.461736111109</v>
      </c>
      <c r="MA70" s="109" t="s">
        <v>1171</v>
      </c>
      <c r="MB70" s="109"/>
      <c r="MC70" s="109"/>
      <c r="MD70" s="109"/>
      <c r="ME70" s="107" t="s">
        <v>58</v>
      </c>
      <c r="MF70" s="107" t="s">
        <v>95</v>
      </c>
      <c r="MG70" s="107" t="s">
        <v>22</v>
      </c>
      <c r="MH70" s="109" t="s">
        <v>880</v>
      </c>
      <c r="MI70" s="141" t="s">
        <v>1158</v>
      </c>
      <c r="MJ70" s="109"/>
      <c r="MK70" s="109"/>
      <c r="ML70" s="109"/>
      <c r="MM70" s="109"/>
      <c r="MN70" s="109"/>
    </row>
    <row r="71" spans="2:352" ht="17.25" customHeight="1">
      <c r="B71" s="117">
        <v>1</v>
      </c>
      <c r="C71" s="89" t="s">
        <v>1153</v>
      </c>
      <c r="D71" s="109"/>
      <c r="E71" s="109" t="s">
        <v>767</v>
      </c>
      <c r="F71" s="118" t="str">
        <f>HYPERLINK("C:\SVN\SALT RunTime\Projects\SALT\Snapshots\Pre_Req_Admin_Widget_List_DE_IN-MU-DT-J27064\201597\11454\Iterator_1\Pre_Req_Admin_Widget_List_DE1.xlsx","Snapshot")</f>
        <v>Snapshot</v>
      </c>
      <c r="G71" s="118" t="str">
        <f>HYPERLINK("C:\SVN\SALT RunTime\Projects\SALT\Snapshots\Pre_Req_Admin_Widget_List_DE_IN-MU-DT-J27064\201597\11454\Iterator_1\Merge.html","Result")</f>
        <v>Result</v>
      </c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35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09"/>
      <c r="BO71" s="109"/>
      <c r="BP71" s="109"/>
      <c r="BQ71" s="109"/>
      <c r="BR71" s="109"/>
      <c r="BS71" s="109"/>
      <c r="BT71" s="109"/>
      <c r="BU71" s="109"/>
      <c r="BV71" s="109"/>
      <c r="BW71" s="109"/>
      <c r="BX71" s="109"/>
      <c r="BY71" s="109"/>
      <c r="BZ71" s="109"/>
      <c r="CA71" s="109"/>
      <c r="CB71" s="109"/>
      <c r="CC71" s="109"/>
      <c r="CD71" s="109"/>
      <c r="CE71" s="109"/>
      <c r="CF71" s="109"/>
      <c r="CG71" s="109"/>
      <c r="CH71" s="109"/>
      <c r="CI71" s="109"/>
      <c r="CJ71" s="109"/>
      <c r="CK71" s="109"/>
      <c r="CL71" s="109"/>
      <c r="CM71" s="109"/>
      <c r="CN71" s="109"/>
      <c r="CO71" s="109"/>
      <c r="CP71" s="109"/>
      <c r="CQ71" s="109"/>
      <c r="CR71" s="109"/>
      <c r="CS71" s="109"/>
      <c r="CT71" s="109"/>
      <c r="CU71" s="109"/>
      <c r="CV71" s="109"/>
      <c r="CW71" s="109"/>
      <c r="CX71" s="109"/>
      <c r="CY71" s="109"/>
      <c r="CZ71" s="109"/>
      <c r="DA71" s="109"/>
      <c r="DB71" s="109"/>
      <c r="DC71" s="109"/>
      <c r="DD71" s="109"/>
      <c r="DE71" s="109"/>
      <c r="DF71" s="109"/>
      <c r="DG71" s="109"/>
      <c r="DH71" s="109"/>
      <c r="DI71" s="109"/>
      <c r="DJ71" s="109"/>
      <c r="DK71" s="109"/>
      <c r="DL71" s="109"/>
      <c r="DM71" s="109"/>
      <c r="DN71" s="109"/>
      <c r="DO71" s="109"/>
      <c r="DP71" s="109"/>
      <c r="DQ71" s="109"/>
      <c r="DR71" s="109"/>
      <c r="DS71" s="109"/>
      <c r="DT71" s="109"/>
      <c r="DU71" s="109"/>
      <c r="DV71" s="109"/>
      <c r="DW71" s="109"/>
      <c r="DX71" s="109"/>
      <c r="DY71" s="109"/>
      <c r="DZ71" s="109"/>
      <c r="EA71" s="109"/>
      <c r="EB71" s="109"/>
      <c r="EC71" s="109"/>
      <c r="ED71" s="109"/>
      <c r="EE71" s="109"/>
      <c r="EF71" s="109"/>
      <c r="EG71" s="109"/>
      <c r="EH71" s="109"/>
      <c r="EI71" s="109"/>
      <c r="EJ71" s="109"/>
      <c r="EK71" s="109"/>
      <c r="EL71" s="109"/>
      <c r="EM71" s="109"/>
      <c r="EN71" s="109"/>
      <c r="EO71" s="109"/>
      <c r="EP71" s="109"/>
      <c r="EQ71" s="109"/>
      <c r="ER71" s="109"/>
      <c r="ES71" s="109"/>
      <c r="ET71" s="109"/>
      <c r="EU71" s="109"/>
      <c r="EV71" s="109"/>
      <c r="EW71" s="109"/>
      <c r="EX71" s="109"/>
      <c r="EY71" s="109"/>
      <c r="EZ71" s="109"/>
      <c r="FA71" s="109"/>
      <c r="FB71" s="109"/>
      <c r="FC71" s="109"/>
      <c r="FD71" s="109"/>
      <c r="FE71" s="109"/>
      <c r="FF71" s="109"/>
      <c r="FG71" s="109"/>
      <c r="FH71" s="109"/>
      <c r="FI71" s="109"/>
      <c r="FJ71" s="109"/>
      <c r="FK71" s="109"/>
      <c r="FL71" s="109"/>
      <c r="FM71" s="109"/>
      <c r="FN71" s="109"/>
      <c r="FO71" s="109"/>
      <c r="FP71" s="109"/>
      <c r="FQ71" s="109"/>
      <c r="FR71" s="109"/>
      <c r="FS71" s="109"/>
      <c r="FT71" s="109"/>
      <c r="FU71" s="109"/>
      <c r="FV71" s="109"/>
      <c r="FW71" s="109"/>
      <c r="FX71" s="109"/>
      <c r="FY71" s="109"/>
      <c r="FZ71" s="109"/>
      <c r="GA71" s="109"/>
      <c r="GB71" s="109"/>
      <c r="GC71" s="109"/>
      <c r="GD71" s="109"/>
      <c r="GE71" s="109"/>
      <c r="GF71" s="109"/>
      <c r="GG71" s="109"/>
      <c r="GH71" s="109"/>
      <c r="GI71" s="109"/>
      <c r="GJ71" s="109"/>
      <c r="GK71" s="109"/>
      <c r="GL71" s="1"/>
      <c r="GM71" s="109"/>
      <c r="GN71" s="109"/>
      <c r="GO71" s="109"/>
      <c r="GP71" s="109"/>
      <c r="GQ71" s="109"/>
      <c r="GR71" s="109"/>
      <c r="GS71" s="109"/>
      <c r="GT71" s="109"/>
      <c r="GU71" s="109"/>
      <c r="GV71" s="109"/>
      <c r="GW71" s="109"/>
      <c r="GX71" s="109"/>
      <c r="GY71" s="109"/>
      <c r="GZ71" s="109"/>
      <c r="HA71" s="109"/>
      <c r="HB71" s="109"/>
      <c r="HC71" s="109"/>
      <c r="HD71" s="109"/>
      <c r="HE71" s="109"/>
      <c r="HF71" s="109"/>
      <c r="HG71" s="109"/>
      <c r="HH71" s="109"/>
      <c r="HI71" s="109"/>
      <c r="HJ71" s="109"/>
      <c r="HK71" s="109"/>
      <c r="HL71" s="109"/>
      <c r="HM71" s="109"/>
      <c r="HN71" s="109"/>
      <c r="HO71" s="109"/>
      <c r="HP71" s="109"/>
      <c r="HQ71" s="109"/>
      <c r="HR71" s="109"/>
      <c r="HS71" s="109"/>
      <c r="HT71" s="109"/>
      <c r="HU71" s="109"/>
      <c r="HV71" s="109"/>
      <c r="HW71" s="109"/>
      <c r="HX71" s="109"/>
      <c r="HY71" s="109"/>
      <c r="HZ71" s="109"/>
      <c r="IA71" s="109"/>
      <c r="IB71" s="109"/>
      <c r="IC71" s="109"/>
      <c r="ID71" s="109"/>
      <c r="IE71" s="109"/>
      <c r="IF71" s="109"/>
      <c r="IG71" s="109"/>
      <c r="IH71" s="109"/>
      <c r="II71" s="109"/>
      <c r="IJ71" s="109"/>
      <c r="IK71" s="109"/>
      <c r="IL71" s="109"/>
      <c r="IM71" s="109"/>
      <c r="IN71" s="109"/>
      <c r="IO71" s="109"/>
      <c r="IP71" s="109"/>
      <c r="IQ71" s="109"/>
      <c r="IR71" s="109"/>
      <c r="IS71" s="109"/>
      <c r="IT71" s="109"/>
      <c r="IU71" s="109"/>
      <c r="IV71" s="109"/>
      <c r="IW71" s="109"/>
      <c r="IX71" s="109"/>
      <c r="IY71" s="109"/>
      <c r="IZ71" s="109"/>
      <c r="JA71" s="109"/>
      <c r="JB71" s="109"/>
      <c r="JC71" s="109"/>
      <c r="JD71" s="109"/>
      <c r="JE71" s="109"/>
      <c r="JF71" s="109"/>
      <c r="JG71" s="109"/>
      <c r="JH71" s="109"/>
      <c r="JI71" s="109"/>
      <c r="JJ71" s="109"/>
      <c r="JK71" s="109"/>
      <c r="JL71" s="109"/>
      <c r="JM71" s="109"/>
      <c r="JN71" s="109"/>
      <c r="JO71" s="109"/>
      <c r="JP71" s="109"/>
      <c r="JQ71" s="109"/>
      <c r="JR71" s="109"/>
      <c r="JS71" s="109"/>
      <c r="JT71" s="109"/>
      <c r="JU71" s="109"/>
      <c r="JV71" s="109"/>
      <c r="JW71" s="109"/>
      <c r="JX71" s="109"/>
      <c r="JY71" s="109"/>
      <c r="JZ71" s="109"/>
      <c r="KA71" s="109"/>
      <c r="KB71" s="109"/>
      <c r="KC71" s="109"/>
      <c r="KD71" s="109"/>
      <c r="KE71" s="109"/>
      <c r="KF71" s="109"/>
      <c r="KG71" s="109"/>
      <c r="KH71" s="109"/>
      <c r="KI71" s="109"/>
      <c r="KJ71" s="109"/>
      <c r="KK71" s="109"/>
      <c r="KL71" s="109"/>
      <c r="KM71" s="109"/>
      <c r="KN71" s="109"/>
      <c r="KO71" s="109"/>
      <c r="KP71" s="109"/>
      <c r="KQ71" s="109"/>
      <c r="KR71" s="109"/>
      <c r="KS71" s="109"/>
      <c r="KT71" s="109"/>
      <c r="KU71" s="109"/>
      <c r="KV71" s="109"/>
      <c r="KW71" s="109"/>
      <c r="KX71" s="109"/>
      <c r="KY71" s="109"/>
      <c r="KZ71" s="109"/>
      <c r="LA71" s="109"/>
      <c r="LB71" s="109"/>
      <c r="LC71" s="109"/>
      <c r="LD71" s="109"/>
      <c r="LE71" s="109"/>
      <c r="LF71" s="109"/>
      <c r="LG71" s="109"/>
      <c r="LH71" s="109"/>
      <c r="LI71" s="109"/>
      <c r="LJ71" s="109"/>
      <c r="LK71" s="109"/>
      <c r="LL71" s="109"/>
      <c r="LM71" s="109"/>
      <c r="LN71" s="109"/>
      <c r="LO71" s="109"/>
      <c r="LP71" s="109"/>
      <c r="LQ71" s="109"/>
      <c r="LR71" s="109"/>
      <c r="LS71" s="109"/>
      <c r="LT71" s="109"/>
      <c r="LU71" s="109"/>
      <c r="LV71" s="109"/>
      <c r="LW71" s="109"/>
      <c r="LX71" s="109"/>
      <c r="LY71" s="139">
        <v>42254.461736111109</v>
      </c>
      <c r="LZ71" s="139">
        <v>42254.465104166666</v>
      </c>
      <c r="MA71" s="109" t="s">
        <v>1172</v>
      </c>
      <c r="MB71" s="109"/>
      <c r="MC71" s="109"/>
      <c r="MD71" s="109"/>
      <c r="ME71" s="107" t="s">
        <v>58</v>
      </c>
      <c r="MF71" s="107" t="s">
        <v>95</v>
      </c>
      <c r="MG71" s="107" t="s">
        <v>22</v>
      </c>
      <c r="MH71" s="109" t="s">
        <v>984</v>
      </c>
      <c r="MI71" s="140" t="s">
        <v>1154</v>
      </c>
      <c r="MJ71" s="109"/>
      <c r="MK71" s="109"/>
      <c r="ML71" s="109"/>
      <c r="MM71" s="109"/>
      <c r="MN71" s="109"/>
    </row>
  </sheetData>
  <protectedRanges>
    <protectedRange sqref="C67" name="Range1_1"/>
    <protectedRange sqref="C68:C71" name="Range1_1_2"/>
  </protectedRanges>
  <dataConsolidate/>
  <customSheetViews>
    <customSheetView guid="{D354225D-2C82-4417-8BA4-5EFA1D96D332}" scale="85" topLeftCell="A6">
      <pane xSplit="1" topLeftCell="C1" activePane="topRight" state="frozen"/>
      <selection pane="topRight" activeCell="A26" sqref="A26"/>
      <pageMargins left="0.7" right="0.7" top="0.75" bottom="0.75" header="0.3" footer="0.3"/>
      <pageSetup orientation="portrait" r:id="rId1"/>
    </customSheetView>
    <customSheetView guid="{A8F9189F-30EC-448E-8FA3-1F1B01D22A46}" scale="80" filter="1" showAutoFilter="1" hiddenRows="1" hiddenColumns="1">
      <selection activeCell="FP58" sqref="FP58"/>
      <pageMargins left="0.7" right="0.7" top="0.75" bottom="0.75" header="0.3" footer="0.3"/>
      <pageSetup orientation="portrait" r:id="rId2"/>
      <autoFilter ref="B3:D58">
        <filterColumn colId="1">
          <filters>
            <filter val="MobilePickUpCashPassportOrder"/>
          </filters>
        </filterColumn>
      </autoFilter>
    </customSheetView>
    <customSheetView guid="{CF42ED2D-1073-4AB2-96F1-563C90B8192E}" scale="85">
      <pane xSplit="1" topLeftCell="B1" activePane="topRight" state="frozen"/>
      <selection pane="topRight" activeCell="F78" sqref="F78"/>
      <pageMargins left="0.7" right="0.7" top="0.75" bottom="0.75" header="0.3" footer="0.3"/>
      <pageSetup orientation="portrait" r:id="rId3"/>
    </customSheetView>
    <customSheetView guid="{038EA038-5A0E-4BA1-B2F5-E3A3B7AA82FA}" scale="85" filter="1" showAutoFilter="1" hiddenRows="1" hiddenColumns="1">
      <pane xSplit="1" topLeftCell="B1" activePane="topRight" state="frozen"/>
      <selection pane="topRight" activeCell="C143" sqref="C143"/>
      <pageMargins left="0.7" right="0.7" top="0.75" bottom="0.75" header="0.3" footer="0.3"/>
      <pageSetup orientation="portrait" r:id="rId4"/>
      <autoFilter ref="B3:D129">
        <filterColumn colId="1">
          <filters>
            <filter val="StorePackCashOrder"/>
          </filters>
        </filterColumn>
      </autoFilter>
    </customSheetView>
  </customSheetViews>
  <hyperlinks>
    <hyperlink ref="MN51" r:id="rId5"/>
  </hyperlinks>
  <pageMargins left="0.7" right="0.7" top="0.75" bottom="0.75" header="0.3" footer="0.3"/>
  <pageSetup orientation="portrait" r:id="rId6"/>
  <drawing r:id="rId7"/>
  <legacyDrawing r:id="rId8"/>
  <controls>
    <mc:AlternateContent xmlns:mc="http://schemas.openxmlformats.org/markup-compatibility/2006">
      <mc:Choice Requires="x14">
        <control shapeId="3094" r:id="rId9" name="cmdTCExecutionTime">
          <controlPr defaultSize="0" autoLine="0" r:id="rId10">
            <anchor>
              <from>
                <xdr:col>0</xdr:col>
                <xdr:colOff>342900</xdr:colOff>
                <xdr:row>16</xdr:row>
                <xdr:rowOff>57150</xdr:rowOff>
              </from>
              <to>
                <xdr:col>0</xdr:col>
                <xdr:colOff>1181100</xdr:colOff>
                <xdr:row>17</xdr:row>
                <xdr:rowOff>152400</xdr:rowOff>
              </to>
            </anchor>
          </controlPr>
        </control>
      </mc:Choice>
      <mc:Fallback>
        <control shapeId="3094" r:id="rId9" name="cmdTCExecutionTime"/>
      </mc:Fallback>
    </mc:AlternateContent>
    <mc:AlternateContent xmlns:mc="http://schemas.openxmlformats.org/markup-compatibility/2006">
      <mc:Choice Requires="x14">
        <control shapeId="3089" r:id="rId11" name="cmdImportHeaders">
          <controlPr defaultSize="0" autoLine="0" r:id="rId12">
            <anchor>
              <from>
                <xdr:col>0</xdr:col>
                <xdr:colOff>1390650</xdr:colOff>
                <xdr:row>13</xdr:row>
                <xdr:rowOff>171450</xdr:rowOff>
              </from>
              <to>
                <xdr:col>0</xdr:col>
                <xdr:colOff>2371725</xdr:colOff>
                <xdr:row>15</xdr:row>
                <xdr:rowOff>57150</xdr:rowOff>
              </to>
            </anchor>
          </controlPr>
        </control>
      </mc:Choice>
      <mc:Fallback>
        <control shapeId="3089" r:id="rId11" name="cmdImportHeaders"/>
      </mc:Fallback>
    </mc:AlternateContent>
    <mc:AlternateContent xmlns:mc="http://schemas.openxmlformats.org/markup-compatibility/2006">
      <mc:Choice Requires="x14">
        <control shapeId="3088" r:id="rId13" name="cmdShowAllCol">
          <controlPr defaultSize="0" autoLine="0" r:id="rId14">
            <anchor>
              <from>
                <xdr:col>0</xdr:col>
                <xdr:colOff>266700</xdr:colOff>
                <xdr:row>14</xdr:row>
                <xdr:rowOff>9525</xdr:rowOff>
              </from>
              <to>
                <xdr:col>0</xdr:col>
                <xdr:colOff>1190625</xdr:colOff>
                <xdr:row>15</xdr:row>
                <xdr:rowOff>123825</xdr:rowOff>
              </to>
            </anchor>
          </controlPr>
        </control>
      </mc:Choice>
      <mc:Fallback>
        <control shapeId="3088" r:id="rId13" name="cmdShowAllCol"/>
      </mc:Fallback>
    </mc:AlternateContent>
    <mc:AlternateContent xmlns:mc="http://schemas.openxmlformats.org/markup-compatibility/2006">
      <mc:Choice Requires="x14">
        <control shapeId="3087" r:id="rId15" name="cmdPrevious">
          <controlPr defaultSize="0" autoLine="0" r:id="rId16">
            <anchor>
              <from>
                <xdr:col>0</xdr:col>
                <xdr:colOff>3076575</xdr:colOff>
                <xdr:row>16</xdr:row>
                <xdr:rowOff>47625</xdr:rowOff>
              </from>
              <to>
                <xdr:col>0</xdr:col>
                <xdr:colOff>4048125</xdr:colOff>
                <xdr:row>18</xdr:row>
                <xdr:rowOff>28575</xdr:rowOff>
              </to>
            </anchor>
          </controlPr>
        </control>
      </mc:Choice>
      <mc:Fallback>
        <control shapeId="3087" r:id="rId15" name="cmdPrevious"/>
      </mc:Fallback>
    </mc:AlternateContent>
    <mc:AlternateContent xmlns:mc="http://schemas.openxmlformats.org/markup-compatibility/2006">
      <mc:Choice Requires="x14">
        <control shapeId="3086" r:id="rId17" name="cmdNext">
          <controlPr defaultSize="0" autoLine="0" r:id="rId18">
            <anchor>
              <from>
                <xdr:col>0</xdr:col>
                <xdr:colOff>2562225</xdr:colOff>
                <xdr:row>13</xdr:row>
                <xdr:rowOff>133350</xdr:rowOff>
              </from>
              <to>
                <xdr:col>0</xdr:col>
                <xdr:colOff>3533775</xdr:colOff>
                <xdr:row>15</xdr:row>
                <xdr:rowOff>57150</xdr:rowOff>
              </to>
            </anchor>
          </controlPr>
        </control>
      </mc:Choice>
      <mc:Fallback>
        <control shapeId="3086" r:id="rId17" name="cmdNext"/>
      </mc:Fallback>
    </mc:AlternateContent>
    <mc:AlternateContent xmlns:mc="http://schemas.openxmlformats.org/markup-compatibility/2006">
      <mc:Choice Requires="x14">
        <control shapeId="3085" r:id="rId19" name="cmdFindBC">
          <controlPr defaultSize="0" autoLine="0" r:id="rId20">
            <anchor>
              <from>
                <xdr:col>0</xdr:col>
                <xdr:colOff>2657475</xdr:colOff>
                <xdr:row>11</xdr:row>
                <xdr:rowOff>19050</xdr:rowOff>
              </from>
              <to>
                <xdr:col>0</xdr:col>
                <xdr:colOff>3552825</xdr:colOff>
                <xdr:row>12</xdr:row>
                <xdr:rowOff>76200</xdr:rowOff>
              </to>
            </anchor>
          </controlPr>
        </control>
      </mc:Choice>
      <mc:Fallback>
        <control shapeId="3085" r:id="rId19" name="cmdFindBC"/>
      </mc:Fallback>
    </mc:AlternateContent>
    <mc:AlternateContent xmlns:mc="http://schemas.openxmlformats.org/markup-compatibility/2006">
      <mc:Choice Requires="x14">
        <control shapeId="3084" r:id="rId21" name="cmdFindTest">
          <controlPr defaultSize="0" autoLine="0" r:id="rId22">
            <anchor>
              <from>
                <xdr:col>0</xdr:col>
                <xdr:colOff>304800</xdr:colOff>
                <xdr:row>11</xdr:row>
                <xdr:rowOff>161925</xdr:rowOff>
              </from>
              <to>
                <xdr:col>0</xdr:col>
                <xdr:colOff>1228725</xdr:colOff>
                <xdr:row>13</xdr:row>
                <xdr:rowOff>76200</xdr:rowOff>
              </to>
            </anchor>
          </controlPr>
        </control>
      </mc:Choice>
      <mc:Fallback>
        <control shapeId="3084" r:id="rId21" name="cmdFindTest"/>
      </mc:Fallback>
    </mc:AlternateContent>
    <mc:AlternateContent xmlns:mc="http://schemas.openxmlformats.org/markup-compatibility/2006">
      <mc:Choice Requires="x14">
        <control shapeId="3083" r:id="rId23" name="CmbBCName">
          <controlPr defaultSize="0" autoLine="0" r:id="rId24">
            <anchor>
              <from>
                <xdr:col>0</xdr:col>
                <xdr:colOff>0</xdr:colOff>
                <xdr:row>4</xdr:row>
                <xdr:rowOff>38100</xdr:rowOff>
              </from>
              <to>
                <xdr:col>0</xdr:col>
                <xdr:colOff>3857625</xdr:colOff>
                <xdr:row>6</xdr:row>
                <xdr:rowOff>9525</xdr:rowOff>
              </to>
            </anchor>
          </controlPr>
        </control>
      </mc:Choice>
      <mc:Fallback>
        <control shapeId="3083" r:id="rId23" name="CmbBCName"/>
      </mc:Fallback>
    </mc:AlternateContent>
    <mc:AlternateContent xmlns:mc="http://schemas.openxmlformats.org/markup-compatibility/2006">
      <mc:Choice Requires="x14">
        <control shapeId="3082" r:id="rId25" name="cmbTestCase">
          <controlPr defaultSize="0" autoLine="0" listFillRange="Mapping!B2:B81" r:id="rId26">
            <anchor>
              <from>
                <xdr:col>0</xdr:col>
                <xdr:colOff>0</xdr:colOff>
                <xdr:row>2</xdr:row>
                <xdr:rowOff>76200</xdr:rowOff>
              </from>
              <to>
                <xdr:col>0</xdr:col>
                <xdr:colOff>3886200</xdr:colOff>
                <xdr:row>4</xdr:row>
                <xdr:rowOff>19050</xdr:rowOff>
              </to>
            </anchor>
          </controlPr>
        </control>
      </mc:Choice>
      <mc:Fallback>
        <control shapeId="3082" r:id="rId25" name="cmbTestCase"/>
      </mc:Fallback>
    </mc:AlternateContent>
    <mc:AlternateContent xmlns:mc="http://schemas.openxmlformats.org/markup-compatibility/2006">
      <mc:Choice Requires="x14">
        <control shapeId="3090" r:id="rId27" name="cmdDeletedCol">
          <controlPr defaultSize="0" autoLine="0" r:id="rId28">
            <anchor>
              <from>
                <xdr:col>0</xdr:col>
                <xdr:colOff>1266825</xdr:colOff>
                <xdr:row>16</xdr:row>
                <xdr:rowOff>47625</xdr:rowOff>
              </from>
              <to>
                <xdr:col>0</xdr:col>
                <xdr:colOff>2952750</xdr:colOff>
                <xdr:row>18</xdr:row>
                <xdr:rowOff>104775</xdr:rowOff>
              </to>
            </anchor>
          </controlPr>
        </control>
      </mc:Choice>
      <mc:Fallback>
        <control shapeId="3090" r:id="rId27" name="cmdDeletedCo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49"/>
  <sheetViews>
    <sheetView zoomScaleNormal="100" workbookViewId="0">
      <pane ySplit="1" topLeftCell="A7" activePane="bottomLeft" state="frozen"/>
      <selection pane="bottomLeft" activeCell="C17" sqref="C17"/>
    </sheetView>
  </sheetViews>
  <sheetFormatPr defaultColWidth="22.5703125" defaultRowHeight="15"/>
  <cols>
    <col min="1" max="1" width="11" style="15" customWidth="1"/>
    <col min="2" max="2" width="57.7109375" style="17" customWidth="1"/>
    <col min="3" max="3" width="98.85546875" style="15" customWidth="1"/>
    <col min="4" max="4" width="39.42578125" style="15" customWidth="1"/>
    <col min="5" max="5" width="39" style="15" customWidth="1"/>
    <col min="6" max="6" width="26.42578125" style="15" customWidth="1"/>
    <col min="7" max="7" width="19.7109375" style="15" customWidth="1"/>
    <col min="8" max="16384" width="22.5703125" style="15"/>
  </cols>
  <sheetData>
    <row r="1" spans="1:7" s="13" customFormat="1">
      <c r="A1" s="5" t="s">
        <v>0</v>
      </c>
      <c r="B1" s="5" t="s">
        <v>36</v>
      </c>
      <c r="C1" s="5" t="s">
        <v>35</v>
      </c>
      <c r="D1" s="16" t="s">
        <v>33</v>
      </c>
      <c r="E1" s="5" t="s">
        <v>34</v>
      </c>
      <c r="F1" s="5" t="s">
        <v>1</v>
      </c>
      <c r="G1" s="5" t="s">
        <v>2</v>
      </c>
    </row>
    <row r="2" spans="1:7">
      <c r="B2" s="17" t="s">
        <v>431</v>
      </c>
      <c r="C2" s="15" t="s">
        <v>434</v>
      </c>
      <c r="D2" s="14" t="s">
        <v>3</v>
      </c>
      <c r="E2" s="14" t="s">
        <v>52</v>
      </c>
      <c r="F2" s="15" t="s">
        <v>4</v>
      </c>
    </row>
    <row r="3" spans="1:7">
      <c r="B3" s="60" t="s">
        <v>305</v>
      </c>
      <c r="C3" s="25" t="s">
        <v>764</v>
      </c>
      <c r="D3" s="14" t="s">
        <v>37</v>
      </c>
      <c r="E3" s="14" t="s">
        <v>40</v>
      </c>
      <c r="F3" s="15" t="s">
        <v>51</v>
      </c>
    </row>
    <row r="4" spans="1:7">
      <c r="B4" s="17" t="s">
        <v>306</v>
      </c>
      <c r="C4" s="15" t="s">
        <v>321</v>
      </c>
      <c r="D4" s="14" t="s">
        <v>41</v>
      </c>
      <c r="E4" s="14" t="s">
        <v>44</v>
      </c>
      <c r="F4" s="15" t="s">
        <v>5</v>
      </c>
    </row>
    <row r="5" spans="1:7">
      <c r="B5" s="17" t="s">
        <v>307</v>
      </c>
      <c r="C5" s="14" t="s">
        <v>637</v>
      </c>
      <c r="D5" s="14" t="s">
        <v>45</v>
      </c>
      <c r="E5" s="14" t="s">
        <v>50</v>
      </c>
      <c r="F5" s="15" t="s">
        <v>6</v>
      </c>
    </row>
    <row r="6" spans="1:7">
      <c r="B6" s="17" t="s">
        <v>308</v>
      </c>
      <c r="C6" s="15" t="s">
        <v>322</v>
      </c>
      <c r="D6" s="14" t="s">
        <v>53</v>
      </c>
      <c r="E6" s="14" t="s">
        <v>54</v>
      </c>
      <c r="F6" s="15" t="s">
        <v>7</v>
      </c>
    </row>
    <row r="7" spans="1:7">
      <c r="B7" s="17" t="s">
        <v>449</v>
      </c>
      <c r="C7" s="15" t="s">
        <v>452</v>
      </c>
      <c r="D7" s="14" t="s">
        <v>303</v>
      </c>
      <c r="E7" s="14" t="s">
        <v>11</v>
      </c>
      <c r="F7" s="15" t="s">
        <v>8</v>
      </c>
    </row>
    <row r="8" spans="1:7">
      <c r="B8" s="17" t="s">
        <v>450</v>
      </c>
      <c r="C8" s="15" t="s">
        <v>452</v>
      </c>
      <c r="D8" s="14" t="s">
        <v>109</v>
      </c>
      <c r="E8" s="14" t="s">
        <v>639</v>
      </c>
      <c r="F8" s="15" t="s">
        <v>38</v>
      </c>
    </row>
    <row r="9" spans="1:7">
      <c r="B9" s="17" t="s">
        <v>451</v>
      </c>
      <c r="C9" s="15" t="s">
        <v>452</v>
      </c>
      <c r="D9" s="14" t="s">
        <v>323</v>
      </c>
      <c r="E9" s="14" t="s">
        <v>62</v>
      </c>
      <c r="F9" s="15" t="s">
        <v>39</v>
      </c>
    </row>
    <row r="10" spans="1:7">
      <c r="B10" s="52" t="s">
        <v>202</v>
      </c>
      <c r="C10" s="14" t="s">
        <v>691</v>
      </c>
      <c r="D10" s="14" t="s">
        <v>99</v>
      </c>
      <c r="E10" s="14" t="s">
        <v>62</v>
      </c>
      <c r="F10" s="15" t="s">
        <v>42</v>
      </c>
    </row>
    <row r="11" spans="1:7">
      <c r="B11" s="52" t="s">
        <v>203</v>
      </c>
      <c r="C11" s="15" t="s">
        <v>644</v>
      </c>
      <c r="D11" s="14" t="s">
        <v>110</v>
      </c>
      <c r="E11" s="14" t="s">
        <v>324</v>
      </c>
      <c r="F11" s="15" t="s">
        <v>43</v>
      </c>
    </row>
    <row r="12" spans="1:7">
      <c r="B12" s="52" t="s">
        <v>204</v>
      </c>
      <c r="C12" s="15" t="s">
        <v>644</v>
      </c>
      <c r="D12" s="14" t="s">
        <v>118</v>
      </c>
      <c r="E12" s="14" t="s">
        <v>325</v>
      </c>
      <c r="F12" s="15" t="s">
        <v>46</v>
      </c>
    </row>
    <row r="13" spans="1:7">
      <c r="B13" s="52" t="s">
        <v>205</v>
      </c>
      <c r="C13" s="14" t="s">
        <v>645</v>
      </c>
      <c r="D13" s="14" t="s">
        <v>123</v>
      </c>
      <c r="E13" s="14" t="s">
        <v>599</v>
      </c>
      <c r="F13" s="15" t="s">
        <v>47</v>
      </c>
    </row>
    <row r="14" spans="1:7">
      <c r="B14" s="52" t="s">
        <v>206</v>
      </c>
      <c r="C14" s="14" t="s">
        <v>758</v>
      </c>
      <c r="D14" s="14" t="s">
        <v>455</v>
      </c>
      <c r="E14" s="14" t="s">
        <v>762</v>
      </c>
      <c r="F14" s="15" t="s">
        <v>48</v>
      </c>
    </row>
    <row r="15" spans="1:7">
      <c r="B15" s="52" t="s">
        <v>207</v>
      </c>
      <c r="C15" s="25" t="s">
        <v>646</v>
      </c>
      <c r="D15" s="14" t="s">
        <v>157</v>
      </c>
      <c r="E15" s="14" t="s">
        <v>326</v>
      </c>
      <c r="F15" s="15" t="s">
        <v>49</v>
      </c>
    </row>
    <row r="16" spans="1:7">
      <c r="B16" s="52" t="s">
        <v>208</v>
      </c>
      <c r="C16" s="25" t="s">
        <v>647</v>
      </c>
      <c r="D16" s="14" t="s">
        <v>327</v>
      </c>
      <c r="E16" s="14" t="s">
        <v>435</v>
      </c>
      <c r="F16" s="15" t="s">
        <v>54</v>
      </c>
    </row>
    <row r="17" spans="2:6">
      <c r="B17" s="32" t="s">
        <v>836</v>
      </c>
      <c r="C17" s="14" t="s">
        <v>1036</v>
      </c>
      <c r="D17" s="14" t="s">
        <v>304</v>
      </c>
      <c r="E17" s="14" t="s">
        <v>62</v>
      </c>
      <c r="F17" s="15" t="s">
        <v>12</v>
      </c>
    </row>
    <row r="18" spans="2:6">
      <c r="B18" s="32" t="s">
        <v>847</v>
      </c>
      <c r="C18" s="14" t="s">
        <v>1036</v>
      </c>
      <c r="D18" s="14" t="s">
        <v>328</v>
      </c>
      <c r="E18" s="14" t="s">
        <v>681</v>
      </c>
      <c r="F18" s="15" t="s">
        <v>10</v>
      </c>
    </row>
    <row r="19" spans="2:6">
      <c r="B19" s="32" t="s">
        <v>848</v>
      </c>
      <c r="C19" s="14" t="s">
        <v>1036</v>
      </c>
      <c r="D19" s="14" t="s">
        <v>329</v>
      </c>
      <c r="E19" s="14" t="s">
        <v>62</v>
      </c>
      <c r="F19" s="15" t="s">
        <v>13</v>
      </c>
    </row>
    <row r="20" spans="2:6">
      <c r="B20" s="32" t="s">
        <v>849</v>
      </c>
      <c r="C20" s="14" t="s">
        <v>1036</v>
      </c>
      <c r="D20" s="14" t="s">
        <v>330</v>
      </c>
      <c r="E20" s="14" t="s">
        <v>331</v>
      </c>
      <c r="F20" s="15" t="s">
        <v>96</v>
      </c>
    </row>
    <row r="21" spans="2:6">
      <c r="B21" s="94" t="s">
        <v>860</v>
      </c>
      <c r="C21" s="25" t="s">
        <v>1132</v>
      </c>
      <c r="D21" s="14" t="s">
        <v>332</v>
      </c>
      <c r="E21" s="14" t="s">
        <v>641</v>
      </c>
      <c r="F21" s="15" t="s">
        <v>97</v>
      </c>
    </row>
    <row r="22" spans="2:6">
      <c r="B22" s="89" t="s">
        <v>865</v>
      </c>
      <c r="C22" s="25" t="s">
        <v>1132</v>
      </c>
      <c r="D22" s="14" t="s">
        <v>333</v>
      </c>
      <c r="E22" s="14" t="s">
        <v>602</v>
      </c>
      <c r="F22" s="15" t="s">
        <v>103</v>
      </c>
    </row>
    <row r="23" spans="2:6">
      <c r="B23" s="89" t="s">
        <v>866</v>
      </c>
      <c r="C23" s="25" t="s">
        <v>1132</v>
      </c>
      <c r="D23" s="14" t="s">
        <v>334</v>
      </c>
      <c r="E23" s="14" t="s">
        <v>335</v>
      </c>
      <c r="F23" s="15" t="s">
        <v>98</v>
      </c>
    </row>
    <row r="24" spans="2:6">
      <c r="B24" s="89" t="s">
        <v>867</v>
      </c>
      <c r="C24" s="25" t="s">
        <v>1132</v>
      </c>
      <c r="D24" s="14" t="s">
        <v>336</v>
      </c>
      <c r="E24" s="14" t="s">
        <v>337</v>
      </c>
      <c r="F24" s="15" t="s">
        <v>102</v>
      </c>
    </row>
    <row r="25" spans="2:6">
      <c r="B25" s="96" t="s">
        <v>1099</v>
      </c>
      <c r="C25" s="25" t="s">
        <v>1110</v>
      </c>
      <c r="D25" s="14" t="s">
        <v>338</v>
      </c>
      <c r="E25" s="14" t="s">
        <v>339</v>
      </c>
      <c r="F25" s="15" t="s">
        <v>104</v>
      </c>
    </row>
    <row r="26" spans="2:6">
      <c r="B26" s="96" t="s">
        <v>1100</v>
      </c>
      <c r="C26" s="25" t="s">
        <v>1110</v>
      </c>
      <c r="D26" s="14" t="s">
        <v>340</v>
      </c>
      <c r="E26" s="14" t="s">
        <v>121</v>
      </c>
      <c r="F26" s="15" t="s">
        <v>581</v>
      </c>
    </row>
    <row r="27" spans="2:6">
      <c r="B27" s="96" t="s">
        <v>1101</v>
      </c>
      <c r="C27" s="25" t="s">
        <v>1110</v>
      </c>
      <c r="D27" s="14" t="s">
        <v>341</v>
      </c>
      <c r="E27" s="14" t="s">
        <v>62</v>
      </c>
      <c r="F27" s="15" t="s">
        <v>62</v>
      </c>
    </row>
    <row r="28" spans="2:6">
      <c r="B28" s="96" t="s">
        <v>1102</v>
      </c>
      <c r="C28" s="25" t="s">
        <v>1110</v>
      </c>
      <c r="D28" s="14" t="s">
        <v>342</v>
      </c>
      <c r="E28" s="14" t="s">
        <v>62</v>
      </c>
      <c r="F28" s="15" t="s">
        <v>100</v>
      </c>
    </row>
    <row r="29" spans="2:6">
      <c r="B29" s="89" t="s">
        <v>886</v>
      </c>
      <c r="C29" s="25" t="s">
        <v>1092</v>
      </c>
      <c r="D29" s="14" t="s">
        <v>343</v>
      </c>
      <c r="E29" s="14" t="s">
        <v>62</v>
      </c>
      <c r="F29" s="15" t="s">
        <v>101</v>
      </c>
    </row>
    <row r="30" spans="2:6">
      <c r="B30" s="89" t="s">
        <v>887</v>
      </c>
      <c r="C30" s="25" t="s">
        <v>1092</v>
      </c>
      <c r="D30" s="14" t="s">
        <v>344</v>
      </c>
      <c r="E30" s="14" t="s">
        <v>345</v>
      </c>
      <c r="F30" s="15" t="s">
        <v>121</v>
      </c>
    </row>
    <row r="31" spans="2:6">
      <c r="B31" s="89" t="s">
        <v>888</v>
      </c>
      <c r="C31" s="25" t="s">
        <v>1092</v>
      </c>
      <c r="D31" s="14" t="s">
        <v>225</v>
      </c>
      <c r="E31" s="14" t="s">
        <v>226</v>
      </c>
      <c r="F31" s="15" t="s">
        <v>122</v>
      </c>
    </row>
    <row r="32" spans="2:6">
      <c r="B32" s="89" t="s">
        <v>889</v>
      </c>
      <c r="C32" s="25" t="s">
        <v>1092</v>
      </c>
      <c r="D32" s="14" t="s">
        <v>227</v>
      </c>
      <c r="E32" s="14" t="s">
        <v>228</v>
      </c>
      <c r="F32" s="15" t="s">
        <v>191</v>
      </c>
    </row>
    <row r="33" spans="2:6">
      <c r="B33" s="106" t="s">
        <v>890</v>
      </c>
      <c r="C33" s="25" t="s">
        <v>1034</v>
      </c>
      <c r="D33" s="14" t="s">
        <v>229</v>
      </c>
      <c r="E33" s="14" t="s">
        <v>230</v>
      </c>
      <c r="F33" s="15" t="s">
        <v>117</v>
      </c>
    </row>
    <row r="34" spans="2:6">
      <c r="B34" s="106" t="s">
        <v>893</v>
      </c>
      <c r="C34" s="25" t="s">
        <v>1034</v>
      </c>
      <c r="D34" s="14" t="s">
        <v>231</v>
      </c>
      <c r="E34" s="14" t="s">
        <v>62</v>
      </c>
      <c r="F34" s="15" t="s">
        <v>111</v>
      </c>
    </row>
    <row r="35" spans="2:6">
      <c r="B35" s="106" t="s">
        <v>894</v>
      </c>
      <c r="C35" s="25" t="s">
        <v>1034</v>
      </c>
      <c r="D35" s="14" t="s">
        <v>232</v>
      </c>
      <c r="E35" s="14" t="s">
        <v>62</v>
      </c>
      <c r="F35" s="15" t="s">
        <v>112</v>
      </c>
    </row>
    <row r="36" spans="2:6">
      <c r="B36" s="106" t="s">
        <v>895</v>
      </c>
      <c r="C36" s="25" t="s">
        <v>1034</v>
      </c>
      <c r="D36" s="14" t="s">
        <v>229</v>
      </c>
      <c r="E36" s="14" t="s">
        <v>230</v>
      </c>
      <c r="F36" s="15" t="s">
        <v>113</v>
      </c>
    </row>
    <row r="37" spans="2:6">
      <c r="B37" s="89" t="s">
        <v>896</v>
      </c>
      <c r="C37" s="25" t="s">
        <v>1086</v>
      </c>
      <c r="D37" s="14" t="s">
        <v>233</v>
      </c>
      <c r="E37" s="14" t="s">
        <v>62</v>
      </c>
      <c r="F37" s="15" t="s">
        <v>114</v>
      </c>
    </row>
    <row r="38" spans="2:6">
      <c r="B38" s="106" t="s">
        <v>898</v>
      </c>
      <c r="C38" s="25" t="s">
        <v>1086</v>
      </c>
      <c r="D38" s="14" t="s">
        <v>234</v>
      </c>
      <c r="E38" s="14" t="s">
        <v>62</v>
      </c>
      <c r="F38" s="15" t="s">
        <v>115</v>
      </c>
    </row>
    <row r="39" spans="2:6">
      <c r="B39" s="106" t="s">
        <v>899</v>
      </c>
      <c r="C39" s="25" t="s">
        <v>1086</v>
      </c>
      <c r="D39" s="14" t="s">
        <v>227</v>
      </c>
      <c r="E39" s="14" t="s">
        <v>235</v>
      </c>
      <c r="F39" s="15" t="s">
        <v>116</v>
      </c>
    </row>
    <row r="40" spans="2:6">
      <c r="B40" s="106" t="s">
        <v>900</v>
      </c>
      <c r="C40" s="25" t="s">
        <v>1086</v>
      </c>
      <c r="D40" s="14" t="s">
        <v>236</v>
      </c>
      <c r="E40" s="14" t="s">
        <v>62</v>
      </c>
      <c r="F40" s="15" t="s">
        <v>353</v>
      </c>
    </row>
    <row r="41" spans="2:6">
      <c r="B41" s="108" t="s">
        <v>905</v>
      </c>
      <c r="C41" s="25" t="s">
        <v>907</v>
      </c>
      <c r="D41" s="14" t="s">
        <v>237</v>
      </c>
      <c r="E41" s="14" t="s">
        <v>238</v>
      </c>
      <c r="F41" s="15" t="s">
        <v>600</v>
      </c>
    </row>
    <row r="42" spans="2:6">
      <c r="B42" s="89" t="s">
        <v>951</v>
      </c>
      <c r="C42" s="14" t="s">
        <v>1036</v>
      </c>
      <c r="D42" s="14" t="s">
        <v>239</v>
      </c>
      <c r="E42" s="14" t="s">
        <v>62</v>
      </c>
      <c r="F42" s="15" t="s">
        <v>126</v>
      </c>
    </row>
    <row r="43" spans="2:6">
      <c r="B43" s="89" t="s">
        <v>952</v>
      </c>
      <c r="C43" s="14" t="s">
        <v>1036</v>
      </c>
      <c r="D43" s="14" t="s">
        <v>240</v>
      </c>
      <c r="E43" s="14" t="s">
        <v>241</v>
      </c>
      <c r="F43" s="15" t="s">
        <v>125</v>
      </c>
    </row>
    <row r="44" spans="2:6">
      <c r="B44" s="89" t="s">
        <v>953</v>
      </c>
      <c r="C44" s="25" t="s">
        <v>1132</v>
      </c>
      <c r="D44" s="14" t="s">
        <v>242</v>
      </c>
      <c r="E44" s="14" t="s">
        <v>243</v>
      </c>
      <c r="F44" s="15" t="s">
        <v>124</v>
      </c>
    </row>
    <row r="45" spans="2:6">
      <c r="B45" s="89" t="s">
        <v>954</v>
      </c>
      <c r="C45" s="25" t="s">
        <v>1132</v>
      </c>
      <c r="D45" s="14" t="s">
        <v>244</v>
      </c>
      <c r="E45" s="14" t="s">
        <v>62</v>
      </c>
      <c r="F45" s="15" t="s">
        <v>127</v>
      </c>
    </row>
    <row r="46" spans="2:6">
      <c r="B46" s="96" t="s">
        <v>1103</v>
      </c>
      <c r="C46" s="25" t="s">
        <v>1110</v>
      </c>
      <c r="D46" s="14" t="s">
        <v>245</v>
      </c>
      <c r="E46" s="14" t="s">
        <v>62</v>
      </c>
      <c r="F46" s="15" t="s">
        <v>128</v>
      </c>
    </row>
    <row r="47" spans="2:6">
      <c r="B47" s="96" t="s">
        <v>1104</v>
      </c>
      <c r="C47" s="25" t="s">
        <v>1110</v>
      </c>
      <c r="D47" s="14" t="s">
        <v>246</v>
      </c>
      <c r="E47" s="14" t="s">
        <v>62</v>
      </c>
      <c r="F47" s="15" t="s">
        <v>129</v>
      </c>
    </row>
    <row r="48" spans="2:6">
      <c r="B48" s="89" t="s">
        <v>955</v>
      </c>
      <c r="C48" s="25" t="s">
        <v>1092</v>
      </c>
      <c r="D48" s="14" t="s">
        <v>247</v>
      </c>
      <c r="E48" s="14" t="s">
        <v>62</v>
      </c>
      <c r="F48" s="15" t="s">
        <v>130</v>
      </c>
    </row>
    <row r="49" spans="2:6">
      <c r="B49" s="89" t="s">
        <v>956</v>
      </c>
      <c r="C49" s="25" t="s">
        <v>1092</v>
      </c>
      <c r="D49" s="14" t="s">
        <v>248</v>
      </c>
      <c r="E49" s="14" t="s">
        <v>11</v>
      </c>
      <c r="F49" s="15" t="s">
        <v>131</v>
      </c>
    </row>
    <row r="50" spans="2:6">
      <c r="B50" s="106" t="s">
        <v>957</v>
      </c>
      <c r="C50" s="25" t="s">
        <v>1034</v>
      </c>
      <c r="D50" s="14" t="s">
        <v>249</v>
      </c>
      <c r="E50" s="14" t="s">
        <v>196</v>
      </c>
      <c r="F50" s="15" t="s">
        <v>132</v>
      </c>
    </row>
    <row r="51" spans="2:6">
      <c r="B51" s="106" t="s">
        <v>958</v>
      </c>
      <c r="C51" s="25" t="s">
        <v>1034</v>
      </c>
      <c r="D51" s="14" t="s">
        <v>250</v>
      </c>
      <c r="E51" s="14" t="s">
        <v>196</v>
      </c>
      <c r="F51" s="15" t="s">
        <v>133</v>
      </c>
    </row>
    <row r="52" spans="2:6">
      <c r="B52" s="106" t="s">
        <v>959</v>
      </c>
      <c r="C52" s="25" t="s">
        <v>1086</v>
      </c>
      <c r="D52" s="14" t="s">
        <v>251</v>
      </c>
      <c r="E52" s="14" t="s">
        <v>252</v>
      </c>
      <c r="F52" s="15" t="s">
        <v>134</v>
      </c>
    </row>
    <row r="53" spans="2:6">
      <c r="B53" s="106" t="s">
        <v>960</v>
      </c>
      <c r="C53" s="25" t="s">
        <v>1086</v>
      </c>
      <c r="D53" s="14" t="s">
        <v>253</v>
      </c>
      <c r="E53" s="14" t="s">
        <v>196</v>
      </c>
      <c r="F53" s="15" t="s">
        <v>135</v>
      </c>
    </row>
    <row r="54" spans="2:6" ht="14.25" customHeight="1">
      <c r="B54" s="106" t="s">
        <v>961</v>
      </c>
      <c r="C54" s="25" t="s">
        <v>907</v>
      </c>
      <c r="D54" s="14" t="s">
        <v>254</v>
      </c>
      <c r="E54" s="14" t="s">
        <v>255</v>
      </c>
      <c r="F54" s="15" t="s">
        <v>136</v>
      </c>
    </row>
    <row r="55" spans="2:6" ht="12.75" customHeight="1">
      <c r="B55" s="106" t="s">
        <v>962</v>
      </c>
      <c r="C55" s="25" t="s">
        <v>907</v>
      </c>
      <c r="D55" s="14" t="s">
        <v>256</v>
      </c>
      <c r="E55" s="14" t="s">
        <v>746</v>
      </c>
      <c r="F55" s="15" t="s">
        <v>137</v>
      </c>
    </row>
    <row r="56" spans="2:6" ht="16.5" customHeight="1">
      <c r="B56" s="106" t="s">
        <v>964</v>
      </c>
      <c r="C56" s="25" t="s">
        <v>973</v>
      </c>
      <c r="D56" s="34" t="s">
        <v>222</v>
      </c>
      <c r="E56" s="24" t="s">
        <v>747</v>
      </c>
      <c r="F56" s="15" t="s">
        <v>138</v>
      </c>
    </row>
    <row r="57" spans="2:6" ht="14.25" customHeight="1">
      <c r="B57" s="106" t="s">
        <v>1001</v>
      </c>
      <c r="C57" s="25" t="s">
        <v>973</v>
      </c>
      <c r="D57" s="14" t="s">
        <v>198</v>
      </c>
      <c r="E57" s="14" t="s">
        <v>197</v>
      </c>
      <c r="F57" s="15" t="s">
        <v>659</v>
      </c>
    </row>
    <row r="58" spans="2:6" ht="15.75" customHeight="1">
      <c r="B58" s="106" t="s">
        <v>1003</v>
      </c>
      <c r="C58" s="25" t="s">
        <v>973</v>
      </c>
      <c r="D58" s="14" t="s">
        <v>199</v>
      </c>
      <c r="E58" s="24" t="s">
        <v>301</v>
      </c>
      <c r="F58" s="15" t="s">
        <v>139</v>
      </c>
    </row>
    <row r="59" spans="2:6" ht="16.5" customHeight="1">
      <c r="B59" s="106" t="s">
        <v>1002</v>
      </c>
      <c r="C59" s="25" t="s">
        <v>973</v>
      </c>
      <c r="D59" s="34" t="s">
        <v>257</v>
      </c>
      <c r="E59" s="24" t="s">
        <v>752</v>
      </c>
      <c r="F59" s="15" t="s">
        <v>140</v>
      </c>
    </row>
    <row r="60" spans="2:6" ht="15" customHeight="1">
      <c r="B60" s="106" t="s">
        <v>1004</v>
      </c>
      <c r="C60" s="25" t="s">
        <v>973</v>
      </c>
      <c r="D60" s="14" t="s">
        <v>258</v>
      </c>
      <c r="E60" s="24" t="s">
        <v>682</v>
      </c>
      <c r="F60" s="15" t="s">
        <v>141</v>
      </c>
    </row>
    <row r="61" spans="2:6" ht="18" customHeight="1">
      <c r="B61" s="106" t="s">
        <v>1005</v>
      </c>
      <c r="C61" s="25" t="s">
        <v>973</v>
      </c>
      <c r="D61" s="14" t="s">
        <v>259</v>
      </c>
      <c r="E61" s="24" t="s">
        <v>301</v>
      </c>
      <c r="F61" s="15" t="s">
        <v>354</v>
      </c>
    </row>
    <row r="62" spans="2:6">
      <c r="B62" s="116" t="s">
        <v>1048</v>
      </c>
      <c r="C62" s="25" t="s">
        <v>1049</v>
      </c>
      <c r="D62" s="14" t="s">
        <v>260</v>
      </c>
      <c r="E62" s="14" t="s">
        <v>62</v>
      </c>
      <c r="F62" s="15" t="s">
        <v>375</v>
      </c>
    </row>
    <row r="63" spans="2:6">
      <c r="B63" s="116" t="s">
        <v>1053</v>
      </c>
      <c r="C63" s="25" t="s">
        <v>1049</v>
      </c>
      <c r="D63" s="53" t="s">
        <v>261</v>
      </c>
      <c r="E63" s="24" t="s">
        <v>196</v>
      </c>
      <c r="F63" s="15" t="s">
        <v>142</v>
      </c>
    </row>
    <row r="64" spans="2:6">
      <c r="B64" s="116" t="s">
        <v>1054</v>
      </c>
      <c r="C64" s="25" t="s">
        <v>1049</v>
      </c>
      <c r="D64" s="14" t="s">
        <v>223</v>
      </c>
      <c r="E64" s="14" t="s">
        <v>62</v>
      </c>
      <c r="F64" s="15" t="s">
        <v>143</v>
      </c>
    </row>
    <row r="65" spans="2:6">
      <c r="B65" s="116" t="s">
        <v>1055</v>
      </c>
      <c r="C65" s="25" t="s">
        <v>1049</v>
      </c>
      <c r="D65" s="14" t="s">
        <v>262</v>
      </c>
      <c r="E65" s="14" t="s">
        <v>750</v>
      </c>
      <c r="F65" s="15" t="s">
        <v>144</v>
      </c>
    </row>
    <row r="66" spans="2:6">
      <c r="B66" s="116" t="s">
        <v>1056</v>
      </c>
      <c r="C66" s="25" t="s">
        <v>1049</v>
      </c>
      <c r="D66" s="14" t="s">
        <v>263</v>
      </c>
      <c r="E66" s="14" t="s">
        <v>196</v>
      </c>
      <c r="F66" s="15" t="s">
        <v>145</v>
      </c>
    </row>
    <row r="67" spans="2:6">
      <c r="B67" s="116" t="s">
        <v>1057</v>
      </c>
      <c r="C67" s="25" t="s">
        <v>1063</v>
      </c>
      <c r="D67" s="14" t="s">
        <v>224</v>
      </c>
      <c r="E67" s="14" t="s">
        <v>264</v>
      </c>
      <c r="F67" s="15" t="s">
        <v>146</v>
      </c>
    </row>
    <row r="68" spans="2:6">
      <c r="B68" s="116" t="s">
        <v>1058</v>
      </c>
      <c r="C68" s="25" t="s">
        <v>1063</v>
      </c>
      <c r="D68" s="14" t="s">
        <v>265</v>
      </c>
      <c r="E68" s="14" t="s">
        <v>62</v>
      </c>
      <c r="F68" s="15" t="s">
        <v>147</v>
      </c>
    </row>
    <row r="69" spans="2:6">
      <c r="B69" s="116" t="s">
        <v>1059</v>
      </c>
      <c r="C69" s="25" t="s">
        <v>1063</v>
      </c>
      <c r="D69" s="14" t="s">
        <v>266</v>
      </c>
      <c r="E69" s="14" t="s">
        <v>757</v>
      </c>
      <c r="F69" s="15" t="s">
        <v>148</v>
      </c>
    </row>
    <row r="70" spans="2:6">
      <c r="B70" s="116" t="s">
        <v>1060</v>
      </c>
      <c r="C70" s="25" t="s">
        <v>1063</v>
      </c>
      <c r="D70" s="14" t="s">
        <v>267</v>
      </c>
      <c r="E70" s="14" t="s">
        <v>62</v>
      </c>
      <c r="F70" s="15" t="s">
        <v>159</v>
      </c>
    </row>
    <row r="71" spans="2:6" ht="14.25" customHeight="1">
      <c r="B71" s="116" t="s">
        <v>1061</v>
      </c>
      <c r="C71" s="25" t="s">
        <v>1063</v>
      </c>
      <c r="D71" s="86" t="s">
        <v>302</v>
      </c>
      <c r="E71" s="24" t="s">
        <v>301</v>
      </c>
      <c r="F71" s="15" t="s">
        <v>149</v>
      </c>
    </row>
    <row r="72" spans="2:6">
      <c r="B72" s="116" t="s">
        <v>1105</v>
      </c>
      <c r="C72" s="25" t="s">
        <v>1136</v>
      </c>
      <c r="D72" s="53" t="s">
        <v>309</v>
      </c>
      <c r="E72" s="24" t="s">
        <v>62</v>
      </c>
      <c r="F72" s="15" t="s">
        <v>150</v>
      </c>
    </row>
    <row r="73" spans="2:6">
      <c r="B73" s="116" t="s">
        <v>1106</v>
      </c>
      <c r="C73" s="25" t="s">
        <v>1136</v>
      </c>
      <c r="D73" s="14" t="s">
        <v>310</v>
      </c>
      <c r="E73" s="14" t="s">
        <v>311</v>
      </c>
      <c r="F73" s="15" t="s">
        <v>151</v>
      </c>
    </row>
    <row r="74" spans="2:6">
      <c r="B74" s="116" t="s">
        <v>1107</v>
      </c>
      <c r="C74" s="25" t="s">
        <v>1136</v>
      </c>
      <c r="D74" s="14" t="s">
        <v>312</v>
      </c>
      <c r="E74" s="14" t="s">
        <v>313</v>
      </c>
      <c r="F74" s="15" t="s">
        <v>152</v>
      </c>
    </row>
    <row r="75" spans="2:6">
      <c r="B75" s="116" t="s">
        <v>1108</v>
      </c>
      <c r="C75" s="25" t="s">
        <v>1110</v>
      </c>
      <c r="D75" s="14" t="s">
        <v>314</v>
      </c>
      <c r="E75" s="14" t="s">
        <v>315</v>
      </c>
      <c r="F75" s="15" t="s">
        <v>153</v>
      </c>
    </row>
    <row r="76" spans="2:6">
      <c r="B76" s="116" t="s">
        <v>1109</v>
      </c>
      <c r="C76" s="25" t="s">
        <v>1136</v>
      </c>
      <c r="D76" s="14" t="s">
        <v>198</v>
      </c>
      <c r="E76" s="14" t="s">
        <v>197</v>
      </c>
      <c r="F76" s="15" t="s">
        <v>154</v>
      </c>
    </row>
    <row r="77" spans="2:6">
      <c r="B77" s="89" t="s">
        <v>1149</v>
      </c>
      <c r="C77" s="25" t="s">
        <v>1148</v>
      </c>
      <c r="D77" s="14" t="s">
        <v>316</v>
      </c>
      <c r="E77" s="14" t="s">
        <v>317</v>
      </c>
      <c r="F77" s="15" t="s">
        <v>355</v>
      </c>
    </row>
    <row r="78" spans="2:6">
      <c r="B78" s="89" t="s">
        <v>1150</v>
      </c>
      <c r="C78" s="25" t="s">
        <v>1148</v>
      </c>
      <c r="D78" s="14" t="s">
        <v>318</v>
      </c>
      <c r="E78" s="14" t="s">
        <v>606</v>
      </c>
      <c r="F78" s="15" t="s">
        <v>356</v>
      </c>
    </row>
    <row r="79" spans="2:6">
      <c r="B79" s="89" t="s">
        <v>1151</v>
      </c>
      <c r="C79" s="25" t="s">
        <v>1148</v>
      </c>
      <c r="D79" s="14" t="s">
        <v>319</v>
      </c>
      <c r="E79" s="14" t="s">
        <v>608</v>
      </c>
      <c r="F79" s="15" t="s">
        <v>155</v>
      </c>
    </row>
    <row r="80" spans="2:6">
      <c r="B80" s="89" t="s">
        <v>1152</v>
      </c>
      <c r="C80" s="25" t="s">
        <v>1148</v>
      </c>
      <c r="D80" s="14" t="s">
        <v>320</v>
      </c>
      <c r="E80" s="14" t="s">
        <v>62</v>
      </c>
      <c r="F80" s="15" t="s">
        <v>156</v>
      </c>
    </row>
    <row r="81" spans="2:6">
      <c r="B81" s="89" t="s">
        <v>1153</v>
      </c>
      <c r="C81" s="25" t="s">
        <v>1148</v>
      </c>
      <c r="D81" s="14" t="s">
        <v>351</v>
      </c>
      <c r="E81" s="24" t="s">
        <v>352</v>
      </c>
      <c r="F81" s="15" t="s">
        <v>345</v>
      </c>
    </row>
    <row r="82" spans="2:6">
      <c r="D82" s="14" t="s">
        <v>438</v>
      </c>
      <c r="E82" s="14" t="s">
        <v>454</v>
      </c>
      <c r="F82" s="15" t="s">
        <v>158</v>
      </c>
    </row>
    <row r="83" spans="2:6">
      <c r="D83" s="14" t="s">
        <v>456</v>
      </c>
      <c r="E83" s="14" t="s">
        <v>457</v>
      </c>
      <c r="F83" s="15" t="s">
        <v>243</v>
      </c>
    </row>
    <row r="84" spans="2:6">
      <c r="D84" s="14" t="s">
        <v>462</v>
      </c>
      <c r="E84" s="14" t="s">
        <v>596</v>
      </c>
      <c r="F84" s="15" t="s">
        <v>357</v>
      </c>
    </row>
    <row r="85" spans="2:6">
      <c r="D85" s="14" t="s">
        <v>463</v>
      </c>
      <c r="E85" s="14" t="s">
        <v>585</v>
      </c>
      <c r="F85" s="15" t="s">
        <v>358</v>
      </c>
    </row>
    <row r="86" spans="2:6">
      <c r="D86" s="14" t="s">
        <v>472</v>
      </c>
      <c r="E86" s="14" t="s">
        <v>473</v>
      </c>
      <c r="F86" s="15" t="s">
        <v>604</v>
      </c>
    </row>
    <row r="87" spans="2:6">
      <c r="D87" s="14" t="s">
        <v>474</v>
      </c>
      <c r="E87" s="14" t="s">
        <v>475</v>
      </c>
      <c r="F87" s="15" t="s">
        <v>119</v>
      </c>
    </row>
    <row r="88" spans="2:6">
      <c r="D88" s="14" t="s">
        <v>471</v>
      </c>
      <c r="E88" s="14" t="s">
        <v>593</v>
      </c>
      <c r="F88" s="15" t="s">
        <v>359</v>
      </c>
    </row>
    <row r="89" spans="2:6">
      <c r="D89" s="14" t="s">
        <v>476</v>
      </c>
      <c r="E89" s="14" t="s">
        <v>477</v>
      </c>
      <c r="F89" s="15" t="s">
        <v>120</v>
      </c>
    </row>
    <row r="90" spans="2:6">
      <c r="D90" s="14" t="s">
        <v>478</v>
      </c>
      <c r="E90" s="14" t="s">
        <v>479</v>
      </c>
      <c r="F90" s="15" t="s">
        <v>598</v>
      </c>
    </row>
    <row r="91" spans="2:6">
      <c r="D91" s="14" t="s">
        <v>480</v>
      </c>
      <c r="E91" s="14" t="s">
        <v>473</v>
      </c>
      <c r="F91" s="15" t="s">
        <v>640</v>
      </c>
    </row>
    <row r="92" spans="2:6">
      <c r="D92" s="14" t="s">
        <v>470</v>
      </c>
      <c r="E92" s="14" t="s">
        <v>527</v>
      </c>
      <c r="F92" s="15" t="s">
        <v>360</v>
      </c>
    </row>
    <row r="93" spans="2:6">
      <c r="D93" s="14" t="s">
        <v>480</v>
      </c>
      <c r="E93" s="14" t="s">
        <v>475</v>
      </c>
      <c r="F93" s="15" t="s">
        <v>361</v>
      </c>
    </row>
    <row r="94" spans="2:6">
      <c r="D94" s="14" t="s">
        <v>575</v>
      </c>
      <c r="E94" s="14" t="s">
        <v>62</v>
      </c>
      <c r="F94" s="15" t="s">
        <v>362</v>
      </c>
    </row>
    <row r="95" spans="2:6">
      <c r="D95" s="14" t="s">
        <v>576</v>
      </c>
      <c r="E95" s="14" t="s">
        <v>62</v>
      </c>
      <c r="F95" s="15" t="s">
        <v>374</v>
      </c>
    </row>
    <row r="96" spans="2:6">
      <c r="D96" s="14" t="s">
        <v>578</v>
      </c>
      <c r="E96" s="14" t="s">
        <v>583</v>
      </c>
      <c r="F96" s="15" t="s">
        <v>363</v>
      </c>
    </row>
    <row r="97" spans="4:6">
      <c r="D97" s="15" t="s">
        <v>586</v>
      </c>
      <c r="E97" s="15" t="s">
        <v>62</v>
      </c>
      <c r="F97" s="15" t="s">
        <v>364</v>
      </c>
    </row>
    <row r="98" spans="4:6">
      <c r="D98" s="15" t="s">
        <v>587</v>
      </c>
      <c r="E98" s="15" t="s">
        <v>62</v>
      </c>
      <c r="F98" s="15" t="s">
        <v>365</v>
      </c>
    </row>
    <row r="99" spans="4:6">
      <c r="D99" s="15" t="s">
        <v>588</v>
      </c>
      <c r="E99" s="15" t="s">
        <v>62</v>
      </c>
      <c r="F99" s="15" t="s">
        <v>366</v>
      </c>
    </row>
    <row r="100" spans="4:6">
      <c r="D100" s="14" t="s">
        <v>578</v>
      </c>
      <c r="E100" s="14" t="s">
        <v>583</v>
      </c>
      <c r="F100" s="15" t="s">
        <v>433</v>
      </c>
    </row>
    <row r="101" spans="4:6">
      <c r="D101" s="14" t="s">
        <v>592</v>
      </c>
      <c r="E101" s="15" t="s">
        <v>62</v>
      </c>
      <c r="F101" s="15" t="s">
        <v>367</v>
      </c>
    </row>
    <row r="102" spans="4:6">
      <c r="D102" s="14" t="s">
        <v>594</v>
      </c>
      <c r="E102" s="14" t="s">
        <v>62</v>
      </c>
      <c r="F102" s="15" t="s">
        <v>368</v>
      </c>
    </row>
    <row r="103" spans="4:6">
      <c r="D103" s="14" t="s">
        <v>597</v>
      </c>
      <c r="E103" s="14" t="s">
        <v>62</v>
      </c>
      <c r="F103" s="15" t="s">
        <v>369</v>
      </c>
    </row>
    <row r="104" spans="4:6">
      <c r="D104" s="13" t="s">
        <v>612</v>
      </c>
      <c r="E104" s="15" t="s">
        <v>613</v>
      </c>
      <c r="F104" s="15" t="s">
        <v>370</v>
      </c>
    </row>
    <row r="105" spans="4:6">
      <c r="D105" s="27" t="s">
        <v>614</v>
      </c>
      <c r="E105" s="15" t="s">
        <v>62</v>
      </c>
      <c r="F105" s="15" t="s">
        <v>371</v>
      </c>
    </row>
    <row r="106" spans="4:6">
      <c r="D106" s="13" t="s">
        <v>615</v>
      </c>
      <c r="E106" s="14" t="s">
        <v>616</v>
      </c>
      <c r="F106" s="15" t="s">
        <v>372</v>
      </c>
    </row>
    <row r="107" spans="4:6">
      <c r="D107" s="13" t="s">
        <v>611</v>
      </c>
      <c r="E107" s="27" t="s">
        <v>617</v>
      </c>
      <c r="F107" s="15" t="s">
        <v>601</v>
      </c>
    </row>
    <row r="108" spans="4:6">
      <c r="D108" s="13" t="s">
        <v>618</v>
      </c>
      <c r="E108" s="14" t="s">
        <v>62</v>
      </c>
      <c r="F108" s="15" t="s">
        <v>373</v>
      </c>
    </row>
    <row r="109" spans="4:6">
      <c r="D109" s="27" t="s">
        <v>619</v>
      </c>
      <c r="E109" s="14" t="s">
        <v>620</v>
      </c>
      <c r="F109" s="15" t="s">
        <v>376</v>
      </c>
    </row>
    <row r="110" spans="4:6">
      <c r="D110" s="13" t="s">
        <v>621</v>
      </c>
      <c r="E110" s="15" t="s">
        <v>613</v>
      </c>
      <c r="F110" s="15" t="s">
        <v>377</v>
      </c>
    </row>
    <row r="111" spans="4:6">
      <c r="D111" s="13" t="s">
        <v>622</v>
      </c>
      <c r="E111" s="27" t="s">
        <v>623</v>
      </c>
      <c r="F111" s="15" t="s">
        <v>378</v>
      </c>
    </row>
    <row r="112" spans="4:6">
      <c r="D112" s="13" t="s">
        <v>624</v>
      </c>
      <c r="E112" s="27" t="s">
        <v>623</v>
      </c>
      <c r="F112" s="15" t="s">
        <v>379</v>
      </c>
    </row>
    <row r="113" spans="4:6">
      <c r="D113" s="47" t="s">
        <v>642</v>
      </c>
      <c r="E113" s="46" t="s">
        <v>11</v>
      </c>
      <c r="F113" s="15" t="s">
        <v>380</v>
      </c>
    </row>
    <row r="114" spans="4:6">
      <c r="D114" s="47" t="s">
        <v>643</v>
      </c>
      <c r="E114" s="46" t="s">
        <v>11</v>
      </c>
      <c r="F114" s="15" t="s">
        <v>381</v>
      </c>
    </row>
    <row r="115" spans="4:6">
      <c r="D115" s="46" t="s">
        <v>652</v>
      </c>
      <c r="E115" s="46" t="s">
        <v>62</v>
      </c>
      <c r="F115" s="15" t="s">
        <v>382</v>
      </c>
    </row>
    <row r="116" spans="4:6">
      <c r="D116" s="46" t="s">
        <v>653</v>
      </c>
      <c r="E116" s="46" t="s">
        <v>654</v>
      </c>
      <c r="F116" s="15" t="s">
        <v>383</v>
      </c>
    </row>
    <row r="117" spans="4:6">
      <c r="D117" s="46" t="s">
        <v>655</v>
      </c>
      <c r="E117" s="46" t="s">
        <v>98</v>
      </c>
      <c r="F117" s="15" t="s">
        <v>268</v>
      </c>
    </row>
    <row r="118" spans="4:6" ht="45">
      <c r="D118" s="34" t="s">
        <v>665</v>
      </c>
      <c r="E118" s="24" t="s">
        <v>666</v>
      </c>
      <c r="F118" s="15" t="s">
        <v>269</v>
      </c>
    </row>
    <row r="119" spans="4:6" ht="45">
      <c r="D119" s="46" t="s">
        <v>667</v>
      </c>
      <c r="E119" s="24" t="s">
        <v>668</v>
      </c>
      <c r="F119" s="15" t="s">
        <v>270</v>
      </c>
    </row>
    <row r="120" spans="4:6">
      <c r="D120" s="46" t="s">
        <v>669</v>
      </c>
      <c r="E120" s="46" t="s">
        <v>98</v>
      </c>
      <c r="F120" s="15" t="s">
        <v>271</v>
      </c>
    </row>
    <row r="121" spans="4:6">
      <c r="D121" s="46" t="s">
        <v>670</v>
      </c>
      <c r="E121" s="46" t="s">
        <v>654</v>
      </c>
      <c r="F121" s="15" t="s">
        <v>272</v>
      </c>
    </row>
    <row r="122" spans="4:6">
      <c r="D122" s="47" t="s">
        <v>671</v>
      </c>
      <c r="E122" s="46" t="s">
        <v>331</v>
      </c>
      <c r="F122" s="15" t="s">
        <v>273</v>
      </c>
    </row>
    <row r="123" spans="4:6">
      <c r="D123" s="47" t="s">
        <v>672</v>
      </c>
      <c r="E123" s="46" t="s">
        <v>673</v>
      </c>
      <c r="F123" s="15" t="s">
        <v>230</v>
      </c>
    </row>
    <row r="124" spans="4:6">
      <c r="D124" s="47" t="s">
        <v>674</v>
      </c>
      <c r="E124" s="46" t="s">
        <v>599</v>
      </c>
      <c r="F124" s="15" t="s">
        <v>274</v>
      </c>
    </row>
    <row r="125" spans="4:6">
      <c r="D125" s="46" t="s">
        <v>675</v>
      </c>
      <c r="E125" s="46" t="s">
        <v>676</v>
      </c>
      <c r="F125" s="15" t="s">
        <v>275</v>
      </c>
    </row>
    <row r="126" spans="4:6">
      <c r="D126" s="47" t="s">
        <v>677</v>
      </c>
      <c r="E126" s="46" t="s">
        <v>743</v>
      </c>
      <c r="F126" s="15" t="s">
        <v>276</v>
      </c>
    </row>
    <row r="127" spans="4:6">
      <c r="D127" s="46" t="s">
        <v>678</v>
      </c>
      <c r="E127" s="46" t="s">
        <v>62</v>
      </c>
      <c r="F127" s="15" t="s">
        <v>277</v>
      </c>
    </row>
    <row r="128" spans="4:6">
      <c r="D128" s="14" t="s">
        <v>657</v>
      </c>
      <c r="E128" s="14" t="s">
        <v>639</v>
      </c>
      <c r="F128" s="15" t="s">
        <v>278</v>
      </c>
    </row>
    <row r="129" spans="4:6">
      <c r="D129" s="14" t="s">
        <v>656</v>
      </c>
      <c r="E129" s="14" t="s">
        <v>325</v>
      </c>
      <c r="F129" s="15" t="s">
        <v>279</v>
      </c>
    </row>
    <row r="130" spans="4:6">
      <c r="D130" s="14" t="s">
        <v>658</v>
      </c>
      <c r="E130" s="14" t="s">
        <v>324</v>
      </c>
      <c r="F130" s="15" t="s">
        <v>280</v>
      </c>
    </row>
    <row r="131" spans="4:6">
      <c r="D131" s="14" t="s">
        <v>661</v>
      </c>
      <c r="E131" s="14" t="s">
        <v>62</v>
      </c>
      <c r="F131" s="15" t="s">
        <v>281</v>
      </c>
    </row>
    <row r="132" spans="4:6">
      <c r="D132" s="14" t="s">
        <v>662</v>
      </c>
      <c r="E132" s="14" t="s">
        <v>599</v>
      </c>
      <c r="F132" s="15" t="s">
        <v>282</v>
      </c>
    </row>
    <row r="133" spans="4:6">
      <c r="D133" s="14" t="s">
        <v>663</v>
      </c>
      <c r="E133" s="14" t="s">
        <v>331</v>
      </c>
      <c r="F133" s="15" t="s">
        <v>196</v>
      </c>
    </row>
    <row r="134" spans="4:6">
      <c r="D134" s="14" t="s">
        <v>664</v>
      </c>
      <c r="E134" s="14" t="s">
        <v>641</v>
      </c>
      <c r="F134" s="15" t="s">
        <v>0</v>
      </c>
    </row>
    <row r="135" spans="4:6">
      <c r="D135" s="14" t="s">
        <v>664</v>
      </c>
      <c r="E135" s="14" t="s">
        <v>641</v>
      </c>
      <c r="F135" s="15" t="s">
        <v>648</v>
      </c>
    </row>
    <row r="136" spans="4:6">
      <c r="D136" s="51" t="s">
        <v>686</v>
      </c>
      <c r="E136" s="51" t="s">
        <v>706</v>
      </c>
      <c r="F136" s="15" t="s">
        <v>649</v>
      </c>
    </row>
    <row r="137" spans="4:6">
      <c r="D137" s="32" t="s">
        <v>687</v>
      </c>
      <c r="E137" s="51" t="s">
        <v>708</v>
      </c>
      <c r="F137" s="15" t="s">
        <v>650</v>
      </c>
    </row>
    <row r="138" spans="4:6">
      <c r="D138" s="14" t="s">
        <v>688</v>
      </c>
      <c r="E138" s="51" t="s">
        <v>706</v>
      </c>
      <c r="F138" s="15" t="s">
        <v>651</v>
      </c>
    </row>
    <row r="139" spans="4:6">
      <c r="D139" s="47" t="s">
        <v>642</v>
      </c>
      <c r="E139" s="46" t="s">
        <v>11</v>
      </c>
      <c r="F139" s="15" t="s">
        <v>197</v>
      </c>
    </row>
    <row r="140" spans="4:6">
      <c r="D140" s="51" t="s">
        <v>685</v>
      </c>
      <c r="E140" s="51" t="s">
        <v>761</v>
      </c>
      <c r="F140" s="15" t="s">
        <v>200</v>
      </c>
    </row>
    <row r="141" spans="4:6">
      <c r="D141" s="50" t="s">
        <v>689</v>
      </c>
      <c r="E141" s="51" t="s">
        <v>690</v>
      </c>
      <c r="F141" s="15" t="s">
        <v>300</v>
      </c>
    </row>
    <row r="142" spans="4:6">
      <c r="D142" s="32" t="s">
        <v>683</v>
      </c>
      <c r="E142" s="51" t="s">
        <v>62</v>
      </c>
      <c r="F142" s="15" t="s">
        <v>286</v>
      </c>
    </row>
    <row r="143" spans="4:6">
      <c r="D143" s="49" t="s">
        <v>684</v>
      </c>
      <c r="E143" s="51" t="s">
        <v>243</v>
      </c>
      <c r="F143" s="15" t="s">
        <v>284</v>
      </c>
    </row>
    <row r="144" spans="4:6">
      <c r="D144" s="14" t="s">
        <v>699</v>
      </c>
      <c r="E144" s="14" t="s">
        <v>700</v>
      </c>
      <c r="F144" s="15" t="s">
        <v>194</v>
      </c>
    </row>
    <row r="145" spans="4:6">
      <c r="D145" s="14" t="s">
        <v>702</v>
      </c>
      <c r="E145" s="24" t="s">
        <v>196</v>
      </c>
      <c r="F145" s="15" t="s">
        <v>679</v>
      </c>
    </row>
    <row r="146" spans="4:6">
      <c r="D146" s="14" t="s">
        <v>704</v>
      </c>
      <c r="E146" s="51" t="s">
        <v>754</v>
      </c>
      <c r="F146" s="15" t="s">
        <v>680</v>
      </c>
    </row>
    <row r="147" spans="4:6">
      <c r="D147" s="14" t="s">
        <v>709</v>
      </c>
      <c r="E147" s="14" t="s">
        <v>196</v>
      </c>
      <c r="F147" s="15" t="s">
        <v>285</v>
      </c>
    </row>
    <row r="148" spans="4:6">
      <c r="D148" s="14" t="s">
        <v>710</v>
      </c>
      <c r="E148" s="14" t="s">
        <v>62</v>
      </c>
      <c r="F148" s="15" t="s">
        <v>283</v>
      </c>
    </row>
    <row r="149" spans="4:6">
      <c r="D149" s="14" t="s">
        <v>711</v>
      </c>
      <c r="E149" s="14" t="s">
        <v>196</v>
      </c>
      <c r="F149" s="15" t="s">
        <v>193</v>
      </c>
    </row>
    <row r="150" spans="4:6" ht="30">
      <c r="D150" s="14" t="s">
        <v>712</v>
      </c>
      <c r="E150" s="24" t="s">
        <v>715</v>
      </c>
      <c r="F150" s="15" t="s">
        <v>287</v>
      </c>
    </row>
    <row r="151" spans="4:6" ht="30">
      <c r="D151" s="14" t="s">
        <v>712</v>
      </c>
      <c r="E151" s="24" t="s">
        <v>715</v>
      </c>
      <c r="F151" s="15" t="s">
        <v>748</v>
      </c>
    </row>
    <row r="152" spans="4:6">
      <c r="D152" s="14" t="s">
        <v>716</v>
      </c>
      <c r="E152" s="14" t="s">
        <v>751</v>
      </c>
      <c r="F152" s="15" t="s">
        <v>749</v>
      </c>
    </row>
    <row r="153" spans="4:6">
      <c r="D153" s="14" t="s">
        <v>744</v>
      </c>
      <c r="E153" s="14" t="s">
        <v>745</v>
      </c>
      <c r="F153" s="15" t="s">
        <v>288</v>
      </c>
    </row>
    <row r="154" spans="4:6">
      <c r="D154" s="14" t="s">
        <v>763</v>
      </c>
      <c r="E154" s="14" t="s">
        <v>62</v>
      </c>
      <c r="F154" s="15" t="s">
        <v>755</v>
      </c>
    </row>
    <row r="155" spans="4:6">
      <c r="D155" s="14" t="s">
        <v>765</v>
      </c>
      <c r="E155" s="14" t="s">
        <v>196</v>
      </c>
      <c r="F155" s="15" t="s">
        <v>756</v>
      </c>
    </row>
    <row r="156" spans="4:6">
      <c r="D156" s="14" t="s">
        <v>766</v>
      </c>
      <c r="E156" s="14" t="s">
        <v>196</v>
      </c>
      <c r="F156" s="15" t="s">
        <v>384</v>
      </c>
    </row>
    <row r="157" spans="4:6">
      <c r="D157" s="14" t="s">
        <v>772</v>
      </c>
      <c r="E157" s="14" t="s">
        <v>774</v>
      </c>
      <c r="F157" s="15" t="s">
        <v>385</v>
      </c>
    </row>
    <row r="158" spans="4:6">
      <c r="D158" s="14" t="s">
        <v>768</v>
      </c>
      <c r="E158" s="14" t="s">
        <v>830</v>
      </c>
      <c r="F158" s="15" t="s">
        <v>386</v>
      </c>
    </row>
    <row r="159" spans="4:6">
      <c r="D159" s="14" t="s">
        <v>773</v>
      </c>
      <c r="E159" s="14" t="s">
        <v>775</v>
      </c>
      <c r="F159" s="15" t="s">
        <v>195</v>
      </c>
    </row>
    <row r="160" spans="4:6">
      <c r="D160" s="14" t="s">
        <v>769</v>
      </c>
      <c r="E160" s="14" t="s">
        <v>62</v>
      </c>
      <c r="F160" s="15" t="s">
        <v>387</v>
      </c>
    </row>
    <row r="161" spans="4:6">
      <c r="D161" s="14" t="s">
        <v>770</v>
      </c>
      <c r="E161" s="14" t="s">
        <v>62</v>
      </c>
      <c r="F161" s="15" t="s">
        <v>388</v>
      </c>
    </row>
    <row r="162" spans="4:6">
      <c r="D162" s="14" t="s">
        <v>771</v>
      </c>
      <c r="E162" s="14" t="s">
        <v>62</v>
      </c>
      <c r="F162" s="15" t="s">
        <v>389</v>
      </c>
    </row>
    <row r="163" spans="4:6">
      <c r="D163" s="14" t="s">
        <v>831</v>
      </c>
      <c r="E163" s="14" t="s">
        <v>196</v>
      </c>
      <c r="F163" s="15" t="s">
        <v>390</v>
      </c>
    </row>
    <row r="164" spans="4:6" ht="30">
      <c r="D164" s="86" t="s">
        <v>832</v>
      </c>
      <c r="E164" s="24" t="s">
        <v>301</v>
      </c>
      <c r="F164" s="15" t="s">
        <v>391</v>
      </c>
    </row>
    <row r="165" spans="4:6">
      <c r="D165" s="30" t="s">
        <v>833</v>
      </c>
      <c r="E165" s="14" t="s">
        <v>834</v>
      </c>
      <c r="F165" s="15" t="s">
        <v>392</v>
      </c>
    </row>
    <row r="166" spans="4:6">
      <c r="D166" s="87" t="s">
        <v>835</v>
      </c>
      <c r="E166" s="14" t="s">
        <v>62</v>
      </c>
      <c r="F166" s="15" t="s">
        <v>393</v>
      </c>
    </row>
    <row r="167" spans="4:6">
      <c r="D167" s="51" t="s">
        <v>840</v>
      </c>
      <c r="E167" s="14" t="s">
        <v>1075</v>
      </c>
      <c r="F167" s="15" t="s">
        <v>394</v>
      </c>
    </row>
    <row r="168" spans="4:6">
      <c r="D168" s="14" t="s">
        <v>859</v>
      </c>
      <c r="E168" s="14" t="s">
        <v>1131</v>
      </c>
      <c r="F168" s="15" t="s">
        <v>395</v>
      </c>
    </row>
    <row r="169" spans="4:6">
      <c r="D169" s="14" t="s">
        <v>868</v>
      </c>
      <c r="E169" s="14" t="s">
        <v>1095</v>
      </c>
      <c r="F169" s="15" t="s">
        <v>396</v>
      </c>
    </row>
    <row r="170" spans="4:6">
      <c r="D170" s="14" t="s">
        <v>873</v>
      </c>
      <c r="E170" s="14" t="s">
        <v>1098</v>
      </c>
      <c r="F170" s="15" t="s">
        <v>397</v>
      </c>
    </row>
    <row r="171" spans="4:6">
      <c r="D171" s="14" t="s">
        <v>878</v>
      </c>
      <c r="E171" s="104" t="s">
        <v>16</v>
      </c>
      <c r="F171" s="15" t="s">
        <v>398</v>
      </c>
    </row>
    <row r="172" spans="4:6">
      <c r="D172" s="14" t="s">
        <v>881</v>
      </c>
      <c r="E172" s="104" t="s">
        <v>1093</v>
      </c>
      <c r="F172" s="15" t="s">
        <v>399</v>
      </c>
    </row>
    <row r="173" spans="4:6">
      <c r="D173" s="14" t="s">
        <v>891</v>
      </c>
      <c r="E173" s="14" t="s">
        <v>1084</v>
      </c>
      <c r="F173" s="15" t="s">
        <v>605</v>
      </c>
    </row>
    <row r="174" spans="4:6">
      <c r="D174" s="14" t="s">
        <v>897</v>
      </c>
      <c r="E174" s="14" t="s">
        <v>1085</v>
      </c>
      <c r="F174" s="15" t="s">
        <v>607</v>
      </c>
    </row>
    <row r="175" spans="4:6">
      <c r="D175" s="14" t="s">
        <v>906</v>
      </c>
      <c r="E175" s="14" t="s">
        <v>1066</v>
      </c>
      <c r="F175" s="15" t="s">
        <v>400</v>
      </c>
    </row>
    <row r="176" spans="4:6">
      <c r="D176" s="14" t="s">
        <v>969</v>
      </c>
      <c r="E176" s="14" t="s">
        <v>971</v>
      </c>
      <c r="F176" s="15" t="s">
        <v>401</v>
      </c>
    </row>
    <row r="177" spans="4:6">
      <c r="D177" s="14" t="s">
        <v>1032</v>
      </c>
      <c r="E177" s="14" t="s">
        <v>892</v>
      </c>
      <c r="F177" s="15" t="s">
        <v>439</v>
      </c>
    </row>
    <row r="178" spans="4:6">
      <c r="D178" s="14" t="s">
        <v>1039</v>
      </c>
      <c r="E178" s="14" t="s">
        <v>1044</v>
      </c>
      <c r="F178" s="15" t="s">
        <v>440</v>
      </c>
    </row>
    <row r="179" spans="4:6">
      <c r="D179" s="14" t="s">
        <v>1050</v>
      </c>
      <c r="E179" s="14" t="s">
        <v>16</v>
      </c>
      <c r="F179" s="15" t="s">
        <v>445</v>
      </c>
    </row>
    <row r="180" spans="4:6">
      <c r="D180" s="14" t="s">
        <v>1051</v>
      </c>
      <c r="E180" s="14" t="s">
        <v>16</v>
      </c>
      <c r="F180" s="15" t="s">
        <v>446</v>
      </c>
    </row>
    <row r="181" spans="4:6">
      <c r="D181" s="15" t="s">
        <v>1062</v>
      </c>
      <c r="E181" s="14" t="s">
        <v>1044</v>
      </c>
      <c r="F181" s="15" t="s">
        <v>447</v>
      </c>
    </row>
    <row r="182" spans="4:6">
      <c r="D182" s="14" t="s">
        <v>1076</v>
      </c>
      <c r="E182" s="14" t="s">
        <v>62</v>
      </c>
      <c r="F182" s="15" t="s">
        <v>448</v>
      </c>
    </row>
    <row r="183" spans="4:6">
      <c r="D183" s="14" t="s">
        <v>1096</v>
      </c>
      <c r="E183" s="14" t="s">
        <v>1095</v>
      </c>
      <c r="F183" s="15" t="s">
        <v>453</v>
      </c>
    </row>
    <row r="184" spans="4:6">
      <c r="D184" s="14" t="s">
        <v>1097</v>
      </c>
      <c r="E184" s="14" t="s">
        <v>1094</v>
      </c>
      <c r="F184" s="15" t="s">
        <v>458</v>
      </c>
    </row>
    <row r="185" spans="4:6">
      <c r="D185" s="14" t="s">
        <v>1147</v>
      </c>
      <c r="E185" s="14" t="s">
        <v>1146</v>
      </c>
      <c r="F185" s="15" t="s">
        <v>459</v>
      </c>
    </row>
    <row r="186" spans="4:6">
      <c r="D186" s="14"/>
      <c r="E186" s="14"/>
      <c r="F186" s="15" t="s">
        <v>460</v>
      </c>
    </row>
    <row r="187" spans="4:6">
      <c r="D187" s="14"/>
      <c r="E187" s="14"/>
      <c r="F187" s="15" t="s">
        <v>461</v>
      </c>
    </row>
    <row r="188" spans="4:6">
      <c r="D188" s="14"/>
      <c r="E188" s="14"/>
      <c r="F188" s="15" t="s">
        <v>465</v>
      </c>
    </row>
    <row r="189" spans="4:6">
      <c r="D189" s="14"/>
      <c r="E189" s="14"/>
      <c r="F189" s="15" t="s">
        <v>466</v>
      </c>
    </row>
    <row r="190" spans="4:6">
      <c r="D190" s="14"/>
      <c r="E190" s="14"/>
      <c r="F190" s="15" t="s">
        <v>467</v>
      </c>
    </row>
    <row r="191" spans="4:6">
      <c r="D191" s="14"/>
      <c r="E191" s="14"/>
      <c r="F191" s="15" t="s">
        <v>595</v>
      </c>
    </row>
    <row r="192" spans="4:6">
      <c r="D192" s="14"/>
      <c r="E192" s="14"/>
      <c r="F192" s="15" t="s">
        <v>464</v>
      </c>
    </row>
    <row r="193" spans="4:6">
      <c r="D193" s="14"/>
      <c r="E193" s="14"/>
      <c r="F193" s="15" t="s">
        <v>584</v>
      </c>
    </row>
    <row r="194" spans="4:6">
      <c r="D194" s="14"/>
      <c r="E194" s="14"/>
      <c r="F194" s="15" t="s">
        <v>481</v>
      </c>
    </row>
    <row r="195" spans="4:6">
      <c r="D195" s="14"/>
      <c r="E195" s="14"/>
      <c r="F195" s="15" t="s">
        <v>482</v>
      </c>
    </row>
    <row r="196" spans="4:6">
      <c r="D196" s="14"/>
      <c r="E196" s="14"/>
      <c r="F196" s="15" t="s">
        <v>483</v>
      </c>
    </row>
    <row r="197" spans="4:6">
      <c r="D197" s="14"/>
      <c r="E197" s="14"/>
      <c r="F197" s="15" t="s">
        <v>484</v>
      </c>
    </row>
    <row r="198" spans="4:6">
      <c r="D198" s="14"/>
      <c r="E198" s="14"/>
      <c r="F198" s="15" t="s">
        <v>485</v>
      </c>
    </row>
    <row r="199" spans="4:6">
      <c r="D199" s="14"/>
      <c r="E199" s="14"/>
      <c r="F199" s="15" t="s">
        <v>486</v>
      </c>
    </row>
    <row r="200" spans="4:6">
      <c r="D200" s="14"/>
      <c r="E200" s="14"/>
      <c r="F200" s="15" t="s">
        <v>487</v>
      </c>
    </row>
    <row r="201" spans="4:6">
      <c r="D201" s="14"/>
      <c r="E201" s="14"/>
      <c r="F201" s="15" t="s">
        <v>488</v>
      </c>
    </row>
    <row r="202" spans="4:6">
      <c r="D202" s="14"/>
      <c r="E202" s="14"/>
      <c r="F202" s="15" t="s">
        <v>489</v>
      </c>
    </row>
    <row r="203" spans="4:6">
      <c r="D203" s="14"/>
      <c r="E203" s="14"/>
      <c r="F203" s="15" t="s">
        <v>490</v>
      </c>
    </row>
    <row r="204" spans="4:6">
      <c r="D204" s="14"/>
      <c r="E204" s="14"/>
      <c r="F204" s="15" t="s">
        <v>491</v>
      </c>
    </row>
    <row r="205" spans="4:6">
      <c r="D205" s="14"/>
      <c r="E205" s="14"/>
      <c r="F205" s="15" t="s">
        <v>492</v>
      </c>
    </row>
    <row r="206" spans="4:6">
      <c r="D206" s="14"/>
      <c r="E206" s="14"/>
      <c r="F206" s="15" t="s">
        <v>493</v>
      </c>
    </row>
    <row r="207" spans="4:6">
      <c r="D207" s="14"/>
      <c r="E207" s="14"/>
      <c r="F207" s="15" t="s">
        <v>494</v>
      </c>
    </row>
    <row r="208" spans="4:6">
      <c r="D208" s="14"/>
      <c r="E208" s="14"/>
      <c r="F208" s="15" t="s">
        <v>495</v>
      </c>
    </row>
    <row r="209" spans="4:6">
      <c r="D209" s="14"/>
      <c r="E209" s="14"/>
      <c r="F209" s="15" t="s">
        <v>496</v>
      </c>
    </row>
    <row r="210" spans="4:6">
      <c r="D210" s="14"/>
      <c r="E210" s="14"/>
      <c r="F210" s="15" t="s">
        <v>497</v>
      </c>
    </row>
    <row r="211" spans="4:6">
      <c r="D211" s="14"/>
      <c r="E211" s="14"/>
      <c r="F211" s="15" t="s">
        <v>498</v>
      </c>
    </row>
    <row r="212" spans="4:6">
      <c r="D212" s="14"/>
      <c r="E212" s="14"/>
      <c r="F212" s="15" t="s">
        <v>499</v>
      </c>
    </row>
    <row r="213" spans="4:6">
      <c r="D213" s="14"/>
      <c r="E213" s="14"/>
      <c r="F213" s="15" t="s">
        <v>500</v>
      </c>
    </row>
    <row r="214" spans="4:6">
      <c r="D214" s="14"/>
      <c r="E214" s="14"/>
      <c r="F214" s="15" t="s">
        <v>501</v>
      </c>
    </row>
    <row r="215" spans="4:6">
      <c r="D215" s="14"/>
      <c r="E215" s="14"/>
      <c r="F215" s="15" t="s">
        <v>502</v>
      </c>
    </row>
    <row r="216" spans="4:6">
      <c r="D216" s="14"/>
      <c r="E216" s="14"/>
      <c r="F216" s="15" t="s">
        <v>503</v>
      </c>
    </row>
    <row r="217" spans="4:6">
      <c r="D217" s="14"/>
      <c r="E217" s="14"/>
      <c r="F217" s="15" t="s">
        <v>504</v>
      </c>
    </row>
    <row r="218" spans="4:6">
      <c r="D218" s="14"/>
      <c r="E218" s="14"/>
      <c r="F218" s="15" t="s">
        <v>505</v>
      </c>
    </row>
    <row r="219" spans="4:6">
      <c r="D219" s="14"/>
      <c r="E219" s="14"/>
      <c r="F219" s="15" t="s">
        <v>506</v>
      </c>
    </row>
    <row r="220" spans="4:6">
      <c r="D220" s="14"/>
      <c r="E220" s="14"/>
      <c r="F220" s="19" t="s">
        <v>507</v>
      </c>
    </row>
    <row r="221" spans="4:6">
      <c r="D221" s="14"/>
      <c r="E221" s="14"/>
      <c r="F221" s="19" t="s">
        <v>508</v>
      </c>
    </row>
    <row r="222" spans="4:6">
      <c r="D222" s="14"/>
      <c r="E222" s="14"/>
      <c r="F222" s="19" t="s">
        <v>509</v>
      </c>
    </row>
    <row r="223" spans="4:6">
      <c r="D223" s="14"/>
      <c r="E223" s="14"/>
      <c r="F223" s="19" t="s">
        <v>510</v>
      </c>
    </row>
    <row r="224" spans="4:6">
      <c r="D224" s="14"/>
      <c r="E224" s="14"/>
      <c r="F224" s="19" t="s">
        <v>511</v>
      </c>
    </row>
    <row r="225" spans="4:6">
      <c r="D225" s="14"/>
      <c r="E225" s="14"/>
      <c r="F225" s="19" t="s">
        <v>512</v>
      </c>
    </row>
    <row r="226" spans="4:6">
      <c r="D226" s="14"/>
      <c r="E226" s="14"/>
      <c r="F226" s="19" t="s">
        <v>513</v>
      </c>
    </row>
    <row r="227" spans="4:6">
      <c r="D227" s="14"/>
      <c r="E227" s="14"/>
      <c r="F227" s="19" t="s">
        <v>514</v>
      </c>
    </row>
    <row r="228" spans="4:6">
      <c r="D228" s="14"/>
      <c r="E228" s="14"/>
      <c r="F228" s="19" t="s">
        <v>515</v>
      </c>
    </row>
    <row r="229" spans="4:6">
      <c r="D229" s="14"/>
      <c r="E229" s="14"/>
      <c r="F229" s="25" t="s">
        <v>516</v>
      </c>
    </row>
    <row r="230" spans="4:6">
      <c r="D230" s="14"/>
      <c r="E230" s="14"/>
      <c r="F230" s="25" t="s">
        <v>517</v>
      </c>
    </row>
    <row r="231" spans="4:6">
      <c r="D231" s="14"/>
      <c r="E231" s="14"/>
      <c r="F231" s="25" t="s">
        <v>518</v>
      </c>
    </row>
    <row r="232" spans="4:6">
      <c r="D232" s="14"/>
      <c r="E232" s="14"/>
      <c r="F232" s="19" t="s">
        <v>590</v>
      </c>
    </row>
    <row r="233" spans="4:6">
      <c r="D233" s="14"/>
      <c r="E233" s="14"/>
      <c r="F233" s="19" t="s">
        <v>519</v>
      </c>
    </row>
    <row r="234" spans="4:6">
      <c r="D234" s="14"/>
      <c r="E234" s="14"/>
      <c r="F234" s="19" t="s">
        <v>520</v>
      </c>
    </row>
    <row r="235" spans="4:6">
      <c r="D235" s="14"/>
      <c r="E235" s="14"/>
      <c r="F235" s="19" t="s">
        <v>521</v>
      </c>
    </row>
    <row r="236" spans="4:6">
      <c r="D236" s="14"/>
      <c r="E236" s="14"/>
      <c r="F236" s="19" t="s">
        <v>522</v>
      </c>
    </row>
    <row r="237" spans="4:6">
      <c r="D237" s="14"/>
      <c r="E237" s="14"/>
      <c r="F237" s="19" t="s">
        <v>523</v>
      </c>
    </row>
    <row r="238" spans="4:6">
      <c r="D238" s="14"/>
      <c r="E238" s="14"/>
      <c r="F238" s="19" t="s">
        <v>524</v>
      </c>
    </row>
    <row r="239" spans="4:6">
      <c r="D239" s="14"/>
      <c r="E239" s="14"/>
      <c r="F239" s="19" t="s">
        <v>525</v>
      </c>
    </row>
    <row r="240" spans="4:6">
      <c r="D240" s="14"/>
      <c r="E240" s="14"/>
      <c r="F240" s="19" t="s">
        <v>526</v>
      </c>
    </row>
    <row r="241" spans="4:6">
      <c r="D241" s="14"/>
      <c r="E241" s="14"/>
      <c r="F241" s="19" t="s">
        <v>528</v>
      </c>
    </row>
    <row r="242" spans="4:6">
      <c r="D242" s="14"/>
      <c r="E242" s="14"/>
      <c r="F242" s="19" t="s">
        <v>529</v>
      </c>
    </row>
    <row r="243" spans="4:6">
      <c r="D243" s="14"/>
      <c r="E243" s="14"/>
      <c r="F243" s="19" t="s">
        <v>579</v>
      </c>
    </row>
    <row r="244" spans="4:6">
      <c r="D244" s="14"/>
      <c r="E244" s="14"/>
      <c r="F244" s="25" t="s">
        <v>580</v>
      </c>
    </row>
    <row r="245" spans="4:6">
      <c r="D245" s="14"/>
      <c r="E245" s="14"/>
      <c r="F245" s="19" t="s">
        <v>582</v>
      </c>
    </row>
    <row r="246" spans="4:6">
      <c r="D246" s="14"/>
      <c r="E246" s="14"/>
      <c r="F246" s="19" t="s">
        <v>613</v>
      </c>
    </row>
    <row r="247" spans="4:6">
      <c r="F247" s="19" t="s">
        <v>620</v>
      </c>
    </row>
    <row r="248" spans="4:6">
      <c r="F248" s="19" t="s">
        <v>625</v>
      </c>
    </row>
    <row r="249" spans="4:6">
      <c r="F249" s="19" t="s">
        <v>626</v>
      </c>
    </row>
    <row r="250" spans="4:6">
      <c r="F250" s="19" t="s">
        <v>627</v>
      </c>
    </row>
    <row r="251" spans="4:6">
      <c r="F251" s="19" t="s">
        <v>628</v>
      </c>
    </row>
    <row r="252" spans="4:6">
      <c r="F252" s="19" t="s">
        <v>629</v>
      </c>
    </row>
    <row r="253" spans="4:6">
      <c r="F253" s="19" t="s">
        <v>630</v>
      </c>
    </row>
    <row r="254" spans="4:6">
      <c r="F254" s="19" t="s">
        <v>705</v>
      </c>
    </row>
    <row r="255" spans="4:6">
      <c r="F255" s="19" t="s">
        <v>692</v>
      </c>
    </row>
    <row r="256" spans="4:6">
      <c r="F256" s="19" t="s">
        <v>693</v>
      </c>
    </row>
    <row r="257" spans="6:6">
      <c r="F257" s="19" t="s">
        <v>707</v>
      </c>
    </row>
    <row r="258" spans="6:6">
      <c r="F258" s="19" t="s">
        <v>694</v>
      </c>
    </row>
    <row r="259" spans="6:6">
      <c r="F259" s="19" t="s">
        <v>695</v>
      </c>
    </row>
    <row r="260" spans="6:6">
      <c r="F260" s="19" t="s">
        <v>759</v>
      </c>
    </row>
    <row r="261" spans="6:6">
      <c r="F261" s="19" t="s">
        <v>760</v>
      </c>
    </row>
    <row r="262" spans="6:6">
      <c r="F262" s="19" t="s">
        <v>696</v>
      </c>
    </row>
    <row r="263" spans="6:6" ht="15.75" thickBot="1">
      <c r="F263" s="20" t="s">
        <v>697</v>
      </c>
    </row>
    <row r="264" spans="6:6">
      <c r="F264" s="21" t="s">
        <v>698</v>
      </c>
    </row>
    <row r="265" spans="6:6">
      <c r="F265" s="22" t="s">
        <v>16</v>
      </c>
    </row>
    <row r="266" spans="6:6">
      <c r="F266" s="21" t="s">
        <v>18</v>
      </c>
    </row>
    <row r="267" spans="6:6">
      <c r="F267" s="21" t="s">
        <v>19</v>
      </c>
    </row>
    <row r="268" spans="6:6">
      <c r="F268" s="21" t="s">
        <v>714</v>
      </c>
    </row>
    <row r="269" spans="6:6">
      <c r="F269" s="22" t="s">
        <v>713</v>
      </c>
    </row>
    <row r="270" spans="6:6">
      <c r="F270" s="15" t="s">
        <v>717</v>
      </c>
    </row>
    <row r="271" spans="6:6">
      <c r="F271" s="15" t="s">
        <v>718</v>
      </c>
    </row>
    <row r="272" spans="6:6">
      <c r="F272" s="15" t="s">
        <v>719</v>
      </c>
    </row>
    <row r="273" spans="6:6">
      <c r="F273" s="15" t="s">
        <v>720</v>
      </c>
    </row>
    <row r="274" spans="6:6">
      <c r="F274" s="15" t="s">
        <v>721</v>
      </c>
    </row>
    <row r="275" spans="6:6">
      <c r="F275" s="15" t="s">
        <v>722</v>
      </c>
    </row>
    <row r="276" spans="6:6">
      <c r="F276" s="15" t="s">
        <v>723</v>
      </c>
    </row>
    <row r="277" spans="6:6">
      <c r="F277" s="15" t="s">
        <v>724</v>
      </c>
    </row>
    <row r="278" spans="6:6">
      <c r="F278" s="15" t="s">
        <v>725</v>
      </c>
    </row>
    <row r="279" spans="6:6">
      <c r="F279" s="15" t="s">
        <v>726</v>
      </c>
    </row>
    <row r="280" spans="6:6">
      <c r="F280" s="15" t="s">
        <v>727</v>
      </c>
    </row>
    <row r="281" spans="6:6">
      <c r="F281" s="15" t="s">
        <v>728</v>
      </c>
    </row>
    <row r="282" spans="6:6">
      <c r="F282" s="15" t="s">
        <v>729</v>
      </c>
    </row>
    <row r="283" spans="6:6">
      <c r="F283" s="15" t="s">
        <v>776</v>
      </c>
    </row>
    <row r="284" spans="6:6">
      <c r="F284" s="15" t="s">
        <v>777</v>
      </c>
    </row>
    <row r="285" spans="6:6">
      <c r="F285" s="15" t="s">
        <v>778</v>
      </c>
    </row>
    <row r="286" spans="6:6">
      <c r="F286" s="15" t="s">
        <v>779</v>
      </c>
    </row>
    <row r="287" spans="6:6">
      <c r="F287" s="15" t="s">
        <v>780</v>
      </c>
    </row>
    <row r="288" spans="6:6">
      <c r="F288" s="15" t="s">
        <v>781</v>
      </c>
    </row>
    <row r="289" spans="6:6">
      <c r="F289" s="15" t="s">
        <v>782</v>
      </c>
    </row>
    <row r="290" spans="6:6">
      <c r="F290" s="15" t="s">
        <v>783</v>
      </c>
    </row>
    <row r="291" spans="6:6">
      <c r="F291" s="15" t="s">
        <v>784</v>
      </c>
    </row>
    <row r="292" spans="6:6">
      <c r="F292" s="15" t="s">
        <v>785</v>
      </c>
    </row>
    <row r="293" spans="6:6">
      <c r="F293" s="15" t="s">
        <v>786</v>
      </c>
    </row>
    <row r="294" spans="6:6">
      <c r="F294" s="15" t="s">
        <v>787</v>
      </c>
    </row>
    <row r="295" spans="6:6">
      <c r="F295" s="15" t="s">
        <v>788</v>
      </c>
    </row>
    <row r="296" spans="6:6">
      <c r="F296" s="15" t="s">
        <v>789</v>
      </c>
    </row>
    <row r="297" spans="6:6">
      <c r="F297" s="15" t="s">
        <v>790</v>
      </c>
    </row>
    <row r="298" spans="6:6">
      <c r="F298" s="15" t="s">
        <v>791</v>
      </c>
    </row>
    <row r="299" spans="6:6">
      <c r="F299" s="15" t="s">
        <v>792</v>
      </c>
    </row>
    <row r="300" spans="6:6">
      <c r="F300" s="15" t="s">
        <v>793</v>
      </c>
    </row>
    <row r="301" spans="6:6">
      <c r="F301" s="15" t="s">
        <v>794</v>
      </c>
    </row>
    <row r="302" spans="6:6">
      <c r="F302" s="15" t="s">
        <v>795</v>
      </c>
    </row>
    <row r="303" spans="6:6">
      <c r="F303" s="15" t="s">
        <v>796</v>
      </c>
    </row>
    <row r="304" spans="6:6">
      <c r="F304" s="15" t="s">
        <v>797</v>
      </c>
    </row>
    <row r="305" spans="6:6">
      <c r="F305" s="15" t="s">
        <v>798</v>
      </c>
    </row>
    <row r="306" spans="6:6">
      <c r="F306" s="15" t="s">
        <v>799</v>
      </c>
    </row>
    <row r="307" spans="6:6">
      <c r="F307" s="15" t="s">
        <v>800</v>
      </c>
    </row>
    <row r="308" spans="6:6">
      <c r="F308" s="15" t="s">
        <v>801</v>
      </c>
    </row>
    <row r="309" spans="6:6">
      <c r="F309" s="15" t="s">
        <v>802</v>
      </c>
    </row>
    <row r="310" spans="6:6">
      <c r="F310" s="15" t="s">
        <v>803</v>
      </c>
    </row>
    <row r="311" spans="6:6">
      <c r="F311" s="15" t="s">
        <v>838</v>
      </c>
    </row>
    <row r="312" spans="6:6">
      <c r="F312" s="15" t="s">
        <v>839</v>
      </c>
    </row>
    <row r="313" spans="6:6">
      <c r="F313" s="15" t="s">
        <v>841</v>
      </c>
    </row>
    <row r="314" spans="6:6">
      <c r="F314" s="15" t="s">
        <v>842</v>
      </c>
    </row>
    <row r="315" spans="6:6">
      <c r="F315" s="15" t="s">
        <v>843</v>
      </c>
    </row>
    <row r="316" spans="6:6">
      <c r="F316" s="15" t="s">
        <v>844</v>
      </c>
    </row>
    <row r="317" spans="6:6">
      <c r="F317" s="15" t="s">
        <v>869</v>
      </c>
    </row>
    <row r="318" spans="6:6">
      <c r="F318" s="15" t="s">
        <v>871</v>
      </c>
    </row>
    <row r="319" spans="6:6">
      <c r="F319" s="15" t="s">
        <v>1037</v>
      </c>
    </row>
    <row r="320" spans="6:6">
      <c r="F320" s="15" t="s">
        <v>1068</v>
      </c>
    </row>
    <row r="321" spans="6:6">
      <c r="F321" s="15" t="s">
        <v>1074</v>
      </c>
    </row>
    <row r="322" spans="6:6">
      <c r="F322" s="15" t="s">
        <v>862</v>
      </c>
    </row>
    <row r="323" spans="6:6">
      <c r="F323" s="14" t="s">
        <v>863</v>
      </c>
    </row>
    <row r="324" spans="6:6">
      <c r="F324" s="15" t="s">
        <v>1094</v>
      </c>
    </row>
    <row r="325" spans="6:6">
      <c r="F325" s="15" t="s">
        <v>874</v>
      </c>
    </row>
    <row r="326" spans="6:6">
      <c r="F326" s="15" t="s">
        <v>875</v>
      </c>
    </row>
    <row r="327" spans="6:6">
      <c r="F327" s="15" t="s">
        <v>966</v>
      </c>
    </row>
    <row r="328" spans="6:6">
      <c r="F328" s="15" t="s">
        <v>882</v>
      </c>
    </row>
    <row r="329" spans="6:6">
      <c r="F329" s="15" t="s">
        <v>884</v>
      </c>
    </row>
    <row r="330" spans="6:6">
      <c r="F330" s="15" t="s">
        <v>988</v>
      </c>
    </row>
    <row r="331" spans="6:6">
      <c r="F331" s="15" t="s">
        <v>892</v>
      </c>
    </row>
    <row r="332" spans="6:6">
      <c r="F332" s="15" t="s">
        <v>904</v>
      </c>
    </row>
    <row r="333" spans="6:6">
      <c r="F333" s="15" t="s">
        <v>991</v>
      </c>
    </row>
    <row r="334" spans="6:6">
      <c r="F334" s="15" t="s">
        <v>994</v>
      </c>
    </row>
    <row r="335" spans="6:6">
      <c r="F335" s="15" t="s">
        <v>997</v>
      </c>
    </row>
    <row r="336" spans="6:6">
      <c r="F336" s="15" t="s">
        <v>1000</v>
      </c>
    </row>
    <row r="337" spans="6:6">
      <c r="F337" s="15" t="s">
        <v>908</v>
      </c>
    </row>
    <row r="338" spans="6:6">
      <c r="F338" s="15" t="s">
        <v>913</v>
      </c>
    </row>
    <row r="339" spans="6:6">
      <c r="F339" s="15" t="s">
        <v>914</v>
      </c>
    </row>
    <row r="340" spans="6:6">
      <c r="F340" s="15" t="s">
        <v>917</v>
      </c>
    </row>
    <row r="341" spans="6:6">
      <c r="F341" s="15" t="s">
        <v>918</v>
      </c>
    </row>
    <row r="342" spans="6:6">
      <c r="F342" s="15" t="s">
        <v>920</v>
      </c>
    </row>
    <row r="343" spans="6:6">
      <c r="F343" s="15" t="s">
        <v>923</v>
      </c>
    </row>
    <row r="344" spans="6:6">
      <c r="F344" s="15" t="s">
        <v>1065</v>
      </c>
    </row>
    <row r="345" spans="6:6">
      <c r="F345" s="15" t="s">
        <v>970</v>
      </c>
    </row>
    <row r="346" spans="6:6">
      <c r="F346" s="15" t="s">
        <v>1146</v>
      </c>
    </row>
    <row r="347" spans="6:6">
      <c r="F347" s="15" t="s">
        <v>55</v>
      </c>
    </row>
    <row r="348" spans="6:6">
      <c r="F348" s="15" t="s">
        <v>56</v>
      </c>
    </row>
    <row r="349" spans="6:6">
      <c r="F349" s="15" t="s">
        <v>57</v>
      </c>
    </row>
  </sheetData>
  <protectedRanges>
    <protectedRange sqref="B77" name="Range1_1_1"/>
    <protectedRange sqref="B78:B81" name="Range1_1_2"/>
  </protectedRanges>
  <dataConsolidate/>
  <customSheetViews>
    <customSheetView guid="{D354225D-2C82-4417-8BA4-5EFA1D96D332}">
      <pane ySplit="1" topLeftCell="A15" activePane="bottomLeft" state="frozen"/>
      <selection pane="bottomLeft" activeCell="C26" sqref="C26"/>
      <pageMargins left="0.7" right="0.7" top="0.75" bottom="0.75" header="0.3" footer="0.3"/>
      <pageSetup paperSize="157" orientation="portrait" horizontalDpi="203" verticalDpi="203" r:id="rId1"/>
    </customSheetView>
    <customSheetView guid="{A8F9189F-30EC-448E-8FA3-1F1B01D22A46}">
      <pane ySplit="1" topLeftCell="A28" activePane="bottomLeft" state="frozen"/>
      <selection pane="bottomLeft" activeCell="C35" sqref="C35"/>
      <pageMargins left="0.7" right="0.7" top="0.75" bottom="0.75" header="0.3" footer="0.3"/>
      <pageSetup paperSize="157" orientation="portrait" horizontalDpi="203" verticalDpi="203" r:id="rId2"/>
    </customSheetView>
    <customSheetView guid="{CF42ED2D-1073-4AB2-96F1-563C90B8192E}">
      <pane ySplit="1" topLeftCell="A77" activePane="bottomLeft" state="frozen"/>
      <selection pane="bottomLeft" activeCell="C86" sqref="C86"/>
      <pageMargins left="0.7" right="0.7" top="0.75" bottom="0.75" header="0.3" footer="0.3"/>
      <pageSetup paperSize="157" orientation="portrait" horizontalDpi="203" verticalDpi="203" r:id="rId3"/>
    </customSheetView>
    <customSheetView guid="{038EA038-5A0E-4BA1-B2F5-E3A3B7AA82FA}">
      <pane ySplit="1" topLeftCell="A2" activePane="bottomLeft" state="frozen"/>
      <selection pane="bottomLeft" activeCell="C94" sqref="C94"/>
      <pageMargins left="0.7" right="0.7" top="0.75" bottom="0.75" header="0.3" footer="0.3"/>
      <pageSetup paperSize="157" orientation="portrait" horizontalDpi="203" verticalDpi="203" r:id="rId4"/>
    </customSheetView>
  </customSheetViews>
  <pageMargins left="0.7" right="0.7" top="0.75" bottom="0.75" header="0.3" footer="0.3"/>
  <pageSetup paperSize="157" orientation="portrait" horizontalDpi="203" verticalDpi="203"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29"/>
  <sheetViews>
    <sheetView zoomScaleNormal="100" workbookViewId="0"/>
  </sheetViews>
  <sheetFormatPr defaultRowHeight="15"/>
  <cols>
    <col min="1" max="1" width="59.5703125" style="10" bestFit="1" customWidth="1"/>
    <col min="2" max="2" width="28.140625" style="2" customWidth="1"/>
    <col min="3" max="3" width="20.85546875" style="1" customWidth="1"/>
    <col min="4" max="16384" width="9.140625" style="3"/>
  </cols>
  <sheetData>
    <row r="1" spans="1:3">
      <c r="B1" s="10"/>
      <c r="C1" s="9"/>
    </row>
    <row r="2" spans="1:3">
      <c r="B2" s="12"/>
      <c r="C2" s="9"/>
    </row>
    <row r="3" spans="1:3">
      <c r="A3" s="12"/>
      <c r="B3" s="12"/>
      <c r="C3" s="9"/>
    </row>
    <row r="4" spans="1:3">
      <c r="B4" s="12"/>
      <c r="C4" s="9"/>
    </row>
    <row r="5" spans="1:3">
      <c r="A5" s="12"/>
      <c r="B5" s="12"/>
      <c r="C5" s="9"/>
    </row>
    <row r="6" spans="1:3">
      <c r="B6" s="12"/>
      <c r="C6" s="9"/>
    </row>
    <row r="7" spans="1:3">
      <c r="B7" s="12"/>
      <c r="C7" s="9"/>
    </row>
    <row r="8" spans="1:3">
      <c r="A8" s="12"/>
      <c r="B8" s="12"/>
      <c r="C8" s="9"/>
    </row>
    <row r="9" spans="1:3">
      <c r="B9" s="12"/>
      <c r="C9" s="9"/>
    </row>
    <row r="10" spans="1:3">
      <c r="B10" s="12"/>
      <c r="C10" s="9"/>
    </row>
    <row r="11" spans="1:3">
      <c r="A11" s="12"/>
      <c r="B11" s="12"/>
      <c r="C11" s="9"/>
    </row>
    <row r="12" spans="1:3">
      <c r="B12" s="12"/>
      <c r="C12" s="9"/>
    </row>
    <row r="13" spans="1:3">
      <c r="B13" s="12"/>
      <c r="C13" s="9"/>
    </row>
    <row r="14" spans="1:3">
      <c r="B14" s="10"/>
      <c r="C14" s="9"/>
    </row>
    <row r="15" spans="1:3">
      <c r="A15" s="12"/>
    </row>
    <row r="17" spans="1:4">
      <c r="D17" s="4"/>
    </row>
    <row r="29" spans="1:4">
      <c r="A29" s="12"/>
    </row>
  </sheetData>
  <customSheetViews>
    <customSheetView guid="{D354225D-2C82-4417-8BA4-5EFA1D96D332}" state="hidden">
      <selection activeCell="A6" sqref="A6"/>
      <pageMargins left="0.7" right="0.7" top="0.75" bottom="0.75" header="0.3" footer="0.3"/>
      <pageSetup paperSize="157" orientation="portrait" horizontalDpi="203" verticalDpi="203" r:id="rId1"/>
    </customSheetView>
    <customSheetView guid="{A8F9189F-30EC-448E-8FA3-1F1B01D22A46}">
      <selection activeCell="C6" sqref="C6"/>
      <pageMargins left="0.7" right="0.7" top="0.75" bottom="0.75" header="0.3" footer="0.3"/>
      <pageSetup paperSize="157" orientation="portrait" horizontalDpi="203" verticalDpi="203" r:id="rId2"/>
    </customSheetView>
    <customSheetView guid="{CF42ED2D-1073-4AB2-96F1-563C90B8192E}" state="hidden">
      <pageMargins left="0.7" right="0.7" top="0.75" bottom="0.75" header="0.3" footer="0.3"/>
      <pageSetup paperSize="157" orientation="portrait" horizontalDpi="203" verticalDpi="203" r:id="rId3"/>
    </customSheetView>
    <customSheetView guid="{038EA038-5A0E-4BA1-B2F5-E3A3B7AA82FA}" state="hidden">
      <selection activeCell="A11" sqref="A11"/>
      <pageMargins left="0.7" right="0.7" top="0.75" bottom="0.75" header="0.3" footer="0.3"/>
      <pageSetup paperSize="157" orientation="portrait" horizontalDpi="203" verticalDpi="203" r:id="rId4"/>
    </customSheetView>
  </customSheetViews>
  <pageMargins left="0.7" right="0.7" top="0.75" bottom="0.75" header="0.3" footer="0.3"/>
  <pageSetup paperSize="157" orientation="portrait" horizontalDpi="203" verticalDpi="203" r:id="rId5"/>
  <drawing r:id="rId6"/>
  <legacyDrawing r:id="rId7"/>
  <controls>
    <mc:AlternateContent xmlns:mc="http://schemas.openxmlformats.org/markup-compatibility/2006">
      <mc:Choice Requires="x14">
        <control shapeId="7171" r:id="rId8" name="cmdDone">
          <controlPr defaultSize="0" autoLine="0" r:id="rId9">
            <anchor>
              <from>
                <xdr:col>2</xdr:col>
                <xdr:colOff>866775</xdr:colOff>
                <xdr:row>0</xdr:row>
                <xdr:rowOff>76200</xdr:rowOff>
              </from>
              <to>
                <xdr:col>2</xdr:col>
                <xdr:colOff>1209675</xdr:colOff>
                <xdr:row>12</xdr:row>
                <xdr:rowOff>47625</xdr:rowOff>
              </to>
            </anchor>
          </controlPr>
        </control>
      </mc:Choice>
      <mc:Fallback>
        <control shapeId="7171" r:id="rId8" name="cmdDon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4"/>
  <sheetViews>
    <sheetView workbookViewId="0">
      <selection activeCell="D25" sqref="D25"/>
    </sheetView>
  </sheetViews>
  <sheetFormatPr defaultRowHeight="15"/>
  <cols>
    <col min="1" max="1" width="17.5703125" bestFit="1" customWidth="1"/>
    <col min="2" max="2" width="11.7109375" bestFit="1" customWidth="1"/>
    <col min="3" max="3" width="16.85546875" bestFit="1" customWidth="1"/>
    <col min="5" max="5" width="43.28515625" bestFit="1" customWidth="1"/>
    <col min="7" max="7" width="12.85546875" bestFit="1" customWidth="1"/>
    <col min="9" max="9" width="17.5703125" bestFit="1" customWidth="1"/>
    <col min="10" max="10" width="12.85546875" bestFit="1" customWidth="1"/>
  </cols>
  <sheetData>
    <row r="1" spans="1:7">
      <c r="F1" s="1" t="s">
        <v>24</v>
      </c>
      <c r="G1" s="6" t="s">
        <v>25</v>
      </c>
    </row>
    <row r="2" spans="1:7">
      <c r="F2" s="1" t="s">
        <v>26</v>
      </c>
      <c r="G2" s="1" t="s">
        <v>27</v>
      </c>
    </row>
    <row r="3" spans="1:7">
      <c r="F3" s="1" t="s">
        <v>28</v>
      </c>
      <c r="G3" s="7">
        <v>41299</v>
      </c>
    </row>
    <row r="5" spans="1:7">
      <c r="A5" s="8" t="s">
        <v>24</v>
      </c>
      <c r="B5" s="8" t="s">
        <v>29</v>
      </c>
      <c r="C5" s="8" t="s">
        <v>32</v>
      </c>
      <c r="D5" s="8" t="s">
        <v>30</v>
      </c>
      <c r="E5" s="8" t="s">
        <v>31</v>
      </c>
    </row>
    <row r="6" spans="1:7">
      <c r="A6" s="1"/>
      <c r="B6" s="1"/>
      <c r="C6" s="1"/>
      <c r="D6" s="1"/>
      <c r="E6" s="1"/>
    </row>
    <row r="7" spans="1:7">
      <c r="A7" s="1"/>
      <c r="B7" s="1"/>
      <c r="C7" s="1"/>
      <c r="D7" s="1"/>
      <c r="E7" s="1"/>
    </row>
    <row r="8" spans="1:7">
      <c r="A8" s="1"/>
      <c r="B8" s="1"/>
      <c r="C8" s="1"/>
      <c r="D8" s="1"/>
      <c r="E8" s="1"/>
    </row>
    <row r="9" spans="1:7">
      <c r="A9" s="1"/>
      <c r="B9" s="1"/>
      <c r="C9" s="1"/>
      <c r="D9" s="1"/>
      <c r="E9" s="1"/>
    </row>
    <row r="10" spans="1:7">
      <c r="A10" s="1"/>
      <c r="B10" s="1"/>
      <c r="C10" s="1"/>
      <c r="D10" s="1"/>
      <c r="E10" s="1"/>
    </row>
    <row r="11" spans="1:7">
      <c r="A11" s="1"/>
      <c r="B11" s="1"/>
      <c r="C11" s="1"/>
      <c r="D11" s="1"/>
      <c r="E11" s="1"/>
    </row>
    <row r="12" spans="1:7">
      <c r="A12" s="1"/>
      <c r="B12" s="1"/>
      <c r="C12" s="1"/>
      <c r="D12" s="1"/>
      <c r="E12" s="1"/>
    </row>
    <row r="13" spans="1:7">
      <c r="A13" s="1"/>
      <c r="B13" s="1"/>
      <c r="C13" s="1"/>
      <c r="D13" s="1"/>
      <c r="E13" s="1"/>
    </row>
    <row r="14" spans="1:7">
      <c r="A14" s="1"/>
      <c r="B14" s="1"/>
      <c r="C14" s="1"/>
      <c r="D14" s="1"/>
      <c r="E14" s="1"/>
    </row>
  </sheetData>
  <customSheetViews>
    <customSheetView guid="{D354225D-2C82-4417-8BA4-5EFA1D96D332}">
      <selection activeCell="D25" sqref="D25"/>
      <pageMargins left="0.7" right="0.7" top="0.75" bottom="0.75" header="0.3" footer="0.3"/>
      <pageSetup orientation="portrait" r:id="rId1"/>
    </customSheetView>
    <customSheetView guid="{A8F9189F-30EC-448E-8FA3-1F1B01D22A46}">
      <selection activeCell="J10" sqref="J10"/>
      <pageMargins left="0.7" right="0.7" top="0.75" bottom="0.75" header="0.3" footer="0.3"/>
      <pageSetup orientation="portrait" r:id="rId2"/>
    </customSheetView>
    <customSheetView guid="{CF42ED2D-1073-4AB2-96F1-563C90B8192E}">
      <selection activeCell="D25" sqref="D25"/>
      <pageMargins left="0.7" right="0.7" top="0.75" bottom="0.75" header="0.3" footer="0.3"/>
      <pageSetup orientation="portrait" r:id="rId3"/>
    </customSheetView>
    <customSheetView guid="{038EA038-5A0E-4BA1-B2F5-E3A3B7AA82FA}">
      <selection activeCell="D25" sqref="D25"/>
      <pageMargins left="0.7" right="0.7" top="0.75" bottom="0.75" header="0.3" footer="0.3"/>
      <pageSetup orientation="portrait" r:id="rId4"/>
    </customSheetView>
  </customSheetViews>
  <pageMargins left="0.7" right="0.7" top="0.75" bottom="0.75" header="0.3" footer="0.3"/>
  <pageSetup orientation="portrait"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3"/>
  <sheetViews>
    <sheetView topLeftCell="C1" workbookViewId="0">
      <selection activeCell="F20" sqref="F20"/>
    </sheetView>
  </sheetViews>
  <sheetFormatPr defaultRowHeight="15"/>
  <cols>
    <col min="1" max="2" width="22.42578125" style="13" bestFit="1" customWidth="1"/>
    <col min="3" max="3" width="36.140625" style="13" bestFit="1" customWidth="1"/>
    <col min="4" max="4" width="22.42578125" style="13" bestFit="1" customWidth="1"/>
    <col min="5" max="5" width="18.28515625" style="13" bestFit="1" customWidth="1"/>
    <col min="6" max="6" width="26.140625" style="13" bestFit="1" customWidth="1"/>
    <col min="7" max="7" width="34" style="13" bestFit="1" customWidth="1"/>
    <col min="8" max="8" width="11.7109375" style="13" bestFit="1" customWidth="1"/>
    <col min="9" max="9" width="17.7109375" style="13" bestFit="1" customWidth="1"/>
    <col min="10" max="10" width="13.28515625" style="13" bestFit="1" customWidth="1"/>
    <col min="11" max="16384" width="9.140625" style="13"/>
  </cols>
  <sheetData>
    <row r="1" spans="1:10">
      <c r="A1" s="11" t="s">
        <v>64</v>
      </c>
      <c r="B1" s="11" t="s">
        <v>65</v>
      </c>
      <c r="C1" s="11" t="s">
        <v>66</v>
      </c>
      <c r="D1" s="11" t="s">
        <v>77</v>
      </c>
      <c r="E1" s="11" t="s">
        <v>79</v>
      </c>
      <c r="F1" s="11" t="s">
        <v>80</v>
      </c>
      <c r="G1" s="11" t="s">
        <v>81</v>
      </c>
      <c r="H1" s="11" t="s">
        <v>289</v>
      </c>
      <c r="I1" s="11" t="s">
        <v>439</v>
      </c>
      <c r="J1" s="11" t="s">
        <v>440</v>
      </c>
    </row>
    <row r="2" spans="1:10">
      <c r="A2" s="13" t="s">
        <v>67</v>
      </c>
      <c r="B2" s="13" t="s">
        <v>59</v>
      </c>
      <c r="C2" s="13" t="s">
        <v>61</v>
      </c>
      <c r="D2" s="13" t="s">
        <v>59</v>
      </c>
      <c r="E2" s="13" t="s">
        <v>78</v>
      </c>
      <c r="F2" s="13" t="s">
        <v>82</v>
      </c>
      <c r="G2" s="13" t="s">
        <v>82</v>
      </c>
      <c r="H2" s="13" t="s">
        <v>290</v>
      </c>
      <c r="I2" s="13" t="s">
        <v>436</v>
      </c>
      <c r="J2" s="13" t="s">
        <v>441</v>
      </c>
    </row>
    <row r="3" spans="1:10">
      <c r="A3" s="13" t="s">
        <v>68</v>
      </c>
      <c r="B3" s="13" t="s">
        <v>69</v>
      </c>
      <c r="C3" s="13" t="s">
        <v>70</v>
      </c>
      <c r="D3" s="13" t="s">
        <v>69</v>
      </c>
      <c r="E3" s="13" t="s">
        <v>88</v>
      </c>
      <c r="F3" s="13" t="s">
        <v>83</v>
      </c>
      <c r="G3" s="13" t="s">
        <v>83</v>
      </c>
      <c r="H3" s="13" t="s">
        <v>291</v>
      </c>
      <c r="I3" s="13" t="s">
        <v>432</v>
      </c>
      <c r="J3" s="13" t="s">
        <v>442</v>
      </c>
    </row>
    <row r="4" spans="1:10">
      <c r="A4" s="13" t="s">
        <v>71</v>
      </c>
      <c r="B4" s="13" t="s">
        <v>72</v>
      </c>
      <c r="C4" s="13" t="s">
        <v>72</v>
      </c>
      <c r="D4" s="13" t="s">
        <v>72</v>
      </c>
      <c r="F4" s="13" t="s">
        <v>89</v>
      </c>
      <c r="G4" s="13" t="s">
        <v>84</v>
      </c>
      <c r="I4" s="13" t="s">
        <v>443</v>
      </c>
      <c r="J4" s="13" t="s">
        <v>444</v>
      </c>
    </row>
    <row r="5" spans="1:10">
      <c r="A5" s="13" t="s">
        <v>73</v>
      </c>
      <c r="F5" s="13" t="s">
        <v>84</v>
      </c>
      <c r="G5" s="13" t="s">
        <v>85</v>
      </c>
    </row>
    <row r="6" spans="1:10">
      <c r="A6" s="13" t="s">
        <v>74</v>
      </c>
      <c r="F6" s="13" t="s">
        <v>85</v>
      </c>
      <c r="G6" s="13" t="s">
        <v>86</v>
      </c>
    </row>
    <row r="7" spans="1:10">
      <c r="A7" s="13" t="s">
        <v>60</v>
      </c>
      <c r="F7" s="13" t="s">
        <v>90</v>
      </c>
      <c r="G7" s="13" t="s">
        <v>87</v>
      </c>
    </row>
    <row r="8" spans="1:10">
      <c r="A8" s="13" t="s">
        <v>75</v>
      </c>
      <c r="F8" s="13" t="s">
        <v>91</v>
      </c>
    </row>
    <row r="9" spans="1:10">
      <c r="A9" s="13" t="s">
        <v>63</v>
      </c>
      <c r="F9" s="13" t="s">
        <v>86</v>
      </c>
    </row>
    <row r="10" spans="1:10">
      <c r="A10" s="13" t="s">
        <v>76</v>
      </c>
      <c r="F10" s="13" t="s">
        <v>92</v>
      </c>
    </row>
    <row r="11" spans="1:10">
      <c r="F11" s="13" t="s">
        <v>93</v>
      </c>
    </row>
    <row r="12" spans="1:10">
      <c r="F12" s="13" t="s">
        <v>94</v>
      </c>
    </row>
    <row r="13" spans="1:10">
      <c r="F13" s="13" t="s">
        <v>87</v>
      </c>
    </row>
  </sheetData>
  <customSheetViews>
    <customSheetView guid="{D354225D-2C82-4417-8BA4-5EFA1D96D332}" topLeftCell="C1">
      <selection activeCell="F20" sqref="F20"/>
      <pageMargins left="0.7" right="0.7" top="0.75" bottom="0.75" header="0.3" footer="0.3"/>
    </customSheetView>
    <customSheetView guid="{A8F9189F-30EC-448E-8FA3-1F1B01D22A46}" topLeftCell="C1">
      <selection activeCell="I3" sqref="I3"/>
      <pageMargins left="0.7" right="0.7" top="0.75" bottom="0.75" header="0.3" footer="0.3"/>
    </customSheetView>
    <customSheetView guid="{CF42ED2D-1073-4AB2-96F1-563C90B8192E}" topLeftCell="C1">
      <selection activeCell="F20" sqref="F20"/>
      <pageMargins left="0.7" right="0.7" top="0.75" bottom="0.75" header="0.3" footer="0.3"/>
    </customSheetView>
    <customSheetView guid="{038EA038-5A0E-4BA1-B2F5-E3A3B7AA82FA}" topLeftCell="C1">
      <selection activeCell="F20" sqref="F2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C25"/>
  <sheetViews>
    <sheetView topLeftCell="A10" workbookViewId="0">
      <selection activeCell="B18" sqref="B18"/>
    </sheetView>
  </sheetViews>
  <sheetFormatPr defaultRowHeight="15"/>
  <cols>
    <col min="1" max="1" width="30.140625" style="54" bestFit="1" customWidth="1"/>
    <col min="2" max="2" width="30.85546875" customWidth="1"/>
    <col min="3" max="3" width="28.5703125" customWidth="1"/>
    <col min="4" max="4" width="30.140625" bestFit="1" customWidth="1"/>
  </cols>
  <sheetData>
    <row r="2" spans="1:3">
      <c r="A2" s="33" t="s">
        <v>202</v>
      </c>
      <c r="B2" s="33" t="s">
        <v>305</v>
      </c>
      <c r="C2" s="56">
        <v>1</v>
      </c>
    </row>
    <row r="3" spans="1:3">
      <c r="A3" s="33" t="s">
        <v>203</v>
      </c>
      <c r="B3" s="33" t="s">
        <v>305</v>
      </c>
      <c r="C3" s="56">
        <v>1</v>
      </c>
    </row>
    <row r="4" spans="1:3">
      <c r="A4" s="33" t="s">
        <v>204</v>
      </c>
      <c r="B4" s="33" t="s">
        <v>305</v>
      </c>
      <c r="C4" s="56">
        <v>2</v>
      </c>
    </row>
    <row r="5" spans="1:3">
      <c r="A5" s="33" t="s">
        <v>205</v>
      </c>
      <c r="B5" s="33" t="s">
        <v>305</v>
      </c>
      <c r="C5" s="56">
        <v>3</v>
      </c>
    </row>
    <row r="6" spans="1:3">
      <c r="A6" s="33" t="s">
        <v>206</v>
      </c>
      <c r="B6" s="33" t="s">
        <v>305</v>
      </c>
      <c r="C6" s="56">
        <v>3</v>
      </c>
    </row>
    <row r="7" spans="1:3">
      <c r="A7" s="33" t="s">
        <v>207</v>
      </c>
      <c r="B7" s="57" t="s">
        <v>305</v>
      </c>
      <c r="C7" s="58"/>
    </row>
    <row r="8" spans="1:3">
      <c r="A8" s="59" t="s">
        <v>208</v>
      </c>
      <c r="B8" s="57" t="s">
        <v>305</v>
      </c>
      <c r="C8" s="58"/>
    </row>
    <row r="9" spans="1:3">
      <c r="A9" s="33" t="s">
        <v>209</v>
      </c>
      <c r="B9" s="33" t="s">
        <v>703</v>
      </c>
      <c r="C9" s="33"/>
    </row>
    <row r="10" spans="1:3">
      <c r="A10" s="33" t="s">
        <v>210</v>
      </c>
      <c r="B10" s="33" t="s">
        <v>703</v>
      </c>
      <c r="C10" s="33"/>
    </row>
    <row r="11" spans="1:3">
      <c r="A11" s="33" t="s">
        <v>211</v>
      </c>
      <c r="B11" s="33" t="s">
        <v>703</v>
      </c>
      <c r="C11" s="33"/>
    </row>
    <row r="12" spans="1:3">
      <c r="A12" s="33" t="s">
        <v>212</v>
      </c>
      <c r="B12" s="33" t="s">
        <v>305</v>
      </c>
      <c r="C12" s="56">
        <v>4</v>
      </c>
    </row>
    <row r="13" spans="1:3">
      <c r="A13" s="33" t="s">
        <v>213</v>
      </c>
      <c r="B13" s="57" t="s">
        <v>305</v>
      </c>
      <c r="C13" s="58">
        <v>5</v>
      </c>
    </row>
    <row r="14" spans="1:3">
      <c r="A14" s="45" t="s">
        <v>214</v>
      </c>
      <c r="B14" s="45"/>
      <c r="C14" s="45"/>
    </row>
    <row r="15" spans="1:3">
      <c r="A15" s="45" t="s">
        <v>215</v>
      </c>
      <c r="B15" s="45"/>
      <c r="C15" s="45"/>
    </row>
    <row r="16" spans="1:3">
      <c r="A16" s="33" t="s">
        <v>216</v>
      </c>
      <c r="B16" s="33" t="s">
        <v>305</v>
      </c>
      <c r="C16" s="56">
        <v>6</v>
      </c>
    </row>
    <row r="17" spans="1:3">
      <c r="A17" s="33" t="s">
        <v>217</v>
      </c>
      <c r="B17" s="57" t="s">
        <v>305</v>
      </c>
      <c r="C17" s="58">
        <v>7</v>
      </c>
    </row>
    <row r="18" spans="1:3">
      <c r="A18" s="33" t="s">
        <v>218</v>
      </c>
      <c r="B18" s="33" t="s">
        <v>305</v>
      </c>
      <c r="C18" s="56">
        <v>8</v>
      </c>
    </row>
    <row r="19" spans="1:3">
      <c r="A19" s="33" t="s">
        <v>219</v>
      </c>
      <c r="B19" s="33" t="s">
        <v>305</v>
      </c>
      <c r="C19" s="56">
        <v>9</v>
      </c>
    </row>
    <row r="20" spans="1:3">
      <c r="A20" s="33" t="s">
        <v>701</v>
      </c>
      <c r="B20" s="33" t="s">
        <v>305</v>
      </c>
      <c r="C20" s="56">
        <v>15</v>
      </c>
    </row>
    <row r="21" spans="1:3">
      <c r="A21" s="33" t="s">
        <v>220</v>
      </c>
      <c r="B21" s="33"/>
      <c r="C21" s="33"/>
    </row>
    <row r="22" spans="1:3">
      <c r="A22" s="33" t="s">
        <v>347</v>
      </c>
      <c r="B22" s="57" t="s">
        <v>305</v>
      </c>
      <c r="C22" s="58">
        <v>11</v>
      </c>
    </row>
    <row r="23" spans="1:3">
      <c r="A23" s="33" t="s">
        <v>348</v>
      </c>
      <c r="B23" s="57" t="s">
        <v>305</v>
      </c>
      <c r="C23" s="58">
        <v>12</v>
      </c>
    </row>
    <row r="24" spans="1:3">
      <c r="A24" s="33" t="s">
        <v>349</v>
      </c>
      <c r="B24" s="57" t="s">
        <v>305</v>
      </c>
      <c r="C24" s="58">
        <v>13</v>
      </c>
    </row>
    <row r="25" spans="1:3">
      <c r="A25" s="33" t="s">
        <v>350</v>
      </c>
      <c r="B25" s="57" t="s">
        <v>305</v>
      </c>
      <c r="C25" s="58">
        <v>14</v>
      </c>
    </row>
  </sheetData>
  <protectedRanges>
    <protectedRange sqref="A5" name="Range1_1"/>
  </protectedRanges>
  <customSheetViews>
    <customSheetView guid="{D354225D-2C82-4417-8BA4-5EFA1D96D332}" topLeftCell="A10">
      <selection activeCell="B18" sqref="B18"/>
      <pageMargins left="0.7" right="0.7" top="0.75" bottom="0.75" header="0.3" footer="0.3"/>
    </customSheetView>
    <customSheetView guid="{CF42ED2D-1073-4AB2-96F1-563C90B8192E}" topLeftCell="A10">
      <selection activeCell="B18" sqref="B18"/>
      <pageMargins left="0.7" right="0.7" top="0.75" bottom="0.75" header="0.3" footer="0.3"/>
    </customSheetView>
    <customSheetView guid="{038EA038-5A0E-4BA1-B2F5-E3A3B7AA82FA}" topLeftCell="A10">
      <selection activeCell="B18" sqref="B18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Master</vt:lpstr>
      <vt:lpstr>Application_Environment</vt:lpstr>
      <vt:lpstr>DataSheet</vt:lpstr>
      <vt:lpstr>Mapping</vt:lpstr>
      <vt:lpstr>TabData</vt:lpstr>
      <vt:lpstr>Version Control</vt:lpstr>
      <vt:lpstr>Sheet1</vt:lpstr>
      <vt:lpstr>Sheet2</vt:lpstr>
      <vt:lpstr>AdminProductType</vt:lpstr>
      <vt:lpstr>Another</vt:lpstr>
      <vt:lpstr>cASH</vt:lpstr>
      <vt:lpstr>CashPassport</vt:lpstr>
      <vt:lpstr>Currencies</vt:lpstr>
      <vt:lpstr>Passport</vt:lpstr>
      <vt:lpstr>PaymentCountries</vt:lpstr>
      <vt:lpstr>PaymentType</vt:lpstr>
      <vt:lpstr>Product</vt:lpstr>
    </vt:vector>
  </TitlesOfParts>
  <Company>Travelex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Kambli, Ninad</dc:creator>
  <cp:lastModifiedBy>Cheni, Siva</cp:lastModifiedBy>
  <dcterms:created xsi:type="dcterms:W3CDTF">2013-01-22T09:38:43Z</dcterms:created>
  <dcterms:modified xsi:type="dcterms:W3CDTF">2015-12-29T14:06:53Z</dcterms:modified>
</cp:coreProperties>
</file>